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EstaPasta_de_trabalho"/>
  <mc:AlternateContent xmlns:mc="http://schemas.openxmlformats.org/markup-compatibility/2006">
    <mc:Choice Requires="x15">
      <x15ac:absPath xmlns:x15ac="http://schemas.microsoft.com/office/spreadsheetml/2010/11/ac" url="D:\Projetos\Validador-siconfi\"/>
    </mc:Choice>
  </mc:AlternateContent>
  <xr:revisionPtr revIDLastSave="0" documentId="8_{6D342448-53CD-47E6-81C5-E28AC921CAAF}" xr6:coauthVersionLast="47" xr6:coauthVersionMax="47" xr10:uidLastSave="{00000000-0000-0000-0000-000000000000}"/>
  <workbookProtection workbookPassword="CC1A" lockStructure="1"/>
  <bookViews>
    <workbookView xWindow="-23148" yWindow="-108" windowWidth="23256" windowHeight="12456" tabRatio="677" firstSheet="2" activeTab="7" xr2:uid="{B32174FB-5CE9-4480-AE12-81F9CC5FFAE9}"/>
  </bookViews>
  <sheets>
    <sheet name="DCA-Anexo I-AB" sheetId="1" r:id="rId1"/>
    <sheet name="formulas" sheetId="2" state="hidden" r:id="rId2"/>
    <sheet name="DCA-Anexo I-C" sheetId="3" r:id="rId3"/>
    <sheet name="DCA-Anexo I-D" sheetId="4" r:id="rId4"/>
    <sheet name="DCA-Anexo I-E" sheetId="5" r:id="rId5"/>
    <sheet name="DCA-Anexo I-F" sheetId="6" r:id="rId6"/>
    <sheet name="DCA-Anexo I-G" sheetId="7" r:id="rId7"/>
    <sheet name="DCA-Anexo I-HI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4" i="1" l="1"/>
  <c r="B23" i="1"/>
  <c r="B27" i="1"/>
  <c r="B29" i="1"/>
  <c r="B33" i="1"/>
  <c r="B39" i="1"/>
  <c r="B45" i="1"/>
  <c r="B51" i="1"/>
  <c r="B57" i="1"/>
  <c r="B63" i="1"/>
  <c r="B69" i="1"/>
  <c r="B76" i="1"/>
  <c r="B82" i="1"/>
  <c r="B88" i="1"/>
  <c r="B94" i="1"/>
  <c r="B100" i="1"/>
  <c r="B106" i="1"/>
  <c r="B112" i="1"/>
  <c r="B118" i="1"/>
  <c r="B125" i="1"/>
  <c r="B127" i="1"/>
  <c r="B129" i="1"/>
  <c r="B131" i="1"/>
  <c r="B133" i="1"/>
  <c r="B136" i="1"/>
  <c r="B138" i="1"/>
  <c r="B140" i="1"/>
  <c r="B142" i="1"/>
  <c r="B144" i="1"/>
  <c r="B146" i="1"/>
  <c r="B148" i="1"/>
  <c r="B150" i="1"/>
  <c r="B153" i="1"/>
  <c r="B159" i="1"/>
  <c r="B161" i="1"/>
  <c r="B163" i="1"/>
  <c r="B170" i="1"/>
  <c r="B169" i="1"/>
  <c r="B173" i="1"/>
  <c r="B179" i="1"/>
  <c r="B185" i="1"/>
  <c r="B191" i="1"/>
  <c r="B197" i="1"/>
  <c r="B203" i="1"/>
  <c r="B209" i="1"/>
  <c r="B215" i="1"/>
  <c r="B221" i="1"/>
  <c r="B230" i="1"/>
  <c r="B229" i="1"/>
  <c r="B240" i="1"/>
  <c r="B251" i="1"/>
  <c r="B261" i="1"/>
  <c r="B271" i="1"/>
  <c r="B282" i="1"/>
  <c r="B281" i="1"/>
  <c r="B320" i="1"/>
  <c r="B298" i="1"/>
  <c r="B297" i="1"/>
  <c r="B228" i="1"/>
  <c r="B227" i="1"/>
  <c r="B329" i="1"/>
  <c r="B328" i="1"/>
  <c r="B339" i="1"/>
  <c r="B342" i="1"/>
  <c r="B341" i="1"/>
  <c r="B358" i="1"/>
  <c r="B361" i="1"/>
  <c r="B364" i="1"/>
  <c r="B367" i="1"/>
  <c r="B370" i="1"/>
  <c r="B373" i="1"/>
  <c r="B375" i="1"/>
  <c r="B377" i="1"/>
  <c r="B380" i="1"/>
  <c r="B379" i="1"/>
  <c r="B384" i="1"/>
  <c r="B390" i="1"/>
  <c r="B393" i="1"/>
  <c r="B396" i="1"/>
  <c r="B399" i="1"/>
  <c r="B403" i="1"/>
  <c r="B405" i="1"/>
  <c r="B407" i="1"/>
  <c r="B414" i="1"/>
  <c r="B413" i="1"/>
  <c r="B428" i="1"/>
  <c r="B427" i="1"/>
  <c r="B434" i="1"/>
  <c r="B436" i="1"/>
  <c r="B438" i="1"/>
  <c r="B440" i="1"/>
  <c r="B443" i="1"/>
  <c r="B442" i="1"/>
  <c r="B450" i="1"/>
  <c r="B449" i="1"/>
  <c r="B457" i="1"/>
  <c r="B459" i="1"/>
  <c r="B462" i="1"/>
  <c r="B461" i="1"/>
  <c r="B470" i="1"/>
  <c r="B472" i="1"/>
  <c r="B478" i="1"/>
  <c r="B480" i="1"/>
  <c r="B486" i="1"/>
  <c r="B490" i="1"/>
  <c r="B496" i="1"/>
  <c r="B498" i="1"/>
  <c r="B504" i="1"/>
  <c r="B506" i="1"/>
  <c r="B512" i="1"/>
  <c r="B514" i="1"/>
  <c r="B520" i="1"/>
  <c r="B523" i="1"/>
  <c r="B529" i="1"/>
  <c r="B532" i="1"/>
  <c r="B531" i="1"/>
  <c r="B536" i="1"/>
  <c r="B540" i="1"/>
  <c r="B545" i="1"/>
  <c r="B549" i="1"/>
  <c r="B554" i="1"/>
  <c r="B559" i="1"/>
  <c r="B561" i="1"/>
  <c r="B567" i="1"/>
  <c r="B566" i="1"/>
  <c r="B569" i="1"/>
  <c r="B571" i="1"/>
  <c r="B577" i="1"/>
  <c r="B583" i="1"/>
  <c r="B589" i="1"/>
  <c r="B591" i="1"/>
  <c r="B597" i="1"/>
  <c r="B604" i="1"/>
  <c r="B610" i="1"/>
  <c r="B616" i="1"/>
  <c r="B622" i="1"/>
  <c r="B628" i="1"/>
  <c r="B634" i="1"/>
  <c r="B636" i="1"/>
  <c r="B638" i="1"/>
  <c r="B644" i="1"/>
  <c r="B652" i="1"/>
  <c r="B654" i="1"/>
  <c r="B660" i="1"/>
  <c r="B662" i="1"/>
  <c r="B668" i="1"/>
  <c r="B672" i="1"/>
  <c r="B678" i="1"/>
  <c r="B680" i="1"/>
  <c r="B685" i="1"/>
  <c r="B687" i="1"/>
  <c r="B693" i="1"/>
  <c r="B695" i="1"/>
  <c r="B701" i="1"/>
  <c r="B704" i="1"/>
  <c r="B710" i="1"/>
  <c r="B713" i="1"/>
  <c r="B717" i="1"/>
  <c r="B721" i="1"/>
  <c r="B726" i="1"/>
  <c r="B730" i="1"/>
  <c r="B735" i="1"/>
  <c r="B740" i="1"/>
  <c r="B742" i="1"/>
  <c r="B748" i="1"/>
  <c r="B751" i="1"/>
  <c r="B758" i="1"/>
  <c r="B762" i="1"/>
  <c r="B768" i="1"/>
  <c r="B774" i="1"/>
  <c r="B780" i="1"/>
  <c r="B782" i="1"/>
  <c r="B788" i="1"/>
  <c r="B795" i="1"/>
  <c r="B801" i="1"/>
  <c r="B807" i="1"/>
  <c r="B813" i="1"/>
  <c r="B819" i="1"/>
  <c r="B821" i="1"/>
  <c r="B794" i="1"/>
  <c r="B827" i="1"/>
  <c r="B834" i="1"/>
  <c r="B840" i="1"/>
  <c r="B848" i="1"/>
  <c r="B854" i="1"/>
  <c r="B861" i="1"/>
  <c r="B860" i="1"/>
  <c r="B868" i="1"/>
  <c r="B874" i="1"/>
  <c r="B880" i="1"/>
  <c r="B886" i="1"/>
  <c r="B892" i="1"/>
  <c r="B899" i="1"/>
  <c r="B898" i="1"/>
  <c r="B905" i="1"/>
  <c r="B912" i="1"/>
  <c r="B918" i="1"/>
  <c r="B924" i="1"/>
  <c r="B930" i="1"/>
  <c r="B936" i="1"/>
  <c r="B942" i="1"/>
  <c r="B948" i="1"/>
  <c r="B954" i="1"/>
  <c r="B960" i="1"/>
  <c r="B967" i="1"/>
  <c r="B973" i="1"/>
  <c r="B975" i="1"/>
  <c r="B983" i="1"/>
  <c r="B988" i="1"/>
  <c r="B993" i="1"/>
  <c r="B998" i="1"/>
  <c r="B1003" i="1"/>
  <c r="B1009" i="1"/>
  <c r="B1016" i="1"/>
  <c r="B1023" i="1"/>
  <c r="B1030" i="1"/>
  <c r="B1037" i="1"/>
  <c r="B1045" i="1"/>
  <c r="B1044" i="1"/>
  <c r="B1051" i="1"/>
  <c r="B1059" i="1"/>
  <c r="B1062" i="1"/>
  <c r="B1065" i="1"/>
  <c r="B1070" i="1"/>
  <c r="B1076" i="1"/>
  <c r="B1082" i="1"/>
  <c r="B24" i="3"/>
  <c r="C24" i="3"/>
  <c r="D24" i="3"/>
  <c r="E24" i="3"/>
  <c r="B27" i="3"/>
  <c r="C27" i="3"/>
  <c r="D27" i="3"/>
  <c r="E27" i="3"/>
  <c r="B36" i="3"/>
  <c r="B33" i="3"/>
  <c r="C36" i="3"/>
  <c r="C33" i="3"/>
  <c r="D36" i="3"/>
  <c r="D33" i="3"/>
  <c r="D23" i="3"/>
  <c r="D22" i="3"/>
  <c r="E36" i="3"/>
  <c r="E33" i="3"/>
  <c r="B42" i="3"/>
  <c r="C42" i="3"/>
  <c r="D42" i="3"/>
  <c r="E42" i="3"/>
  <c r="E41" i="3"/>
  <c r="B48" i="3"/>
  <c r="C48" i="3"/>
  <c r="C41" i="3"/>
  <c r="D48" i="3"/>
  <c r="E48" i="3"/>
  <c r="B51" i="3"/>
  <c r="C51" i="3"/>
  <c r="D51" i="3"/>
  <c r="D41" i="3"/>
  <c r="E51" i="3"/>
  <c r="B55" i="3"/>
  <c r="C55" i="3"/>
  <c r="D55" i="3"/>
  <c r="E55" i="3"/>
  <c r="B62" i="3"/>
  <c r="B60" i="3"/>
  <c r="C62" i="3"/>
  <c r="C60" i="3"/>
  <c r="C59" i="3"/>
  <c r="D62" i="3"/>
  <c r="D60" i="3"/>
  <c r="D59" i="3"/>
  <c r="E62" i="3"/>
  <c r="E60" i="3"/>
  <c r="E59" i="3"/>
  <c r="B76" i="3"/>
  <c r="C76" i="3"/>
  <c r="D76" i="3"/>
  <c r="E76" i="3"/>
  <c r="B84" i="3"/>
  <c r="B83" i="3"/>
  <c r="C84" i="3"/>
  <c r="C83" i="3"/>
  <c r="D84" i="3"/>
  <c r="D83" i="3"/>
  <c r="E84" i="3"/>
  <c r="E83" i="3"/>
  <c r="B92" i="3"/>
  <c r="C92" i="3"/>
  <c r="D92" i="3"/>
  <c r="E92" i="3"/>
  <c r="B96" i="3"/>
  <c r="C96" i="3"/>
  <c r="D96" i="3"/>
  <c r="E96" i="3"/>
  <c r="B100" i="3"/>
  <c r="C100" i="3"/>
  <c r="D100" i="3"/>
  <c r="E100" i="3"/>
  <c r="B104" i="3"/>
  <c r="C104" i="3"/>
  <c r="D104" i="3"/>
  <c r="E104" i="3"/>
  <c r="B109" i="3"/>
  <c r="B108" i="3"/>
  <c r="C109" i="3"/>
  <c r="D109" i="3"/>
  <c r="D108" i="3"/>
  <c r="E109" i="3"/>
  <c r="E108" i="3"/>
  <c r="B116" i="3"/>
  <c r="C116" i="3"/>
  <c r="D116" i="3"/>
  <c r="E116" i="3"/>
  <c r="B120" i="3"/>
  <c r="C120" i="3"/>
  <c r="D120" i="3"/>
  <c r="E120" i="3"/>
  <c r="B124" i="3"/>
  <c r="C124" i="3"/>
  <c r="D124" i="3"/>
  <c r="E124" i="3"/>
  <c r="B129" i="3"/>
  <c r="C129" i="3"/>
  <c r="D129" i="3"/>
  <c r="E129" i="3"/>
  <c r="B133" i="3"/>
  <c r="C133" i="3"/>
  <c r="D133" i="3"/>
  <c r="E133" i="3"/>
  <c r="B137" i="3"/>
  <c r="C137" i="3"/>
  <c r="D137" i="3"/>
  <c r="E137" i="3"/>
  <c r="B144" i="3"/>
  <c r="C144" i="3"/>
  <c r="D144" i="3"/>
  <c r="E144" i="3"/>
  <c r="B148" i="3"/>
  <c r="C148" i="3"/>
  <c r="D148" i="3"/>
  <c r="E148" i="3"/>
  <c r="B152" i="3"/>
  <c r="C152" i="3"/>
  <c r="D152" i="3"/>
  <c r="E152" i="3"/>
  <c r="B157" i="3"/>
  <c r="B156" i="3"/>
  <c r="C157" i="3"/>
  <c r="D157" i="3"/>
  <c r="E157" i="3"/>
  <c r="B160" i="3"/>
  <c r="C160" i="3"/>
  <c r="D160" i="3"/>
  <c r="E160" i="3"/>
  <c r="E156" i="3"/>
  <c r="B163" i="3"/>
  <c r="C163" i="3"/>
  <c r="D163" i="3"/>
  <c r="E163" i="3"/>
  <c r="B166" i="3"/>
  <c r="C166" i="3"/>
  <c r="D166" i="3"/>
  <c r="E166" i="3"/>
  <c r="B169" i="3"/>
  <c r="C169" i="3"/>
  <c r="D169" i="3"/>
  <c r="E169" i="3"/>
  <c r="C172" i="3"/>
  <c r="B173" i="3"/>
  <c r="B172" i="3"/>
  <c r="C173" i="3"/>
  <c r="D173" i="3"/>
  <c r="E173" i="3"/>
  <c r="B176" i="3"/>
  <c r="C176" i="3"/>
  <c r="D176" i="3"/>
  <c r="E176" i="3"/>
  <c r="E172" i="3"/>
  <c r="B179" i="3"/>
  <c r="C179" i="3"/>
  <c r="D179" i="3"/>
  <c r="E179" i="3"/>
  <c r="B182" i="3"/>
  <c r="C182" i="3"/>
  <c r="D182" i="3"/>
  <c r="E182" i="3"/>
  <c r="B185" i="3"/>
  <c r="C185" i="3"/>
  <c r="D185" i="3"/>
  <c r="E185" i="3"/>
  <c r="B188" i="3"/>
  <c r="C188" i="3"/>
  <c r="D188" i="3"/>
  <c r="E188" i="3"/>
  <c r="B191" i="3"/>
  <c r="C191" i="3"/>
  <c r="D191" i="3"/>
  <c r="E191" i="3"/>
  <c r="C194" i="3"/>
  <c r="B195" i="3"/>
  <c r="B194" i="3"/>
  <c r="C195" i="3"/>
  <c r="D195" i="3"/>
  <c r="E195" i="3"/>
  <c r="B198" i="3"/>
  <c r="C198" i="3"/>
  <c r="D198" i="3"/>
  <c r="E198" i="3"/>
  <c r="E194" i="3"/>
  <c r="B201" i="3"/>
  <c r="C201" i="3"/>
  <c r="D201" i="3"/>
  <c r="E201" i="3"/>
  <c r="B205" i="3"/>
  <c r="C205" i="3"/>
  <c r="D205" i="3"/>
  <c r="E205" i="3"/>
  <c r="B208" i="3"/>
  <c r="C208" i="3"/>
  <c r="D208" i="3"/>
  <c r="E208" i="3"/>
  <c r="B211" i="3"/>
  <c r="C211" i="3"/>
  <c r="D211" i="3"/>
  <c r="E211" i="3"/>
  <c r="B214" i="3"/>
  <c r="C214" i="3"/>
  <c r="D214" i="3"/>
  <c r="E214" i="3"/>
  <c r="B217" i="3"/>
  <c r="C217" i="3"/>
  <c r="D217" i="3"/>
  <c r="E217" i="3"/>
  <c r="B220" i="3"/>
  <c r="C220" i="3"/>
  <c r="D220" i="3"/>
  <c r="E220" i="3"/>
  <c r="B223" i="3"/>
  <c r="C223" i="3"/>
  <c r="D223" i="3"/>
  <c r="E223" i="3"/>
  <c r="B230" i="3"/>
  <c r="C230" i="3"/>
  <c r="D230" i="3"/>
  <c r="D229" i="3"/>
  <c r="D228" i="3"/>
  <c r="E230" i="3"/>
  <c r="E229" i="3"/>
  <c r="E228" i="3"/>
  <c r="B239" i="3"/>
  <c r="C239" i="3"/>
  <c r="D239" i="3"/>
  <c r="E239" i="3"/>
  <c r="B242" i="3"/>
  <c r="B229" i="3"/>
  <c r="B228" i="3"/>
  <c r="C242" i="3"/>
  <c r="D242" i="3"/>
  <c r="E242" i="3"/>
  <c r="B256" i="3"/>
  <c r="B255" i="3"/>
  <c r="B254" i="3"/>
  <c r="C256" i="3"/>
  <c r="C255" i="3"/>
  <c r="C254" i="3"/>
  <c r="D256" i="3"/>
  <c r="D255" i="3"/>
  <c r="D254" i="3"/>
  <c r="E256" i="3"/>
  <c r="E255" i="3"/>
  <c r="E254" i="3"/>
  <c r="B262" i="3"/>
  <c r="B261" i="3"/>
  <c r="C262" i="3"/>
  <c r="C261" i="3"/>
  <c r="D262" i="3"/>
  <c r="D261" i="3"/>
  <c r="E262" i="3"/>
  <c r="E261" i="3"/>
  <c r="B273" i="3"/>
  <c r="C273" i="3"/>
  <c r="D273" i="3"/>
  <c r="E273" i="3"/>
  <c r="B280" i="3"/>
  <c r="B279" i="3"/>
  <c r="C280" i="3"/>
  <c r="C279" i="3"/>
  <c r="C272" i="3"/>
  <c r="D280" i="3"/>
  <c r="D279" i="3"/>
  <c r="E280" i="3"/>
  <c r="E279" i="3"/>
  <c r="B286" i="3"/>
  <c r="C286" i="3"/>
  <c r="D286" i="3"/>
  <c r="E286" i="3"/>
  <c r="B295" i="3"/>
  <c r="C295" i="3"/>
  <c r="D295" i="3"/>
  <c r="E295" i="3"/>
  <c r="B297" i="3"/>
  <c r="C297" i="3"/>
  <c r="D297" i="3"/>
  <c r="E297" i="3"/>
  <c r="B302" i="3"/>
  <c r="C302" i="3"/>
  <c r="D302" i="3"/>
  <c r="E302" i="3"/>
  <c r="B308" i="3"/>
  <c r="B307" i="3"/>
  <c r="C308" i="3"/>
  <c r="D308" i="3"/>
  <c r="D307" i="3"/>
  <c r="E308" i="3"/>
  <c r="E307" i="3"/>
  <c r="B311" i="3"/>
  <c r="C311" i="3"/>
  <c r="D311" i="3"/>
  <c r="E311" i="3"/>
  <c r="B316" i="3"/>
  <c r="C316" i="3"/>
  <c r="D316" i="3"/>
  <c r="E316" i="3"/>
  <c r="B321" i="3"/>
  <c r="C321" i="3"/>
  <c r="D321" i="3"/>
  <c r="E321" i="3"/>
  <c r="C327" i="3"/>
  <c r="B328" i="3"/>
  <c r="C328" i="3"/>
  <c r="D328" i="3"/>
  <c r="D327" i="3"/>
  <c r="E328" i="3"/>
  <c r="E327" i="3"/>
  <c r="B331" i="3"/>
  <c r="B327" i="3"/>
  <c r="C331" i="3"/>
  <c r="D331" i="3"/>
  <c r="E331" i="3"/>
  <c r="B335" i="3"/>
  <c r="B334" i="3"/>
  <c r="C335" i="3"/>
  <c r="C334" i="3"/>
  <c r="D335" i="3"/>
  <c r="D334" i="3"/>
  <c r="E335" i="3"/>
  <c r="B340" i="3"/>
  <c r="C340" i="3"/>
  <c r="D340" i="3"/>
  <c r="E340" i="3"/>
  <c r="B343" i="3"/>
  <c r="C343" i="3"/>
  <c r="D343" i="3"/>
  <c r="E343" i="3"/>
  <c r="B349" i="3"/>
  <c r="B346" i="3"/>
  <c r="C349" i="3"/>
  <c r="C346" i="3"/>
  <c r="D349" i="3"/>
  <c r="D346" i="3"/>
  <c r="E349" i="3"/>
  <c r="E346" i="3"/>
  <c r="B354" i="3"/>
  <c r="B353" i="3"/>
  <c r="C354" i="3"/>
  <c r="D354" i="3"/>
  <c r="E354" i="3"/>
  <c r="E353" i="3"/>
  <c r="B357" i="3"/>
  <c r="C357" i="3"/>
  <c r="D357" i="3"/>
  <c r="E357" i="3"/>
  <c r="B363" i="3"/>
  <c r="C363" i="3"/>
  <c r="D363" i="3"/>
  <c r="E363" i="3"/>
  <c r="C366" i="3"/>
  <c r="B367" i="3"/>
  <c r="B366" i="3"/>
  <c r="C367" i="3"/>
  <c r="D367" i="3"/>
  <c r="D366" i="3"/>
  <c r="E367" i="3"/>
  <c r="E366" i="3"/>
  <c r="B374" i="3"/>
  <c r="B373" i="3"/>
  <c r="B372" i="3"/>
  <c r="C374" i="3"/>
  <c r="C373" i="3"/>
  <c r="C372" i="3"/>
  <c r="D374" i="3"/>
  <c r="D373" i="3"/>
  <c r="D372" i="3"/>
  <c r="E374" i="3"/>
  <c r="E373" i="3"/>
  <c r="E372" i="3"/>
  <c r="C381" i="3"/>
  <c r="B382" i="3"/>
  <c r="B381" i="3"/>
  <c r="C382" i="3"/>
  <c r="D382" i="3"/>
  <c r="D381" i="3"/>
  <c r="E382" i="3"/>
  <c r="E381" i="3"/>
  <c r="B391" i="3"/>
  <c r="B390" i="3"/>
  <c r="B389" i="3"/>
  <c r="C391" i="3"/>
  <c r="C390" i="3"/>
  <c r="C389" i="3"/>
  <c r="D391" i="3"/>
  <c r="D390" i="3"/>
  <c r="D389" i="3"/>
  <c r="E391" i="3"/>
  <c r="B396" i="3"/>
  <c r="C396" i="3"/>
  <c r="D396" i="3"/>
  <c r="E396" i="3"/>
  <c r="E390" i="3"/>
  <c r="E389" i="3"/>
  <c r="B401" i="3"/>
  <c r="B400" i="3"/>
  <c r="C401" i="3"/>
  <c r="D401" i="3"/>
  <c r="D400" i="3"/>
  <c r="E401" i="3"/>
  <c r="E400" i="3"/>
  <c r="B408" i="3"/>
  <c r="C408" i="3"/>
  <c r="D408" i="3"/>
  <c r="E408" i="3"/>
  <c r="C411" i="3"/>
  <c r="B412" i="3"/>
  <c r="B411" i="3"/>
  <c r="C412" i="3"/>
  <c r="D412" i="3"/>
  <c r="D411" i="3"/>
  <c r="E412" i="3"/>
  <c r="E411" i="3"/>
  <c r="B421" i="3"/>
  <c r="B419" i="3"/>
  <c r="C421" i="3"/>
  <c r="C419" i="3"/>
  <c r="D421" i="3"/>
  <c r="D419" i="3"/>
  <c r="E421" i="3"/>
  <c r="E419" i="3"/>
  <c r="C430" i="3"/>
  <c r="B433" i="3"/>
  <c r="B430" i="3"/>
  <c r="C433" i="3"/>
  <c r="D433" i="3"/>
  <c r="D430" i="3"/>
  <c r="E433" i="3"/>
  <c r="E430" i="3"/>
  <c r="B441" i="3"/>
  <c r="B440" i="3"/>
  <c r="C441" i="3"/>
  <c r="D441" i="3"/>
  <c r="D440" i="3"/>
  <c r="E441" i="3"/>
  <c r="E440" i="3"/>
  <c r="B448" i="3"/>
  <c r="C448" i="3"/>
  <c r="C440" i="3"/>
  <c r="D448" i="3"/>
  <c r="E448" i="3"/>
  <c r="B461" i="3"/>
  <c r="B456" i="3"/>
  <c r="C461" i="3"/>
  <c r="C456" i="3"/>
  <c r="D461" i="3"/>
  <c r="D456" i="3"/>
  <c r="E461" i="3"/>
  <c r="E456" i="3"/>
  <c r="B472" i="3"/>
  <c r="C472" i="3"/>
  <c r="D472" i="3"/>
  <c r="E472" i="3"/>
  <c r="B479" i="3"/>
  <c r="C479" i="3"/>
  <c r="D479" i="3"/>
  <c r="E479" i="3"/>
  <c r="B494" i="3"/>
  <c r="C494" i="3"/>
  <c r="D494" i="3"/>
  <c r="E494" i="3"/>
  <c r="B500" i="3"/>
  <c r="C500" i="3"/>
  <c r="D500" i="3"/>
  <c r="E500" i="3"/>
  <c r="E493" i="3"/>
  <c r="B506" i="3"/>
  <c r="C506" i="3"/>
  <c r="D506" i="3"/>
  <c r="E506" i="3"/>
  <c r="B511" i="3"/>
  <c r="C511" i="3"/>
  <c r="D511" i="3"/>
  <c r="E511" i="3"/>
  <c r="B518" i="3"/>
  <c r="C518" i="3"/>
  <c r="C517" i="3"/>
  <c r="D518" i="3"/>
  <c r="E518" i="3"/>
  <c r="E517" i="3"/>
  <c r="B520" i="3"/>
  <c r="C520" i="3"/>
  <c r="D520" i="3"/>
  <c r="E520" i="3"/>
  <c r="B525" i="3"/>
  <c r="C525" i="3"/>
  <c r="D525" i="3"/>
  <c r="E525" i="3"/>
  <c r="B529" i="3"/>
  <c r="B528" i="3"/>
  <c r="C529" i="3"/>
  <c r="C528" i="3"/>
  <c r="D529" i="3"/>
  <c r="D528" i="3"/>
  <c r="E529" i="3"/>
  <c r="E528" i="3"/>
  <c r="B534" i="3"/>
  <c r="C534" i="3"/>
  <c r="D534" i="3"/>
  <c r="E534" i="3"/>
  <c r="B538" i="3"/>
  <c r="B537" i="3"/>
  <c r="C538" i="3"/>
  <c r="C537" i="3"/>
  <c r="D538" i="3"/>
  <c r="D537" i="3"/>
  <c r="E538" i="3"/>
  <c r="E537" i="3"/>
  <c r="B544" i="3"/>
  <c r="B543" i="3"/>
  <c r="C544" i="3"/>
  <c r="C543" i="3"/>
  <c r="D544" i="3"/>
  <c r="D543" i="3"/>
  <c r="E544" i="3"/>
  <c r="E543" i="3"/>
  <c r="C552" i="3"/>
  <c r="B559" i="3"/>
  <c r="B553" i="3"/>
  <c r="B552" i="3"/>
  <c r="C559" i="3"/>
  <c r="D559" i="3"/>
  <c r="D553" i="3"/>
  <c r="D552" i="3"/>
  <c r="E559" i="3"/>
  <c r="E553" i="3"/>
  <c r="E552" i="3"/>
  <c r="B568" i="3"/>
  <c r="C568" i="3"/>
  <c r="C553" i="3"/>
  <c r="D568" i="3"/>
  <c r="E568" i="3"/>
  <c r="B574" i="3"/>
  <c r="C574" i="3"/>
  <c r="D574" i="3"/>
  <c r="E574" i="3"/>
  <c r="B583" i="3"/>
  <c r="C583" i="3"/>
  <c r="D583" i="3"/>
  <c r="E583" i="3"/>
  <c r="E582" i="3"/>
  <c r="B590" i="3"/>
  <c r="C590" i="3"/>
  <c r="C582" i="3"/>
  <c r="D590" i="3"/>
  <c r="E590" i="3"/>
  <c r="B597" i="3"/>
  <c r="B582" i="3"/>
  <c r="C597" i="3"/>
  <c r="D597" i="3"/>
  <c r="E597" i="3"/>
  <c r="B607" i="3"/>
  <c r="C607" i="3"/>
  <c r="D607" i="3"/>
  <c r="E607" i="3"/>
  <c r="B617" i="3"/>
  <c r="B615" i="3"/>
  <c r="B614" i="3"/>
  <c r="C617" i="3"/>
  <c r="C615" i="3"/>
  <c r="C614" i="3"/>
  <c r="D617" i="3"/>
  <c r="D615" i="3"/>
  <c r="D614" i="3"/>
  <c r="E617" i="3"/>
  <c r="E615" i="3"/>
  <c r="E614" i="3"/>
  <c r="B632" i="3"/>
  <c r="B630" i="3"/>
  <c r="B629" i="3"/>
  <c r="C632" i="3"/>
  <c r="C630" i="3"/>
  <c r="D632" i="3"/>
  <c r="D630" i="3"/>
  <c r="E632" i="3"/>
  <c r="E630" i="3"/>
  <c r="B639" i="3"/>
  <c r="C639" i="3"/>
  <c r="D639" i="3"/>
  <c r="E639" i="3"/>
  <c r="B644" i="3"/>
  <c r="C644" i="3"/>
  <c r="D644" i="3"/>
  <c r="E644" i="3"/>
  <c r="B653" i="3"/>
  <c r="B646" i="3"/>
  <c r="C653" i="3"/>
  <c r="C646" i="3"/>
  <c r="D653" i="3"/>
  <c r="D646" i="3"/>
  <c r="E653" i="3"/>
  <c r="E646" i="3"/>
  <c r="B657" i="3"/>
  <c r="C657" i="3"/>
  <c r="D657" i="3"/>
  <c r="E657" i="3"/>
  <c r="B668" i="3"/>
  <c r="C668" i="3"/>
  <c r="D668" i="3"/>
  <c r="D660" i="3"/>
  <c r="D659" i="3"/>
  <c r="E668" i="3"/>
  <c r="B674" i="3"/>
  <c r="C674" i="3"/>
  <c r="D674" i="3"/>
  <c r="E674" i="3"/>
  <c r="B686" i="3"/>
  <c r="C686" i="3"/>
  <c r="D686" i="3"/>
  <c r="E686" i="3"/>
  <c r="C692" i="3"/>
  <c r="B693" i="3"/>
  <c r="C693" i="3"/>
  <c r="D693" i="3"/>
  <c r="D692" i="3"/>
  <c r="E693" i="3"/>
  <c r="E692" i="3"/>
  <c r="B697" i="3"/>
  <c r="B692" i="3"/>
  <c r="C697" i="3"/>
  <c r="D697" i="3"/>
  <c r="E697" i="3"/>
  <c r="B709" i="3"/>
  <c r="C709" i="3"/>
  <c r="D709" i="3"/>
  <c r="E709" i="3"/>
  <c r="B712" i="3"/>
  <c r="C712" i="3"/>
  <c r="D712" i="3"/>
  <c r="E712" i="3"/>
  <c r="B724" i="3"/>
  <c r="B722" i="3"/>
  <c r="B721" i="3"/>
  <c r="C724" i="3"/>
  <c r="C722" i="3"/>
  <c r="C721" i="3"/>
  <c r="D724" i="3"/>
  <c r="D722" i="3"/>
  <c r="D721" i="3"/>
  <c r="E724" i="3"/>
  <c r="E722" i="3"/>
  <c r="E721" i="3"/>
  <c r="B734" i="3"/>
  <c r="B733" i="3"/>
  <c r="B732" i="3"/>
  <c r="C734" i="3"/>
  <c r="C733" i="3"/>
  <c r="C732" i="3"/>
  <c r="D734" i="3"/>
  <c r="D733" i="3"/>
  <c r="D732" i="3"/>
  <c r="E734" i="3"/>
  <c r="E733" i="3"/>
  <c r="E732" i="3"/>
  <c r="C743" i="3"/>
  <c r="B745" i="3"/>
  <c r="C745" i="3"/>
  <c r="C744" i="3"/>
  <c r="D745" i="3"/>
  <c r="D744" i="3"/>
  <c r="E745" i="3"/>
  <c r="E743" i="3"/>
  <c r="B752" i="3"/>
  <c r="B744" i="3"/>
  <c r="B743" i="3"/>
  <c r="C752" i="3"/>
  <c r="D752" i="3"/>
  <c r="E752" i="3"/>
  <c r="E744" i="3"/>
  <c r="C760" i="3"/>
  <c r="B761" i="3"/>
  <c r="B760" i="3"/>
  <c r="C761" i="3"/>
  <c r="D761" i="3"/>
  <c r="D760" i="3"/>
  <c r="D743" i="3"/>
  <c r="D742" i="3"/>
  <c r="E761" i="3"/>
  <c r="E760" i="3"/>
  <c r="B765" i="3"/>
  <c r="C765" i="3"/>
  <c r="D765" i="3"/>
  <c r="E765" i="3"/>
  <c r="B767" i="3"/>
  <c r="C767" i="3"/>
  <c r="D767" i="3"/>
  <c r="E767" i="3"/>
  <c r="B774" i="3"/>
  <c r="C774" i="3"/>
  <c r="D774" i="3"/>
  <c r="E774" i="3"/>
  <c r="B782" i="3"/>
  <c r="B781" i="3"/>
  <c r="C782" i="3"/>
  <c r="C781" i="3"/>
  <c r="D782" i="3"/>
  <c r="E782" i="3"/>
  <c r="B784" i="3"/>
  <c r="C784" i="3"/>
  <c r="D784" i="3"/>
  <c r="D781" i="3"/>
  <c r="E784" i="3"/>
  <c r="E781" i="3"/>
  <c r="B792" i="3"/>
  <c r="C792" i="3"/>
  <c r="D792" i="3"/>
  <c r="E792" i="3"/>
  <c r="B797" i="3"/>
  <c r="C797" i="3"/>
  <c r="C796" i="3"/>
  <c r="C742" i="3"/>
  <c r="D797" i="3"/>
  <c r="E797" i="3"/>
  <c r="B799" i="3"/>
  <c r="C799" i="3"/>
  <c r="D799" i="3"/>
  <c r="D796" i="3"/>
  <c r="E799" i="3"/>
  <c r="E796" i="3"/>
  <c r="B805" i="3"/>
  <c r="C805" i="3"/>
  <c r="D805" i="3"/>
  <c r="E805" i="3"/>
  <c r="C808" i="3"/>
  <c r="B809" i="3"/>
  <c r="B808" i="3"/>
  <c r="C809" i="3"/>
  <c r="D809" i="3"/>
  <c r="D808" i="3"/>
  <c r="E809" i="3"/>
  <c r="E808" i="3"/>
  <c r="B814" i="3"/>
  <c r="C814" i="3"/>
  <c r="D814" i="3"/>
  <c r="E814" i="3"/>
  <c r="B817" i="3"/>
  <c r="B816" i="3"/>
  <c r="C817" i="3"/>
  <c r="C816" i="3"/>
  <c r="D817" i="3"/>
  <c r="D816" i="3"/>
  <c r="E817" i="3"/>
  <c r="E816" i="3"/>
  <c r="B823" i="3"/>
  <c r="B822" i="3"/>
  <c r="C823" i="3"/>
  <c r="C822" i="3"/>
  <c r="D823" i="3"/>
  <c r="D822" i="3"/>
  <c r="E823" i="3"/>
  <c r="E822" i="3"/>
  <c r="B833" i="3"/>
  <c r="B832" i="3"/>
  <c r="B830" i="3"/>
  <c r="C833" i="3"/>
  <c r="C832" i="3"/>
  <c r="C830" i="3"/>
  <c r="D833" i="3"/>
  <c r="D832" i="3"/>
  <c r="E833" i="3"/>
  <c r="E832" i="3"/>
  <c r="B839" i="3"/>
  <c r="B838" i="3"/>
  <c r="C839" i="3"/>
  <c r="C838" i="3"/>
  <c r="D839" i="3"/>
  <c r="D838" i="3"/>
  <c r="E839" i="3"/>
  <c r="E838" i="3"/>
  <c r="B850" i="3"/>
  <c r="C850" i="3"/>
  <c r="D850" i="3"/>
  <c r="E850" i="3"/>
  <c r="B856" i="3"/>
  <c r="C856" i="3"/>
  <c r="D856" i="3"/>
  <c r="D854" i="3"/>
  <c r="D846" i="3"/>
  <c r="D845" i="3"/>
  <c r="E856" i="3"/>
  <c r="B860" i="3"/>
  <c r="C860" i="3"/>
  <c r="D860" i="3"/>
  <c r="E860" i="3"/>
  <c r="B864" i="3"/>
  <c r="B854" i="3"/>
  <c r="C864" i="3"/>
  <c r="D864" i="3"/>
  <c r="E864" i="3"/>
  <c r="E854" i="3"/>
  <c r="E846" i="3"/>
  <c r="E845" i="3"/>
  <c r="B869" i="3"/>
  <c r="C869" i="3"/>
  <c r="D869" i="3"/>
  <c r="E869" i="3"/>
  <c r="B874" i="3"/>
  <c r="C874" i="3"/>
  <c r="D874" i="3"/>
  <c r="E874" i="3"/>
  <c r="B881" i="3"/>
  <c r="C881" i="3"/>
  <c r="D881" i="3"/>
  <c r="E881" i="3"/>
  <c r="B886" i="3"/>
  <c r="C886" i="3"/>
  <c r="D886" i="3"/>
  <c r="E886" i="3"/>
  <c r="B891" i="3"/>
  <c r="C891" i="3"/>
  <c r="C890" i="3"/>
  <c r="D891" i="3"/>
  <c r="D890" i="3"/>
  <c r="E891" i="3"/>
  <c r="B894" i="3"/>
  <c r="C894" i="3"/>
  <c r="D894" i="3"/>
  <c r="E894" i="3"/>
  <c r="B897" i="3"/>
  <c r="C897" i="3"/>
  <c r="D897" i="3"/>
  <c r="E897" i="3"/>
  <c r="E890" i="3"/>
  <c r="B900" i="3"/>
  <c r="C900" i="3"/>
  <c r="D900" i="3"/>
  <c r="E900" i="3"/>
  <c r="B903" i="3"/>
  <c r="C903" i="3"/>
  <c r="D903" i="3"/>
  <c r="E903" i="3"/>
  <c r="C912" i="3"/>
  <c r="B913" i="3"/>
  <c r="B912" i="3"/>
  <c r="C913" i="3"/>
  <c r="D913" i="3"/>
  <c r="D912" i="3"/>
  <c r="E913" i="3"/>
  <c r="E912" i="3"/>
  <c r="B917" i="3"/>
  <c r="C917" i="3"/>
  <c r="D917" i="3"/>
  <c r="E917" i="3"/>
  <c r="B923" i="3"/>
  <c r="B922" i="3"/>
  <c r="C923" i="3"/>
  <c r="D923" i="3"/>
  <c r="E923" i="3"/>
  <c r="E922" i="3"/>
  <c r="B929" i="3"/>
  <c r="C929" i="3"/>
  <c r="D929" i="3"/>
  <c r="E929" i="3"/>
  <c r="B936" i="3"/>
  <c r="C936" i="3"/>
  <c r="D936" i="3"/>
  <c r="D922" i="3"/>
  <c r="E936" i="3"/>
  <c r="B943" i="3"/>
  <c r="B942" i="3"/>
  <c r="B911" i="3"/>
  <c r="C943" i="3"/>
  <c r="D943" i="3"/>
  <c r="E943" i="3"/>
  <c r="E942" i="3"/>
  <c r="B949" i="3"/>
  <c r="C949" i="3"/>
  <c r="C942" i="3"/>
  <c r="D949" i="3"/>
  <c r="E949" i="3"/>
  <c r="B952" i="3"/>
  <c r="C952" i="3"/>
  <c r="D952" i="3"/>
  <c r="E952" i="3"/>
  <c r="B955" i="3"/>
  <c r="C955" i="3"/>
  <c r="D955" i="3"/>
  <c r="E955" i="3"/>
  <c r="B958" i="3"/>
  <c r="C958" i="3"/>
  <c r="D958" i="3"/>
  <c r="E958" i="3"/>
  <c r="B962" i="3"/>
  <c r="C962" i="3"/>
  <c r="D962" i="3"/>
  <c r="E962" i="3"/>
  <c r="B968" i="3"/>
  <c r="C968" i="3"/>
  <c r="D968" i="3"/>
  <c r="E968" i="3"/>
  <c r="B972" i="3"/>
  <c r="B971" i="3"/>
  <c r="C972" i="3"/>
  <c r="C971" i="3"/>
  <c r="D972" i="3"/>
  <c r="D971" i="3"/>
  <c r="E972" i="3"/>
  <c r="E971" i="3"/>
  <c r="C977" i="3"/>
  <c r="B978" i="3"/>
  <c r="B977" i="3"/>
  <c r="C978" i="3"/>
  <c r="D978" i="3"/>
  <c r="D977" i="3"/>
  <c r="E978" i="3"/>
  <c r="E977" i="3"/>
  <c r="B985" i="3"/>
  <c r="B984" i="3"/>
  <c r="C985" i="3"/>
  <c r="C984" i="3"/>
  <c r="D985" i="3"/>
  <c r="D984" i="3"/>
  <c r="E985" i="3"/>
  <c r="E984" i="3"/>
  <c r="C992" i="3"/>
  <c r="B993" i="3"/>
  <c r="B992" i="3"/>
  <c r="C993" i="3"/>
  <c r="D993" i="3"/>
  <c r="D992" i="3"/>
  <c r="E993" i="3"/>
  <c r="E992" i="3"/>
  <c r="C998" i="3"/>
  <c r="B999" i="3"/>
  <c r="B998" i="3"/>
  <c r="C999" i="3"/>
  <c r="D999" i="3"/>
  <c r="D998" i="3"/>
  <c r="E999" i="3"/>
  <c r="E998" i="3"/>
  <c r="B1006" i="3"/>
  <c r="C1006" i="3"/>
  <c r="D1006" i="3"/>
  <c r="E1006" i="3"/>
  <c r="B1010" i="3"/>
  <c r="B1009" i="3"/>
  <c r="C1010" i="3"/>
  <c r="C1009" i="3"/>
  <c r="D1010" i="3"/>
  <c r="D1009" i="3"/>
  <c r="E1010" i="3"/>
  <c r="E1009" i="3"/>
  <c r="B1015" i="3"/>
  <c r="C1015" i="3"/>
  <c r="D1015" i="3"/>
  <c r="E1015" i="3"/>
  <c r="B1027" i="3"/>
  <c r="C1027" i="3"/>
  <c r="C1023" i="3"/>
  <c r="D1027" i="3"/>
  <c r="E1027" i="3"/>
  <c r="C1034" i="3"/>
  <c r="C1033" i="3"/>
  <c r="B1056" i="3"/>
  <c r="B1034" i="3"/>
  <c r="B1033" i="3"/>
  <c r="C1056" i="3"/>
  <c r="D1056" i="3"/>
  <c r="D1034" i="3"/>
  <c r="D1033" i="3"/>
  <c r="E1056" i="3"/>
  <c r="E1034" i="3"/>
  <c r="E1033" i="3"/>
  <c r="B1061" i="3"/>
  <c r="C1061" i="3"/>
  <c r="D1061" i="3"/>
  <c r="E1061" i="3"/>
  <c r="B1064" i="3"/>
  <c r="C1064" i="3"/>
  <c r="C1060" i="3"/>
  <c r="D1064" i="3"/>
  <c r="E1064" i="3"/>
  <c r="B1069" i="3"/>
  <c r="C1069" i="3"/>
  <c r="D1069" i="3"/>
  <c r="E1069" i="3"/>
  <c r="E1060" i="3"/>
  <c r="B54" i="4"/>
  <c r="B46" i="4"/>
  <c r="C54" i="4"/>
  <c r="C46" i="4"/>
  <c r="D54" i="4"/>
  <c r="D46" i="4"/>
  <c r="D22" i="4"/>
  <c r="D21" i="4"/>
  <c r="D20" i="4"/>
  <c r="E54" i="4"/>
  <c r="E46" i="4"/>
  <c r="F54" i="4"/>
  <c r="F46" i="4"/>
  <c r="F22" i="4"/>
  <c r="F21" i="4"/>
  <c r="B78" i="4"/>
  <c r="B75" i="4"/>
  <c r="C78" i="4"/>
  <c r="C75" i="4"/>
  <c r="D78" i="4"/>
  <c r="D75" i="4"/>
  <c r="E78" i="4"/>
  <c r="E75" i="4"/>
  <c r="F78" i="4"/>
  <c r="F75" i="4"/>
  <c r="D103" i="4"/>
  <c r="B127" i="4"/>
  <c r="B103" i="4"/>
  <c r="C127" i="4"/>
  <c r="C103" i="4"/>
  <c r="D127" i="4"/>
  <c r="E127" i="4"/>
  <c r="E103" i="4"/>
  <c r="F127" i="4"/>
  <c r="F103" i="4"/>
  <c r="B148" i="4"/>
  <c r="C148" i="4"/>
  <c r="D148" i="4"/>
  <c r="E148" i="4"/>
  <c r="F148" i="4"/>
  <c r="B158" i="4"/>
  <c r="C158" i="4"/>
  <c r="D158" i="4"/>
  <c r="E158" i="4"/>
  <c r="F158" i="4"/>
  <c r="F145" i="4"/>
  <c r="B180" i="4"/>
  <c r="B145" i="4"/>
  <c r="C180" i="4"/>
  <c r="D180" i="4"/>
  <c r="D145" i="4"/>
  <c r="E180" i="4"/>
  <c r="F180" i="4"/>
  <c r="B275" i="4"/>
  <c r="B260" i="4"/>
  <c r="B236" i="4"/>
  <c r="C275" i="4"/>
  <c r="C260" i="4"/>
  <c r="C236" i="4"/>
  <c r="D275" i="4"/>
  <c r="D260" i="4"/>
  <c r="D236" i="4"/>
  <c r="E275" i="4"/>
  <c r="E260" i="4"/>
  <c r="E236" i="4"/>
  <c r="F275" i="4"/>
  <c r="F260" i="4"/>
  <c r="F236" i="4"/>
  <c r="B293" i="4"/>
  <c r="B317" i="4"/>
  <c r="C317" i="4"/>
  <c r="C293" i="4"/>
  <c r="D317" i="4"/>
  <c r="D293" i="4"/>
  <c r="E317" i="4"/>
  <c r="E293" i="4"/>
  <c r="F317" i="4"/>
  <c r="F293" i="4"/>
  <c r="B362" i="4"/>
  <c r="B338" i="4"/>
  <c r="C362" i="4"/>
  <c r="C338" i="4"/>
  <c r="D362" i="4"/>
  <c r="D338" i="4"/>
  <c r="E362" i="4"/>
  <c r="E338" i="4"/>
  <c r="E235" i="4"/>
  <c r="F362" i="4"/>
  <c r="F338" i="4"/>
  <c r="B20" i="5"/>
  <c r="C20" i="5"/>
  <c r="D20" i="5"/>
  <c r="E20" i="5"/>
  <c r="F20" i="5"/>
  <c r="B25" i="5"/>
  <c r="C25" i="5"/>
  <c r="D25" i="5"/>
  <c r="E25" i="5"/>
  <c r="F25" i="5"/>
  <c r="B30" i="5"/>
  <c r="C30" i="5"/>
  <c r="D30" i="5"/>
  <c r="E30" i="5"/>
  <c r="F30" i="5"/>
  <c r="B35" i="5"/>
  <c r="C35" i="5"/>
  <c r="D35" i="5"/>
  <c r="E35" i="5"/>
  <c r="F35" i="5"/>
  <c r="B48" i="5"/>
  <c r="C48" i="5"/>
  <c r="D48" i="5"/>
  <c r="E48" i="5"/>
  <c r="F48" i="5"/>
  <c r="B54" i="5"/>
  <c r="C54" i="5"/>
  <c r="D54" i="5"/>
  <c r="E54" i="5"/>
  <c r="F54" i="5"/>
  <c r="B60" i="5"/>
  <c r="C60" i="5"/>
  <c r="D60" i="5"/>
  <c r="E60" i="5"/>
  <c r="F60" i="5"/>
  <c r="B65" i="5"/>
  <c r="C65" i="5"/>
  <c r="D65" i="5"/>
  <c r="E65" i="5"/>
  <c r="F65" i="5"/>
  <c r="B74" i="5"/>
  <c r="C74" i="5"/>
  <c r="D74" i="5"/>
  <c r="E74" i="5"/>
  <c r="F74" i="5"/>
  <c r="B81" i="5"/>
  <c r="C81" i="5"/>
  <c r="D81" i="5"/>
  <c r="E81" i="5"/>
  <c r="F81" i="5"/>
  <c r="B90" i="5"/>
  <c r="C90" i="5"/>
  <c r="D90" i="5"/>
  <c r="E90" i="5"/>
  <c r="F90" i="5"/>
  <c r="B97" i="5"/>
  <c r="C97" i="5"/>
  <c r="D97" i="5"/>
  <c r="E97" i="5"/>
  <c r="F97" i="5"/>
  <c r="B108" i="5"/>
  <c r="C108" i="5"/>
  <c r="D108" i="5"/>
  <c r="E108" i="5"/>
  <c r="F108" i="5"/>
  <c r="B113" i="5"/>
  <c r="C113" i="5"/>
  <c r="D113" i="5"/>
  <c r="E113" i="5"/>
  <c r="F113" i="5"/>
  <c r="B119" i="5"/>
  <c r="C119" i="5"/>
  <c r="D119" i="5"/>
  <c r="E119" i="5"/>
  <c r="F119" i="5"/>
  <c r="B125" i="5"/>
  <c r="C125" i="5"/>
  <c r="D125" i="5"/>
  <c r="E125" i="5"/>
  <c r="F125" i="5"/>
  <c r="B130" i="5"/>
  <c r="C130" i="5"/>
  <c r="D130" i="5"/>
  <c r="E130" i="5"/>
  <c r="F130" i="5"/>
  <c r="B135" i="5"/>
  <c r="C135" i="5"/>
  <c r="D135" i="5"/>
  <c r="E135" i="5"/>
  <c r="F135" i="5"/>
  <c r="B143" i="5"/>
  <c r="C143" i="5"/>
  <c r="D143" i="5"/>
  <c r="E143" i="5"/>
  <c r="F143" i="5"/>
  <c r="B149" i="5"/>
  <c r="C149" i="5"/>
  <c r="D149" i="5"/>
  <c r="E149" i="5"/>
  <c r="F149" i="5"/>
  <c r="B157" i="5"/>
  <c r="C157" i="5"/>
  <c r="D157" i="5"/>
  <c r="E157" i="5"/>
  <c r="F157" i="5"/>
  <c r="B162" i="5"/>
  <c r="C162" i="5"/>
  <c r="D162" i="5"/>
  <c r="E162" i="5"/>
  <c r="F162" i="5"/>
  <c r="B170" i="5"/>
  <c r="C170" i="5"/>
  <c r="D170" i="5"/>
  <c r="E170" i="5"/>
  <c r="F170" i="5"/>
  <c r="B178" i="5"/>
  <c r="C178" i="5"/>
  <c r="D178" i="5"/>
  <c r="E178" i="5"/>
  <c r="F178" i="5"/>
  <c r="B183" i="5"/>
  <c r="C183" i="5"/>
  <c r="D183" i="5"/>
  <c r="E183" i="5"/>
  <c r="F183" i="5"/>
  <c r="B190" i="5"/>
  <c r="C190" i="5"/>
  <c r="D190" i="5"/>
  <c r="E190" i="5"/>
  <c r="F190" i="5"/>
  <c r="B198" i="5"/>
  <c r="C198" i="5"/>
  <c r="D198" i="5"/>
  <c r="E198" i="5"/>
  <c r="F198" i="5"/>
  <c r="B204" i="5"/>
  <c r="C204" i="5"/>
  <c r="D204" i="5"/>
  <c r="E204" i="5"/>
  <c r="F204" i="5"/>
  <c r="C46" i="6"/>
  <c r="D46" i="6"/>
  <c r="G46" i="6"/>
  <c r="H46" i="6"/>
  <c r="B54" i="6"/>
  <c r="B46" i="6"/>
  <c r="C54" i="6"/>
  <c r="D54" i="6"/>
  <c r="E54" i="6"/>
  <c r="E46" i="6"/>
  <c r="F54" i="6"/>
  <c r="F46" i="6"/>
  <c r="G54" i="6"/>
  <c r="H54" i="6"/>
  <c r="I54" i="6"/>
  <c r="I46" i="6"/>
  <c r="J54" i="6"/>
  <c r="J46" i="6"/>
  <c r="E75" i="6"/>
  <c r="E22" i="6"/>
  <c r="E21" i="6"/>
  <c r="I75" i="6"/>
  <c r="I22" i="6"/>
  <c r="B78" i="6"/>
  <c r="B75" i="6"/>
  <c r="B22" i="6"/>
  <c r="C78" i="6"/>
  <c r="C75" i="6"/>
  <c r="D78" i="6"/>
  <c r="D75" i="6"/>
  <c r="D22" i="6"/>
  <c r="E78" i="6"/>
  <c r="F78" i="6"/>
  <c r="F75" i="6"/>
  <c r="F22" i="6"/>
  <c r="G78" i="6"/>
  <c r="G75" i="6"/>
  <c r="H78" i="6"/>
  <c r="H75" i="6"/>
  <c r="H22" i="6"/>
  <c r="H21" i="6"/>
  <c r="H20" i="6"/>
  <c r="I78" i="6"/>
  <c r="J78" i="6"/>
  <c r="J75" i="6"/>
  <c r="D103" i="6"/>
  <c r="G103" i="6"/>
  <c r="B127" i="6"/>
  <c r="B103" i="6"/>
  <c r="C127" i="6"/>
  <c r="C103" i="6"/>
  <c r="C21" i="6"/>
  <c r="D127" i="6"/>
  <c r="E127" i="6"/>
  <c r="E103" i="6"/>
  <c r="F127" i="6"/>
  <c r="F103" i="6"/>
  <c r="G127" i="6"/>
  <c r="H127" i="6"/>
  <c r="H103" i="6"/>
  <c r="I127" i="6"/>
  <c r="I103" i="6"/>
  <c r="J127" i="6"/>
  <c r="J103" i="6"/>
  <c r="B148" i="6"/>
  <c r="B145" i="6"/>
  <c r="B21" i="6"/>
  <c r="C148" i="6"/>
  <c r="D148" i="6"/>
  <c r="E148" i="6"/>
  <c r="F148" i="6"/>
  <c r="G148" i="6"/>
  <c r="H148" i="6"/>
  <c r="I148" i="6"/>
  <c r="J148" i="6"/>
  <c r="J145" i="6"/>
  <c r="B158" i="6"/>
  <c r="C158" i="6"/>
  <c r="D158" i="6"/>
  <c r="E158" i="6"/>
  <c r="F158" i="6"/>
  <c r="F145" i="6"/>
  <c r="F21" i="6"/>
  <c r="F20" i="6"/>
  <c r="G158" i="6"/>
  <c r="H158" i="6"/>
  <c r="H145" i="6"/>
  <c r="I158" i="6"/>
  <c r="J158" i="6"/>
  <c r="B180" i="6"/>
  <c r="C180" i="6"/>
  <c r="C145" i="6"/>
  <c r="D180" i="6"/>
  <c r="D145" i="6"/>
  <c r="D21" i="6"/>
  <c r="E180" i="6"/>
  <c r="E145" i="6"/>
  <c r="F180" i="6"/>
  <c r="G180" i="6"/>
  <c r="G145" i="6"/>
  <c r="H180" i="6"/>
  <c r="I180" i="6"/>
  <c r="I145" i="6"/>
  <c r="J180" i="6"/>
  <c r="B275" i="6"/>
  <c r="B260" i="6"/>
  <c r="B236" i="6"/>
  <c r="B235" i="6"/>
  <c r="C275" i="6"/>
  <c r="C260" i="6"/>
  <c r="C236" i="6"/>
  <c r="D275" i="6"/>
  <c r="D260" i="6"/>
  <c r="D236" i="6"/>
  <c r="E275" i="6"/>
  <c r="E260" i="6"/>
  <c r="E236" i="6"/>
  <c r="F275" i="6"/>
  <c r="F260" i="6"/>
  <c r="F236" i="6"/>
  <c r="G275" i="6"/>
  <c r="G260" i="6"/>
  <c r="G236" i="6"/>
  <c r="H275" i="6"/>
  <c r="H260" i="6"/>
  <c r="H236" i="6"/>
  <c r="I275" i="6"/>
  <c r="I260" i="6"/>
  <c r="I236" i="6"/>
  <c r="J275" i="6"/>
  <c r="J260" i="6"/>
  <c r="J236" i="6"/>
  <c r="B293" i="6"/>
  <c r="F293" i="6"/>
  <c r="J293" i="6"/>
  <c r="B317" i="6"/>
  <c r="C317" i="6"/>
  <c r="C293" i="6"/>
  <c r="D317" i="6"/>
  <c r="D293" i="6"/>
  <c r="E317" i="6"/>
  <c r="E293" i="6"/>
  <c r="F317" i="6"/>
  <c r="G317" i="6"/>
  <c r="G293" i="6"/>
  <c r="H317" i="6"/>
  <c r="H293" i="6"/>
  <c r="I317" i="6"/>
  <c r="I293" i="6"/>
  <c r="J317" i="6"/>
  <c r="G338" i="6"/>
  <c r="H338" i="6"/>
  <c r="H235" i="6"/>
  <c r="B362" i="6"/>
  <c r="B338" i="6"/>
  <c r="C362" i="6"/>
  <c r="C338" i="6"/>
  <c r="C235" i="6"/>
  <c r="D362" i="6"/>
  <c r="D338" i="6"/>
  <c r="E362" i="6"/>
  <c r="E338" i="6"/>
  <c r="F362" i="6"/>
  <c r="F338" i="6"/>
  <c r="F235" i="6"/>
  <c r="G362" i="6"/>
  <c r="H362" i="6"/>
  <c r="I362" i="6"/>
  <c r="I338" i="6"/>
  <c r="I235" i="6"/>
  <c r="J362" i="6"/>
  <c r="J338" i="6"/>
  <c r="B20" i="7"/>
  <c r="C20" i="7"/>
  <c r="D20" i="7"/>
  <c r="E20" i="7"/>
  <c r="F20" i="7"/>
  <c r="G20" i="7"/>
  <c r="H20" i="7"/>
  <c r="I20" i="7"/>
  <c r="J20" i="7"/>
  <c r="B25" i="7"/>
  <c r="C25" i="7"/>
  <c r="D25" i="7"/>
  <c r="E25" i="7"/>
  <c r="F25" i="7"/>
  <c r="G25" i="7"/>
  <c r="H25" i="7"/>
  <c r="I25" i="7"/>
  <c r="J25" i="7"/>
  <c r="B30" i="7"/>
  <c r="C30" i="7"/>
  <c r="D30" i="7"/>
  <c r="E30" i="7"/>
  <c r="F30" i="7"/>
  <c r="G30" i="7"/>
  <c r="H30" i="7"/>
  <c r="I30" i="7"/>
  <c r="J30" i="7"/>
  <c r="B35" i="7"/>
  <c r="C35" i="7"/>
  <c r="D35" i="7"/>
  <c r="E35" i="7"/>
  <c r="F35" i="7"/>
  <c r="G35" i="7"/>
  <c r="H35" i="7"/>
  <c r="I35" i="7"/>
  <c r="I19" i="7"/>
  <c r="J35" i="7"/>
  <c r="B48" i="7"/>
  <c r="C48" i="7"/>
  <c r="D48" i="7"/>
  <c r="E48" i="7"/>
  <c r="F48" i="7"/>
  <c r="G48" i="7"/>
  <c r="H48" i="7"/>
  <c r="H19" i="7"/>
  <c r="I48" i="7"/>
  <c r="J48" i="7"/>
  <c r="B54" i="7"/>
  <c r="C54" i="7"/>
  <c r="D54" i="7"/>
  <c r="E54" i="7"/>
  <c r="F54" i="7"/>
  <c r="G54" i="7"/>
  <c r="G19" i="7"/>
  <c r="H54" i="7"/>
  <c r="I54" i="7"/>
  <c r="J54" i="7"/>
  <c r="B60" i="7"/>
  <c r="C60" i="7"/>
  <c r="D60" i="7"/>
  <c r="E60" i="7"/>
  <c r="F60" i="7"/>
  <c r="G60" i="7"/>
  <c r="H60" i="7"/>
  <c r="I60" i="7"/>
  <c r="J60" i="7"/>
  <c r="B65" i="7"/>
  <c r="C65" i="7"/>
  <c r="D65" i="7"/>
  <c r="E65" i="7"/>
  <c r="F65" i="7"/>
  <c r="G65" i="7"/>
  <c r="H65" i="7"/>
  <c r="I65" i="7"/>
  <c r="J65" i="7"/>
  <c r="B74" i="7"/>
  <c r="C74" i="7"/>
  <c r="D74" i="7"/>
  <c r="E74" i="7"/>
  <c r="F74" i="7"/>
  <c r="G74" i="7"/>
  <c r="H74" i="7"/>
  <c r="I74" i="7"/>
  <c r="J74" i="7"/>
  <c r="B81" i="7"/>
  <c r="C81" i="7"/>
  <c r="D81" i="7"/>
  <c r="E81" i="7"/>
  <c r="F81" i="7"/>
  <c r="G81" i="7"/>
  <c r="H81" i="7"/>
  <c r="I81" i="7"/>
  <c r="J81" i="7"/>
  <c r="B90" i="7"/>
  <c r="C90" i="7"/>
  <c r="D90" i="7"/>
  <c r="E90" i="7"/>
  <c r="F90" i="7"/>
  <c r="G90" i="7"/>
  <c r="H90" i="7"/>
  <c r="I90" i="7"/>
  <c r="J90" i="7"/>
  <c r="J19" i="7"/>
  <c r="B97" i="7"/>
  <c r="C97" i="7"/>
  <c r="D97" i="7"/>
  <c r="E97" i="7"/>
  <c r="F97" i="7"/>
  <c r="G97" i="7"/>
  <c r="H97" i="7"/>
  <c r="I97" i="7"/>
  <c r="J97" i="7"/>
  <c r="B108" i="7"/>
  <c r="C108" i="7"/>
  <c r="D108" i="7"/>
  <c r="E108" i="7"/>
  <c r="F108" i="7"/>
  <c r="G108" i="7"/>
  <c r="H108" i="7"/>
  <c r="I108" i="7"/>
  <c r="J108" i="7"/>
  <c r="B113" i="7"/>
  <c r="C113" i="7"/>
  <c r="D113" i="7"/>
  <c r="E113" i="7"/>
  <c r="F113" i="7"/>
  <c r="G113" i="7"/>
  <c r="H113" i="7"/>
  <c r="I113" i="7"/>
  <c r="J113" i="7"/>
  <c r="B119" i="7"/>
  <c r="C119" i="7"/>
  <c r="D119" i="7"/>
  <c r="E119" i="7"/>
  <c r="F119" i="7"/>
  <c r="G119" i="7"/>
  <c r="H119" i="7"/>
  <c r="I119" i="7"/>
  <c r="J119" i="7"/>
  <c r="B125" i="7"/>
  <c r="C125" i="7"/>
  <c r="D125" i="7"/>
  <c r="E125" i="7"/>
  <c r="F125" i="7"/>
  <c r="G125" i="7"/>
  <c r="H125" i="7"/>
  <c r="I125" i="7"/>
  <c r="J125" i="7"/>
  <c r="B130" i="7"/>
  <c r="C130" i="7"/>
  <c r="D130" i="7"/>
  <c r="E130" i="7"/>
  <c r="F130" i="7"/>
  <c r="G130" i="7"/>
  <c r="H130" i="7"/>
  <c r="I130" i="7"/>
  <c r="J130" i="7"/>
  <c r="B135" i="7"/>
  <c r="C135" i="7"/>
  <c r="D135" i="7"/>
  <c r="E135" i="7"/>
  <c r="F135" i="7"/>
  <c r="G135" i="7"/>
  <c r="H135" i="7"/>
  <c r="I135" i="7"/>
  <c r="J135" i="7"/>
  <c r="B143" i="7"/>
  <c r="C143" i="7"/>
  <c r="D143" i="7"/>
  <c r="E143" i="7"/>
  <c r="F143" i="7"/>
  <c r="G143" i="7"/>
  <c r="H143" i="7"/>
  <c r="I143" i="7"/>
  <c r="J143" i="7"/>
  <c r="B149" i="7"/>
  <c r="C149" i="7"/>
  <c r="D149" i="7"/>
  <c r="E149" i="7"/>
  <c r="F149" i="7"/>
  <c r="G149" i="7"/>
  <c r="H149" i="7"/>
  <c r="I149" i="7"/>
  <c r="J149" i="7"/>
  <c r="B157" i="7"/>
  <c r="C157" i="7"/>
  <c r="D157" i="7"/>
  <c r="E157" i="7"/>
  <c r="F157" i="7"/>
  <c r="G157" i="7"/>
  <c r="H157" i="7"/>
  <c r="I157" i="7"/>
  <c r="J157" i="7"/>
  <c r="B162" i="7"/>
  <c r="C162" i="7"/>
  <c r="D162" i="7"/>
  <c r="E162" i="7"/>
  <c r="F162" i="7"/>
  <c r="G162" i="7"/>
  <c r="H162" i="7"/>
  <c r="I162" i="7"/>
  <c r="J162" i="7"/>
  <c r="B170" i="7"/>
  <c r="C170" i="7"/>
  <c r="D170" i="7"/>
  <c r="E170" i="7"/>
  <c r="F170" i="7"/>
  <c r="G170" i="7"/>
  <c r="H170" i="7"/>
  <c r="I170" i="7"/>
  <c r="J170" i="7"/>
  <c r="B178" i="7"/>
  <c r="C178" i="7"/>
  <c r="D178" i="7"/>
  <c r="E178" i="7"/>
  <c r="F178" i="7"/>
  <c r="G178" i="7"/>
  <c r="H178" i="7"/>
  <c r="I178" i="7"/>
  <c r="J178" i="7"/>
  <c r="B183" i="7"/>
  <c r="C183" i="7"/>
  <c r="D183" i="7"/>
  <c r="E183" i="7"/>
  <c r="F183" i="7"/>
  <c r="G183" i="7"/>
  <c r="H183" i="7"/>
  <c r="I183" i="7"/>
  <c r="J183" i="7"/>
  <c r="B190" i="7"/>
  <c r="C190" i="7"/>
  <c r="D190" i="7"/>
  <c r="E190" i="7"/>
  <c r="F190" i="7"/>
  <c r="G190" i="7"/>
  <c r="H190" i="7"/>
  <c r="I190" i="7"/>
  <c r="J190" i="7"/>
  <c r="B198" i="7"/>
  <c r="C198" i="7"/>
  <c r="D198" i="7"/>
  <c r="E198" i="7"/>
  <c r="F198" i="7"/>
  <c r="G198" i="7"/>
  <c r="H198" i="7"/>
  <c r="I198" i="7"/>
  <c r="J198" i="7"/>
  <c r="B204" i="7"/>
  <c r="C204" i="7"/>
  <c r="D204" i="7"/>
  <c r="E204" i="7"/>
  <c r="F204" i="7"/>
  <c r="G204" i="7"/>
  <c r="H204" i="7"/>
  <c r="I204" i="7"/>
  <c r="J204" i="7"/>
  <c r="B24" i="8"/>
  <c r="B27" i="8"/>
  <c r="B29" i="8"/>
  <c r="B32" i="8"/>
  <c r="B31" i="8"/>
  <c r="B37" i="8"/>
  <c r="B41" i="8"/>
  <c r="B43" i="8"/>
  <c r="B49" i="8"/>
  <c r="B52" i="8"/>
  <c r="B59" i="8"/>
  <c r="B61" i="8"/>
  <c r="B63" i="8"/>
  <c r="B58" i="8"/>
  <c r="B66" i="8"/>
  <c r="B68" i="8"/>
  <c r="B74" i="8"/>
  <c r="B65" i="8"/>
  <c r="B82" i="8"/>
  <c r="B84" i="8"/>
  <c r="B86" i="8"/>
  <c r="B88" i="8"/>
  <c r="B90" i="8"/>
  <c r="B93" i="8"/>
  <c r="B95" i="8"/>
  <c r="B97" i="8"/>
  <c r="B99" i="8"/>
  <c r="B102" i="8"/>
  <c r="B104" i="8"/>
  <c r="B106" i="8"/>
  <c r="B109" i="8"/>
  <c r="B111" i="8"/>
  <c r="B113" i="8"/>
  <c r="B115" i="8"/>
  <c r="B117" i="8"/>
  <c r="B118" i="8"/>
  <c r="B121" i="8"/>
  <c r="B124" i="8"/>
  <c r="B126" i="8"/>
  <c r="B128" i="8"/>
  <c r="B133" i="8"/>
  <c r="B135" i="8"/>
  <c r="B132" i="8"/>
  <c r="B142" i="8"/>
  <c r="B144" i="8"/>
  <c r="B146" i="8"/>
  <c r="B152" i="8"/>
  <c r="B159" i="8"/>
  <c r="B161" i="8"/>
  <c r="B163" i="8"/>
  <c r="B167" i="8"/>
  <c r="B173" i="8"/>
  <c r="B175" i="8"/>
  <c r="B181" i="8"/>
  <c r="B183" i="8"/>
  <c r="B189" i="8"/>
  <c r="B192" i="8"/>
  <c r="B198" i="8"/>
  <c r="B200" i="8"/>
  <c r="B206" i="8"/>
  <c r="B212" i="8"/>
  <c r="B218" i="8"/>
  <c r="B224" i="8"/>
  <c r="B191" i="8"/>
  <c r="B231" i="8"/>
  <c r="B230" i="8"/>
  <c r="B237" i="8"/>
  <c r="B239" i="8"/>
  <c r="B245" i="8"/>
  <c r="B247" i="8"/>
  <c r="B253" i="8"/>
  <c r="B260" i="8"/>
  <c r="B259" i="8"/>
  <c r="B267" i="8"/>
  <c r="B266" i="8"/>
  <c r="B269" i="8"/>
  <c r="B272" i="8"/>
  <c r="B271" i="8"/>
  <c r="B279" i="8"/>
  <c r="B278" i="8"/>
  <c r="B281" i="8"/>
  <c r="B284" i="8"/>
  <c r="B290" i="8"/>
  <c r="B283" i="8"/>
  <c r="B296" i="8"/>
  <c r="B304" i="8"/>
  <c r="B306" i="8"/>
  <c r="B308" i="8"/>
  <c r="B310" i="8"/>
  <c r="B312" i="8"/>
  <c r="B315" i="8"/>
  <c r="B314" i="8"/>
  <c r="B320" i="8"/>
  <c r="B322" i="8"/>
  <c r="B327" i="8"/>
  <c r="B333" i="8"/>
  <c r="B335" i="8"/>
  <c r="B332" i="8"/>
  <c r="B338" i="8"/>
  <c r="B337" i="8"/>
  <c r="B341" i="8"/>
  <c r="B340" i="8"/>
  <c r="B343" i="8"/>
  <c r="B344" i="8"/>
  <c r="B347" i="8"/>
  <c r="B351" i="8"/>
  <c r="B346" i="8"/>
  <c r="B353" i="8"/>
  <c r="B354" i="8"/>
  <c r="B362" i="8"/>
  <c r="B364" i="8"/>
  <c r="B366" i="8"/>
  <c r="B368" i="8"/>
  <c r="B361" i="8"/>
  <c r="B374" i="8"/>
  <c r="B376" i="8"/>
  <c r="B378" i="8"/>
  <c r="B384" i="8"/>
  <c r="B387" i="8"/>
  <c r="B393" i="8"/>
  <c r="B395" i="8"/>
  <c r="B386" i="8"/>
  <c r="B397" i="8"/>
  <c r="B404" i="8"/>
  <c r="B406" i="8"/>
  <c r="B408" i="8"/>
  <c r="B410" i="8"/>
  <c r="B413" i="8"/>
  <c r="B412" i="8"/>
  <c r="B419" i="8"/>
  <c r="B420" i="8"/>
  <c r="B428" i="8"/>
  <c r="B434" i="8"/>
  <c r="B440" i="8"/>
  <c r="B447" i="8"/>
  <c r="B453" i="8"/>
  <c r="B459" i="8"/>
  <c r="B465" i="8"/>
  <c r="B473" i="8"/>
  <c r="B472" i="8"/>
  <c r="B480" i="8"/>
  <c r="B479" i="8"/>
  <c r="B487" i="8"/>
  <c r="B486" i="8"/>
  <c r="B495" i="8"/>
  <c r="B501" i="8"/>
  <c r="B507" i="8"/>
  <c r="B513" i="8"/>
  <c r="B519" i="8"/>
  <c r="B525" i="8"/>
  <c r="B531" i="8"/>
  <c r="B532" i="8"/>
  <c r="B539" i="8"/>
  <c r="B541" i="8"/>
  <c r="B543" i="8"/>
  <c r="B538" i="8"/>
  <c r="B545" i="8"/>
  <c r="B547" i="8"/>
  <c r="B550" i="8"/>
  <c r="B552" i="8"/>
  <c r="B554" i="8"/>
  <c r="B560" i="8"/>
  <c r="B566" i="8"/>
  <c r="B573" i="8"/>
  <c r="B572" i="8"/>
  <c r="B580" i="8"/>
  <c r="B586" i="8"/>
  <c r="B588" i="8"/>
  <c r="B590" i="8"/>
  <c r="B596" i="8"/>
  <c r="B603" i="8"/>
  <c r="B609" i="8"/>
  <c r="B615" i="8"/>
  <c r="B621" i="8"/>
  <c r="B627" i="8"/>
  <c r="B602" i="8"/>
  <c r="B631" i="8"/>
  <c r="B633" i="8"/>
  <c r="B639" i="8"/>
  <c r="B646" i="8"/>
  <c r="B651" i="8"/>
  <c r="B645" i="8"/>
  <c r="B655" i="8"/>
  <c r="B661" i="8"/>
  <c r="B667" i="8"/>
  <c r="B673" i="8"/>
  <c r="B679" i="8"/>
  <c r="B683" i="8"/>
  <c r="B694" i="8"/>
  <c r="B700" i="8"/>
  <c r="B706" i="8"/>
  <c r="B712" i="8"/>
  <c r="B693" i="8"/>
  <c r="B718" i="8"/>
  <c r="B725" i="8"/>
  <c r="B731" i="8"/>
  <c r="B738" i="8"/>
  <c r="B744" i="8"/>
  <c r="B750" i="8"/>
  <c r="B737" i="8"/>
  <c r="B756" i="8"/>
  <c r="B762" i="8"/>
  <c r="B771" i="8"/>
  <c r="B770" i="8"/>
  <c r="B781" i="8"/>
  <c r="B787" i="8"/>
  <c r="B793" i="8"/>
  <c r="B769" i="8"/>
  <c r="B799" i="8"/>
  <c r="B805" i="8"/>
  <c r="B811" i="8"/>
  <c r="B818" i="8"/>
  <c r="B817" i="8"/>
  <c r="B824" i="8"/>
  <c r="B825" i="8"/>
  <c r="B830" i="8"/>
  <c r="B829" i="8"/>
  <c r="B836" i="8"/>
  <c r="B842" i="8"/>
  <c r="B835" i="8"/>
  <c r="B848" i="8"/>
  <c r="B849" i="8"/>
  <c r="B855" i="8"/>
  <c r="B862" i="8"/>
  <c r="B861" i="8"/>
  <c r="B868" i="8"/>
  <c r="B876" i="8"/>
  <c r="B882" i="8"/>
  <c r="B888" i="8"/>
  <c r="B894" i="8"/>
  <c r="B897" i="8"/>
  <c r="B903" i="8"/>
  <c r="B905" i="8"/>
  <c r="B911" i="8"/>
  <c r="B917" i="8"/>
  <c r="B923" i="8"/>
  <c r="B929" i="8"/>
  <c r="B936" i="8"/>
  <c r="B942" i="8"/>
  <c r="B944" i="8"/>
  <c r="B950" i="8"/>
  <c r="B953" i="8"/>
  <c r="B956" i="8"/>
  <c r="B959" i="8"/>
  <c r="B952" i="8"/>
  <c r="B935" i="8"/>
  <c r="B962" i="8"/>
  <c r="B965" i="8"/>
  <c r="B968" i="8"/>
  <c r="B975" i="8"/>
  <c r="B974" i="8"/>
  <c r="B982" i="8"/>
  <c r="B984" i="8"/>
  <c r="B981" i="8"/>
  <c r="B988" i="8"/>
  <c r="B987" i="8"/>
  <c r="B994" i="8"/>
  <c r="B1001" i="8"/>
  <c r="B1000" i="8"/>
  <c r="B1004" i="8"/>
  <c r="B1003" i="8"/>
  <c r="B1012" i="8"/>
  <c r="B1014" i="8"/>
  <c r="B1011" i="8"/>
  <c r="B1016" i="8"/>
  <c r="B1018" i="8"/>
  <c r="B1020" i="8"/>
  <c r="B1023" i="8"/>
  <c r="B1027" i="8"/>
  <c r="B1022" i="8"/>
  <c r="B1030" i="8"/>
  <c r="B1035" i="8"/>
  <c r="B1041" i="8"/>
  <c r="B1043" i="8"/>
  <c r="B1040" i="8"/>
  <c r="B1046" i="8"/>
  <c r="B1045" i="8"/>
  <c r="B1048" i="8"/>
  <c r="B1049" i="8"/>
  <c r="B1052" i="8"/>
  <c r="B1051" i="8"/>
  <c r="B1055" i="8"/>
  <c r="B1059" i="8"/>
  <c r="B1054" i="8"/>
  <c r="B1062" i="8"/>
  <c r="B1061" i="8"/>
  <c r="B1065" i="8"/>
  <c r="B1064" i="8"/>
  <c r="B1073" i="8"/>
  <c r="B1075" i="8"/>
  <c r="B1077" i="8"/>
  <c r="B1079" i="8"/>
  <c r="B1082" i="8"/>
  <c r="B1085" i="8"/>
  <c r="B1087" i="8"/>
  <c r="B1089" i="8"/>
  <c r="B1092" i="8"/>
  <c r="B1091" i="8"/>
  <c r="B1094" i="8"/>
  <c r="B1096" i="8"/>
  <c r="B1098" i="8"/>
  <c r="B1100" i="8"/>
  <c r="B1107" i="8"/>
  <c r="B1106" i="8"/>
  <c r="B1114" i="8"/>
  <c r="B1120" i="8"/>
  <c r="B1122" i="8"/>
  <c r="B1124" i="8"/>
  <c r="B1125" i="8"/>
  <c r="B1129" i="8"/>
  <c r="B1128" i="8"/>
  <c r="B1136" i="8"/>
  <c r="B1142" i="8"/>
  <c r="B1135" i="8"/>
  <c r="B1149" i="8"/>
  <c r="B1151" i="8"/>
  <c r="B1153" i="8"/>
  <c r="B1155" i="8"/>
  <c r="B1157" i="8"/>
  <c r="B1160" i="8"/>
  <c r="B1159" i="8"/>
  <c r="B1167" i="8"/>
  <c r="B1166" i="8"/>
  <c r="B1173" i="8"/>
  <c r="B1180" i="8"/>
  <c r="B1185" i="8"/>
  <c r="B1189" i="8"/>
  <c r="B1195" i="8"/>
  <c r="B1201" i="8"/>
  <c r="B1207" i="8"/>
  <c r="B1213" i="8"/>
  <c r="B1215" i="8"/>
  <c r="B660" i="3"/>
  <c r="B659" i="3"/>
  <c r="B493" i="3"/>
  <c r="B59" i="3"/>
  <c r="B41" i="3"/>
  <c r="B23" i="3"/>
  <c r="B22" i="3"/>
  <c r="B1148" i="8"/>
  <c r="B724" i="8"/>
  <c r="B92" i="8"/>
  <c r="B23" i="8"/>
  <c r="B1073" i="1"/>
  <c r="B966" i="1"/>
  <c r="B847" i="1"/>
  <c r="B833" i="1"/>
  <c r="B750" i="1"/>
  <c r="B747" i="1"/>
  <c r="B650" i="1"/>
  <c r="B712" i="1"/>
  <c r="B703" i="1"/>
  <c r="B522" i="1"/>
  <c r="B469" i="1"/>
  <c r="B433" i="1"/>
  <c r="B357" i="1"/>
  <c r="B152" i="1"/>
  <c r="B124" i="1"/>
  <c r="B22" i="1"/>
  <c r="B21" i="1"/>
  <c r="B75" i="1"/>
  <c r="B32" i="1"/>
  <c r="C922" i="3"/>
  <c r="F19" i="7"/>
  <c r="B101" i="8"/>
  <c r="G22" i="6"/>
  <c r="C22" i="6"/>
  <c r="D19" i="7"/>
  <c r="B1072" i="8"/>
  <c r="B120" i="8"/>
  <c r="C983" i="3"/>
  <c r="C854" i="3"/>
  <c r="C846" i="3"/>
  <c r="C845" i="3"/>
  <c r="E19" i="5"/>
  <c r="E1023" i="3"/>
  <c r="D830" i="3"/>
  <c r="C708" i="3"/>
  <c r="C493" i="3"/>
  <c r="C400" i="3"/>
  <c r="C353" i="3"/>
  <c r="C229" i="3"/>
  <c r="C228" i="3"/>
  <c r="E91" i="3"/>
  <c r="E90" i="3"/>
  <c r="D1023" i="3"/>
  <c r="D983" i="3"/>
  <c r="C573" i="3"/>
  <c r="C23" i="3"/>
  <c r="C22" i="3"/>
  <c r="B1008" i="1"/>
  <c r="E145" i="4"/>
  <c r="C660" i="3"/>
  <c r="C659" i="3"/>
  <c r="C418" i="3"/>
  <c r="C417" i="3"/>
  <c r="C307" i="3"/>
  <c r="C306" i="3"/>
  <c r="C156" i="3"/>
  <c r="B708" i="3"/>
  <c r="B573" i="3"/>
  <c r="B551" i="3"/>
  <c r="B418" i="3"/>
  <c r="B306" i="3"/>
  <c r="E272" i="3"/>
  <c r="B671" i="1"/>
  <c r="B544" i="1"/>
  <c r="B402" i="1"/>
  <c r="B172" i="1"/>
  <c r="E708" i="3"/>
  <c r="E573" i="3"/>
  <c r="E418" i="3"/>
  <c r="E417" i="3"/>
  <c r="D380" i="3"/>
  <c r="D272" i="3"/>
  <c r="B911" i="1"/>
  <c r="B867" i="1"/>
  <c r="B651" i="1"/>
  <c r="B383" i="1"/>
  <c r="B356" i="1"/>
  <c r="D708" i="3"/>
  <c r="D691" i="3"/>
  <c r="D690" i="3"/>
  <c r="E691" i="3"/>
  <c r="D418" i="3"/>
  <c r="B91" i="3"/>
  <c r="B90" i="3"/>
  <c r="E23" i="3"/>
  <c r="E22" i="3"/>
  <c r="B725" i="1"/>
  <c r="B603" i="1"/>
  <c r="B489" i="1"/>
  <c r="B468" i="1"/>
  <c r="B456" i="1"/>
  <c r="B135" i="1"/>
  <c r="G21" i="6"/>
  <c r="C19" i="5"/>
  <c r="D19" i="5"/>
  <c r="F19" i="5"/>
  <c r="B19" i="5"/>
  <c r="D235" i="4"/>
  <c r="C235" i="4"/>
  <c r="B235" i="4"/>
  <c r="C20" i="6"/>
  <c r="B1127" i="8"/>
  <c r="B471" i="8"/>
  <c r="G235" i="6"/>
  <c r="F20" i="4"/>
  <c r="E235" i="6"/>
  <c r="E20" i="6"/>
  <c r="B20" i="6"/>
  <c r="J22" i="6"/>
  <c r="J21" i="6"/>
  <c r="C911" i="3"/>
  <c r="C843" i="3"/>
  <c r="C842" i="3"/>
  <c r="B1010" i="8"/>
  <c r="E551" i="3"/>
  <c r="B692" i="8"/>
  <c r="G20" i="6"/>
  <c r="B1071" i="8"/>
  <c r="D235" i="6"/>
  <c r="C253" i="3"/>
  <c r="D20" i="6"/>
  <c r="I21" i="6"/>
  <c r="I20" i="6"/>
  <c r="E843" i="3"/>
  <c r="E842" i="3"/>
  <c r="B1023" i="3"/>
  <c r="E911" i="3"/>
  <c r="B691" i="3"/>
  <c r="D582" i="3"/>
  <c r="D573" i="3"/>
  <c r="E19" i="7"/>
  <c r="B1179" i="8"/>
  <c r="B875" i="8"/>
  <c r="B874" i="8"/>
  <c r="B403" i="8"/>
  <c r="B360" i="8"/>
  <c r="F235" i="4"/>
  <c r="E22" i="4"/>
  <c r="E21" i="4"/>
  <c r="E20" i="4"/>
  <c r="D911" i="3"/>
  <c r="D843" i="3"/>
  <c r="E742" i="3"/>
  <c r="E660" i="3"/>
  <c r="E659" i="3"/>
  <c r="D517" i="3"/>
  <c r="B380" i="3"/>
  <c r="B272" i="3"/>
  <c r="B253" i="3"/>
  <c r="C108" i="3"/>
  <c r="B579" i="8"/>
  <c r="B494" i="8"/>
  <c r="B158" i="8"/>
  <c r="C19" i="7"/>
  <c r="D1060" i="3"/>
  <c r="B890" i="3"/>
  <c r="B846" i="3"/>
  <c r="B845" i="3"/>
  <c r="B843" i="3"/>
  <c r="C380" i="3"/>
  <c r="B19" i="7"/>
  <c r="C145" i="4"/>
  <c r="D942" i="3"/>
  <c r="B517" i="3"/>
  <c r="B417" i="3"/>
  <c r="D156" i="3"/>
  <c r="D91" i="3"/>
  <c r="D90" i="3"/>
  <c r="B166" i="8"/>
  <c r="B165" i="8"/>
  <c r="B1081" i="8"/>
  <c r="B446" i="8"/>
  <c r="B141" i="8"/>
  <c r="J235" i="6"/>
  <c r="C22" i="4"/>
  <c r="C21" i="4"/>
  <c r="C20" i="4"/>
  <c r="B1060" i="3"/>
  <c r="B983" i="3"/>
  <c r="B796" i="3"/>
  <c r="B742" i="3"/>
  <c r="E380" i="3"/>
  <c r="B22" i="8"/>
  <c r="B896" i="8"/>
  <c r="B768" i="8"/>
  <c r="B549" i="8"/>
  <c r="B493" i="8"/>
  <c r="B303" i="8"/>
  <c r="B302" i="8"/>
  <c r="E629" i="3"/>
  <c r="D551" i="3"/>
  <c r="D493" i="3"/>
  <c r="D353" i="3"/>
  <c r="D306" i="3"/>
  <c r="D253" i="3"/>
  <c r="D172" i="3"/>
  <c r="B982" i="1"/>
  <c r="B981" i="1"/>
  <c r="B846" i="1"/>
  <c r="B467" i="1"/>
  <c r="B108" i="8"/>
  <c r="B80" i="8"/>
  <c r="B22" i="4"/>
  <c r="B21" i="4"/>
  <c r="B20" i="4"/>
  <c r="D629" i="3"/>
  <c r="C91" i="3"/>
  <c r="C90" i="3"/>
  <c r="B1113" i="8"/>
  <c r="B834" i="8"/>
  <c r="B427" i="8"/>
  <c r="B81" i="8"/>
  <c r="E983" i="3"/>
  <c r="E830" i="3"/>
  <c r="E690" i="3"/>
  <c r="C691" i="3"/>
  <c r="C690" i="3"/>
  <c r="C629" i="3"/>
  <c r="C551" i="3"/>
  <c r="E334" i="3"/>
  <c r="E306" i="3"/>
  <c r="E253" i="3"/>
  <c r="E21" i="3"/>
  <c r="D194" i="3"/>
  <c r="B21" i="3"/>
  <c r="E20" i="3"/>
  <c r="E1078" i="3"/>
  <c r="C21" i="3"/>
  <c r="C20" i="3"/>
  <c r="C1078" i="3"/>
  <c r="D842" i="3"/>
  <c r="B691" i="8"/>
  <c r="B131" i="8"/>
  <c r="B21" i="8"/>
  <c r="B690" i="3"/>
  <c r="J20" i="6"/>
  <c r="B842" i="3"/>
  <c r="B426" i="8"/>
  <c r="D417" i="3"/>
  <c r="D21" i="3"/>
  <c r="D20" i="3"/>
  <c r="D1078" i="3"/>
  <c r="B1223" i="8"/>
  <c r="B20" i="3"/>
  <c r="B1078" i="3"/>
</calcChain>
</file>

<file path=xl/sharedStrings.xml><?xml version="1.0" encoding="utf-8"?>
<sst xmlns="http://schemas.openxmlformats.org/spreadsheetml/2006/main" count="7098" uniqueCount="6413">
  <si>
    <t>QDCC</t>
  </si>
  <si>
    <t xml:space="preserve">BALANÇO ANUAL (DCA) </t>
  </si>
  <si>
    <t xml:space="preserve">VERSÃO: v14 </t>
  </si>
  <si>
    <t xml:space="preserve">VIGÊNCIA: 05/01/2026 </t>
  </si>
  <si>
    <t>Ente: 2908101 - Cocos/BA</t>
  </si>
  <si>
    <t>Poder: E - Executivo</t>
  </si>
  <si>
    <t>Instituição: 4063 - Prefeitura Municipal de Cocos - BA</t>
  </si>
  <si>
    <t>Exercício: 2025</t>
  </si>
  <si>
    <t>Periodicidade: ANUAL</t>
  </si>
  <si>
    <t>Período: Período único (anual)</t>
  </si>
  <si>
    <t xml:space="preserve">Grupo: Balanço Patrimonial - Ativo e Passivo </t>
  </si>
  <si>
    <t xml:space="preserve">Quadro: Balanço Patrimonial </t>
  </si>
  <si>
    <t xml:space="preserve">Rótulo: Padrão </t>
  </si>
  <si>
    <t xml:space="preserve">Balanço Patrimonial </t>
  </si>
  <si>
    <t xml:space="preserve">Valores </t>
  </si>
  <si>
    <t xml:space="preserve">31/12/2025 </t>
  </si>
  <si>
    <t xml:space="preserve">Ativo </t>
  </si>
  <si>
    <t xml:space="preserve">  Ativo </t>
  </si>
  <si>
    <t xml:space="preserve">    1.0.0.0.0.00.00 - Ativo </t>
  </si>
  <si>
    <t xml:space="preserve">      1.1.0.0.0.00.00 - Ativo Circulante </t>
  </si>
  <si>
    <t xml:space="preserve">        1.1.1.0.0.00.00 - Caixa e Equivalentes de Caixa </t>
  </si>
  <si>
    <t xml:space="preserve">          1.1.1.1.0.00.00 - Caixa e Equivalentes de Caixa em Moeda Nacional </t>
  </si>
  <si>
    <t xml:space="preserve">            1.1.1.1.1.00.00 - Caixa e Equivalentes de Caixa em Moeda Nacional - 
            Consolidação </t>
  </si>
  <si>
    <t xml:space="preserve">            1.1.1.1.2.00.00 - Caixa e Equivalentes de Caixa em Moeda Nacional - 
            Intra OFSS </t>
  </si>
  <si>
    <t xml:space="preserve">          1.1.1.2.0.00.00 - Caixa e Equivalentes de Caixa em Moeda Estrangeira </t>
  </si>
  <si>
    <t xml:space="preserve">            1.1.1.2.1.00.00 - Caixa e Equivalentes de Caixa em Moeda Estrangeira - 
            Consolidação </t>
  </si>
  <si>
    <t xml:space="preserve">          1.1.1.3.0.00.00 - Caixa e Equivalentes de Caixa - Valores Restituíveis 
          e Vinculados </t>
  </si>
  <si>
    <t xml:space="preserve">            1.1.1.3.1.00.00 - Depósitos Restituíveis e Valores Vinculados - 
            Consolidação </t>
  </si>
  <si>
    <t xml:space="preserve">            1.1.1.3.2.00.00 - Valores Restituíveis - Intra OFSS </t>
  </si>
  <si>
    <t xml:space="preserve">        1.1.2.0.0.00.00 - Créditos a Curto Prazo </t>
  </si>
  <si>
    <t xml:space="preserve">          1.1.2.1.0.00.00 - Créditos Tributários a Receber </t>
  </si>
  <si>
    <t xml:space="preserve">            1.1.2.1.1.00.00 - Créditos Tributários a Receber - Consolidação </t>
  </si>
  <si>
    <t xml:space="preserve">            1.1.2.1.2.00.00 - Créditos Tributários a Receber - Intra OFSS </t>
  </si>
  <si>
    <t xml:space="preserve">            1.1.2.1.3.00.00 - Créditos Tributários a Receber - Inter OFSS - União </t>
  </si>
  <si>
    <t xml:space="preserve">            1.1.2.1.4.00.00 - Créditos Tributários a Receber - Inter OFSS – Estado </t>
  </si>
  <si>
    <t xml:space="preserve">            1.1.2.1.5.00.00 - Créditos Tributários a Receber - Inter OFSS - 
            Município </t>
  </si>
  <si>
    <t xml:space="preserve">          1.1.2.2.0.00.00 - Clientes </t>
  </si>
  <si>
    <t xml:space="preserve">            1.1.2.2.1.00.00 - Clientes - Consolidação </t>
  </si>
  <si>
    <t xml:space="preserve">            1.1.2.2.2.00.00 - Clientes - Intra OFSS </t>
  </si>
  <si>
    <t xml:space="preserve">            1.1.2.2.3.00.00 - Clientes - Inter OFSS - União </t>
  </si>
  <si>
    <t xml:space="preserve">            1.1.2.2.4.00.00 - Clientes - Inter OFSS - Estado </t>
  </si>
  <si>
    <t xml:space="preserve">            1.1.2.2.5.00.00 - Clientes - Inter OFSS - Município </t>
  </si>
  <si>
    <t xml:space="preserve">          1.1.2.3.0.00.00 - Créditos de Transferências a Receber </t>
  </si>
  <si>
    <t xml:space="preserve">            1.1.2.3.1.00.00 - Créditos de Transferências a Receber - Consolidação </t>
  </si>
  <si>
    <t xml:space="preserve">            1.1.2.3.2.00.00 - Créditos de Transferências a Receber - Intra OFSS </t>
  </si>
  <si>
    <t xml:space="preserve">            1.1.2.3.3.00.00 - Créditos de Transferências a Receber - Inter OFSS - 
            União </t>
  </si>
  <si>
    <t xml:space="preserve">            1.1.2.3.4.00.00 - Créditos de Transferências a Receber - Inter OFSS - 
            Estado </t>
  </si>
  <si>
    <t xml:space="preserve">            1.1.2.3.5.00.00 - Créditos de Transferências a Receber - Inter OFSS - 
            Município </t>
  </si>
  <si>
    <t xml:space="preserve">          1.1.2.4.0.00.00 - Empréstimos e Financiamentos Concedidos </t>
  </si>
  <si>
    <t xml:space="preserve">            1.1.2.4.1.00.00 - Empréstimos e Financiamentos Concedidos - 
            Consolidação </t>
  </si>
  <si>
    <t xml:space="preserve">            1.1.2.4.2.00.00 - Empréstimos e Financiamentos Concedidos - Intra OFSS </t>
  </si>
  <si>
    <t xml:space="preserve">            1.1.2.4.3.00.00 - Empréstimos e Financiamentos Concedidos - Inter OFSS 
            - União </t>
  </si>
  <si>
    <t xml:space="preserve">            1.1.2.4.4.00.00 - Empréstimos e Financiamentos Concedidos - Inter OFSS 
            - Estado </t>
  </si>
  <si>
    <t xml:space="preserve">            1.1.2.4.5.00.00 - Empréstimos e Financiamentos Concedidos - Inter OFSS 
            - Município </t>
  </si>
  <si>
    <t xml:space="preserve">          1.1.2.5.0.00.00 - Dívida Ativa Tributária </t>
  </si>
  <si>
    <t xml:space="preserve">            1.1.2.5.1.00.00 - Dívida Ativa Tributária - Consolidação </t>
  </si>
  <si>
    <t xml:space="preserve">            1.1.2.5.2.00.00 - Dívida Ativa Tributária - Intra OFSS </t>
  </si>
  <si>
    <t xml:space="preserve">            1.1.2.5.3.00.00 - Dívida Ativa Tributária - Inter OFSS - União </t>
  </si>
  <si>
    <t xml:space="preserve">            1.1.2.5.4.00.00 - Dívida Ativa Tributária - Inter OFSS - Estado </t>
  </si>
  <si>
    <t xml:space="preserve">            1.1.2.5.5.00.00 - Dívida Ativa Tributária - Inter OFSS - Município </t>
  </si>
  <si>
    <t xml:space="preserve">          1.1.2.6.0.00.00 - Dívida Ativa Não Tributária </t>
  </si>
  <si>
    <t xml:space="preserve">            1.1.2.6.1.00.00 - Dívida Ativa Não Tributária - Consolidação </t>
  </si>
  <si>
    <t xml:space="preserve">            1.1.2.6.2.00.00 - Dívida Ativa Não Tributária - Intra OFSS </t>
  </si>
  <si>
    <t xml:space="preserve">            1.1.2.6.3.00.00 - Dívida Ativa Não Tributária - Inter OFSS - União </t>
  </si>
  <si>
    <t xml:space="preserve">            1.1.2.6.4.00.00 - Dívida Ativa Não Tributária - Inter OFSS - Estado </t>
  </si>
  <si>
    <t xml:space="preserve">            1.1.2.6.5.00.00 - Dívida Ativa Não Tributária - Inter OFSS - Município </t>
  </si>
  <si>
    <t xml:space="preserve">          1.1.2.9.0.00.00 - (-) Ajuste de Perdas de Créditos a Curto Prazo </t>
  </si>
  <si>
    <t xml:space="preserve">            1.1.2.9.1.00.00 - (-) Ajuste de Perdas de Créditos a Curto Prazo - 
            Consolidação </t>
  </si>
  <si>
    <t xml:space="preserve">            1.1.2.9.2.00.00 - (-) Ajuste de Perdas de Créditos a Curto Prazo - 
            Intra OFSS </t>
  </si>
  <si>
    <t xml:space="preserve">            1.1.2.9.3.00.00 - (-) Ajuste de Perdas de Créditos a Curto Prazo - 
            Inter OFSS - União </t>
  </si>
  <si>
    <t xml:space="preserve">            1.1.2.9.4.00.00 - (-) Ajuste de Perdas de Créditos a Curto Prazo - 
            Inter OFSS - Estado </t>
  </si>
  <si>
    <t xml:space="preserve">            1.1.2.9.5.00.00 - (-) Ajuste de Perdas de Créditos a Curto Prazo - 
            Inter OFSS - Município </t>
  </si>
  <si>
    <t xml:space="preserve">        1.1.3.0.0.00.00 - Demais Créditos e Valores a Curto Prazo </t>
  </si>
  <si>
    <t xml:space="preserve">          1.1.3.1.0.00.00 - Adiantamentos Concedidos </t>
  </si>
  <si>
    <t xml:space="preserve">            1.1.3.1.1.00.00 - Adiantamentos Concedidos - Consolidação </t>
  </si>
  <si>
    <t xml:space="preserve">            1.1.3.1.2.00.00 - Adiantamentos Concedidos - Intra OFSS </t>
  </si>
  <si>
    <t xml:space="preserve">            1.1.3.1.3.00.00 - Adiantamentos Concedidos - Inter OFSS - União </t>
  </si>
  <si>
    <t xml:space="preserve">            1.1.3.1.4.00.00 - Adiantamentos Concedidos - Inter OFSS - Estado </t>
  </si>
  <si>
    <t xml:space="preserve">            1.1.3.1.5.00.00 - Adiantamentos Concedidos - Inter OFSS - Município </t>
  </si>
  <si>
    <t xml:space="preserve">          1.1.3.2.0.00.00 - Tributos a Recuperar/Compensar </t>
  </si>
  <si>
    <t xml:space="preserve">            1.1.3.2.1.00.00 - Tributos a Recuperar/Compensar - Consolidação </t>
  </si>
  <si>
    <t xml:space="preserve">            1.1.3.2.2.00.00 - Tributos a Recuperar/Compensar - Intra OFSS </t>
  </si>
  <si>
    <t xml:space="preserve">            1.1.3.2.3.00.00 - Tributos a Recuperar/Compensar - Inter OFSS - União </t>
  </si>
  <si>
    <t xml:space="preserve">            1.1.3.2.4.00.00 - Tributos a Recuperar/Compensar - Inter OFSS - Estado </t>
  </si>
  <si>
    <t xml:space="preserve">            1.1.3.2.5.00.00 - Tributos a Recuperar/Compensar - Inter OFSS - 
            Município </t>
  </si>
  <si>
    <t xml:space="preserve">          1.1.3.3.0.00.00 - Créditos a Receber por Descentralização da Prestação 
          de Serviços Públicos </t>
  </si>
  <si>
    <t xml:space="preserve">            1.1.3.3.1.00.00 - Créditos a Receber por Descentralização da Prestação 
            de Serviços Públicos - Consolidação </t>
  </si>
  <si>
    <t xml:space="preserve">            1.1.3.3.2.00.00 - Créditos a Receber por Descentralização da Prestação 
            de Serviços Públicos - Intra OFSS </t>
  </si>
  <si>
    <t xml:space="preserve">            1.1.3.3.3.00.00 - Créditos a Receber por Descentralização da Prestação 
            de Serviços Públicos - Inter OFSS - União </t>
  </si>
  <si>
    <t xml:space="preserve">            1.1.3.3.4.00.00 - Créditos a Receber por Descentralização da Prestação 
            de Serviços Públicos - Inter OFSS - Estado </t>
  </si>
  <si>
    <t xml:space="preserve">            1.1.3.3.5.00.00 - Créditos a Receber por Descentralização da Prestação 
            de Serviços Públicos - Inter OFSS - Município </t>
  </si>
  <si>
    <t xml:space="preserve">          1.1.3.4.0.00.00 - Créditos por Danos ao Patrimônio </t>
  </si>
  <si>
    <t xml:space="preserve">            1.1.3.4.1.00.00 - Créditos por Danos ao Patrimônio - Consolidação </t>
  </si>
  <si>
    <t xml:space="preserve">            1.1.3.4.2.00.00 - Créditos por Danos ao Patrimônio - Intra OFSS </t>
  </si>
  <si>
    <t xml:space="preserve">            1.1.3.4.3.00.00 - Créditos por Danos ao Patrimônio - Inter OFSS - 
            União </t>
  </si>
  <si>
    <t xml:space="preserve">            1.1.3.4.4.00.00 - Créditos por Danos ao Patrimônio - Inter OFSS - 
            Estado </t>
  </si>
  <si>
    <t xml:space="preserve">            1.1.3.4.5.00.00 - Créditos por Danos ao Patrimônio - Inter OFSS - 
            Município </t>
  </si>
  <si>
    <t xml:space="preserve">          1.1.3.5.0.00.00 - Depósitos Restituíveis e Valores Vinculados - A 
          Receber </t>
  </si>
  <si>
    <t xml:space="preserve">            1.1.3.5.1.00.00 - Depósitos Restituíveis e Valores Vinculados - 
            Consolidação </t>
  </si>
  <si>
    <t xml:space="preserve">            1.1.3.5.2.00.00 - Depósitos Restituíveis e Valores Vinculados - Intra 
            OFSS </t>
  </si>
  <si>
    <t xml:space="preserve">            1.1.3.5.3.00.00 - Depósitos Restituíveis e Valores Vinculados - Inter 
            OFSS - União </t>
  </si>
  <si>
    <t xml:space="preserve">            1.1.3.5.4.00.00 - Depósitos Restituíveis e Valores Vinculados - Inter 
            OFSS - Estado </t>
  </si>
  <si>
    <t xml:space="preserve">            1.1.3.5.5.00.00 - Depósitos Restituíveis e Valores Vinculados - Inter 
            OFSS - Município </t>
  </si>
  <si>
    <t xml:space="preserve">          1.1.3.6.0.00.00 - Créditos Previdenciários a Receber a Curto Prazo </t>
  </si>
  <si>
    <t xml:space="preserve">            1.1.3.6.1.00.00 - Créditos Previdenciários a Receber a Curto Prazo - 
            Consolidação </t>
  </si>
  <si>
    <t xml:space="preserve">            1.1.3.6.2.00.00 - Créditos Previdenciários a Receber a Curto Prazo - 
            Intra OFSS </t>
  </si>
  <si>
    <t xml:space="preserve">            1.1.3.6.3.00.00 - Créditos Previdenciários a Receber a Curto Prazo - 
            Inter OFSS - União </t>
  </si>
  <si>
    <t xml:space="preserve">            1.1.3.6.4.00.00 - Créditos Previdenciários a Receber a Curto Prazo - 
            Inter OFSS - Estado </t>
  </si>
  <si>
    <t xml:space="preserve">            1.1.3.6.5.00.00 - Créditos Previdenciários a Receber a Curto Prazo - 
            Inter OFSS - Município </t>
  </si>
  <si>
    <t xml:space="preserve">          1.1.3.8.0.00.00 - Outros Créditos a Receber e Valores a Curto Prazo </t>
  </si>
  <si>
    <t xml:space="preserve">            1.1.3.8.1.00.00 - Outros Créditos a Receber e Valores a Curto Prazo - 
            Consolidação </t>
  </si>
  <si>
    <t xml:space="preserve">            1.1.3.8.2.00.00 - Outros Créditos a Receber e Valores a Curto Prazo - 
            Intra OFSS </t>
  </si>
  <si>
    <t xml:space="preserve">            1.1.3.8.3.00.00 - Outros Créditos a Receber e Valores a Curto Prazo - 
            Inter OFSS - União </t>
  </si>
  <si>
    <t xml:space="preserve">            1.1.3.8.4.00.00 - Outros Créditos a Receber e Valores a Curto Prazo - 
            Inter OFSS - Estado </t>
  </si>
  <si>
    <t xml:space="preserve">            1.1.3.8.5.00.00 - Outros Créditos a Receber e Valores a Curto Prazo - 
            Inter OFSS - Município </t>
  </si>
  <si>
    <t xml:space="preserve">          1.1.3.9.0.00.00 - (-) Ajuste de Perdas de Demais Créditos e Valores a 
          Curto Prazo </t>
  </si>
  <si>
    <t xml:space="preserve">            1.1.3.9.1.00.00 - (-) Ajuste de Perdas de Demais Créditos e Valores a 
            Curto Prazo - Consolidação </t>
  </si>
  <si>
    <t xml:space="preserve">            1.1.3.9.2.00.00 - (-) Ajuste de Perdas de Demais Créditos e Valores a 
            Curto Prazo - Intra OFSS </t>
  </si>
  <si>
    <t xml:space="preserve">            1.1.3.9.3.00.00 - (-) Ajuste de Perdas de Demais Créditos e Valores a 
            Curto Prazo - Inter OFSS - União </t>
  </si>
  <si>
    <t xml:space="preserve">            1.1.3.9.4.00.00 - (-) Ajuste de Perdas de Demais Créditos e Valores a 
            Curto Prazo - Inter OFSS - Estado </t>
  </si>
  <si>
    <t xml:space="preserve">            1.1.3.9.5.00.00 - (-) Ajuste de Perdas de Demais Créditos e Valores a 
            Curto Prazo - Inter OFSS - Município </t>
  </si>
  <si>
    <t xml:space="preserve">        1.1.4.0.0.00.00 - Investimentos e Aplicações Temporárias a Curto Prazo </t>
  </si>
  <si>
    <t xml:space="preserve">          1.1.4.1.0.00.00 - Títulos e Valores Mobiliários </t>
  </si>
  <si>
    <t xml:space="preserve">            1.1.4.1.1.00.00 - Títulos e Valores Mobiliários - Consolidação </t>
  </si>
  <si>
    <t xml:space="preserve">          1.1.4.2.0.00.00 - Aplicação Temporária em Metais Preciosos </t>
  </si>
  <si>
    <t xml:space="preserve">            1.1.4.2.1.00.00 - Aplicação Temporária em Metais Preciosos - 
            Consolidação </t>
  </si>
  <si>
    <t xml:space="preserve">          1.1.4.3.0.00.00 - Aplicações em Segmento de Imóveis </t>
  </si>
  <si>
    <t xml:space="preserve">            1.1.4.3.1.00.00 - Aplicações em Segmento de Imóveis - Consolidação </t>
  </si>
  <si>
    <t xml:space="preserve">          1.1.4.4.0.00.00 - Investimentos e Aplicações Temporárias de Curto Prazo 
          - RPPS </t>
  </si>
  <si>
    <t xml:space="preserve">            1.1.4.4.1.00.00 - Investimentos e Aplicações Temporárias de Curto 
            Prazo do RPPS - Consolidação </t>
  </si>
  <si>
    <t xml:space="preserve">          1.1.4.9.0.00.00 - (-) Ajuste de Perdas de Investimentos e Aplicações 
          Temporárias </t>
  </si>
  <si>
    <t xml:space="preserve">            1.1.4.9.1.00.00 - (-) Ajuste de Perdas de Investimentos e Aplicações 
            Temporárias - Consolidação </t>
  </si>
  <si>
    <t xml:space="preserve">        1.1.5.0.0.00.00 - Estoques </t>
  </si>
  <si>
    <t xml:space="preserve">          1.1.5.1.0.00.00 - Mercadorias para Revenda ou Doação </t>
  </si>
  <si>
    <t xml:space="preserve">            1.1.5.1.1.00.00 - Mercadorias para Revenda ou Doação - Consolidação </t>
  </si>
  <si>
    <t xml:space="preserve">          1.1.5.2.0.00.00 - Produtos e Serviços Acabados </t>
  </si>
  <si>
    <t xml:space="preserve">            1.1.5.2.1.00.00 - Produtos e Serviços Acabados - Consolidação </t>
  </si>
  <si>
    <t xml:space="preserve">          1.1.5.3.0.00.00 - Produtos e Serviços em Elaboração </t>
  </si>
  <si>
    <t xml:space="preserve">            1.1.5.3.1.00.00 - Produtos e Serviços em Elaboração - Consolidação </t>
  </si>
  <si>
    <t xml:space="preserve">          1.1.5.4.0.00.00 - Matérias-Primas </t>
  </si>
  <si>
    <t xml:space="preserve">            1.1.5.4.1.00.00 - Matérias-Primas - Consolidação </t>
  </si>
  <si>
    <t xml:space="preserve">          1.1.5.5.0.00.00 - Materiais em Trânsito </t>
  </si>
  <si>
    <t xml:space="preserve">            1.1.5.5.1.00.00 - Materiais em Trânsito - Consolidação </t>
  </si>
  <si>
    <t xml:space="preserve">          1.1.5.6.0.00.00 - Almoxarifado </t>
  </si>
  <si>
    <t xml:space="preserve">            1.1.5.6.1.00.00 - Almoxarifado - Consolidação </t>
  </si>
  <si>
    <t xml:space="preserve">          1.1.5.8.0.00.00 - Outros Estoques </t>
  </si>
  <si>
    <t xml:space="preserve">            1.1.5.8.1.00.00 - Outros Estoques - Consolidação </t>
  </si>
  <si>
    <t xml:space="preserve">          1.1.5.9.0.00.00 - (-) Ajuste de Perdas de Estoques </t>
  </si>
  <si>
    <t xml:space="preserve">            1.1.5.9.1.00.00 - (-) Ajuste de Perdas de Estoques - Consolidação </t>
  </si>
  <si>
    <t xml:space="preserve">        1.1.6.0.0.00.00 - Ativo Não Circulante Mantido para Venda </t>
  </si>
  <si>
    <t xml:space="preserve">          1.1.6.1.0.00.00 - Investimento Mantido para Venda </t>
  </si>
  <si>
    <t xml:space="preserve">            1.1.6.1.1.00.00 - Investimento Mantido para Venda - Consolidação </t>
  </si>
  <si>
    <t xml:space="preserve">            1.1.6.1.2.00.00 - Investimento Mantido para Venda - Intra OFSS </t>
  </si>
  <si>
    <t xml:space="preserve">            1.1.6.1.3.00.00 - Investimento Mantido para Venda - Inter OFSS - União </t>
  </si>
  <si>
    <t xml:space="preserve">            1.1.6.1.4.00.00 - Investimento Mantido para Venda - Inter OFSS - 
            Estado </t>
  </si>
  <si>
    <t xml:space="preserve">            1.1.6.1.5.00.00 - Investimento Mantido para Venda - Inter OFSS - 
            Município </t>
  </si>
  <si>
    <t xml:space="preserve">          1.1.6.2.0.00.00 - Imobilizado Mantido para Venda </t>
  </si>
  <si>
    <t xml:space="preserve">            1.1.6.2.1.00.00 - Imobilizado Mantido para Venda - Consolidação </t>
  </si>
  <si>
    <t xml:space="preserve">          1.1.6.3.0.00.00 - Intangível Mantido para Venda </t>
  </si>
  <si>
    <t xml:space="preserve">            1.1.6.3.1.00.00 - Intangível Mantido para Venda - Consolidação </t>
  </si>
  <si>
    <t xml:space="preserve">          1.1.6.9.0.00.00 - (-) Redução a Valor Recuperável de Ativos Mantidos 
          para Venda </t>
  </si>
  <si>
    <t xml:space="preserve">            1.1.6.9.1.00.00 - (-) Redução a Valor Recuperável de Ativos Mantidos 
            para Venda - Consolidação </t>
  </si>
  <si>
    <t xml:space="preserve">            1.1.6.9.2.00.00 - (-) Redução a Valor Recuperável de Ativos Mantidos 
            para Venda - Intra OFSS </t>
  </si>
  <si>
    <t xml:space="preserve">            1.1.6.9.3.00.00 - (-) Redução a Valor Recuperável de Ativos Mantidos 
            para Venda - Inter OFSS - União </t>
  </si>
  <si>
    <t xml:space="preserve">            1.1.6.9.4.00.00 - (-) Redução a Valor Recuperável de Ativos Mantidos 
            para Venda - Inter OFSS - Estado </t>
  </si>
  <si>
    <t xml:space="preserve">            1.1.6.9.5.00.00 - (-) Redução a Valor Recuperável de Ativos Mantidos 
            para Venda - Inter OFSS - Município </t>
  </si>
  <si>
    <t xml:space="preserve">        1.1.7.0.0.00.00 - Ativo Biológico </t>
  </si>
  <si>
    <t xml:space="preserve">          1.1.7.1.0.00.00 - Ativo Biológico </t>
  </si>
  <si>
    <t xml:space="preserve">            1.1.7.1.1.00.00 - Ativo Biológico - Consolidação </t>
  </si>
  <si>
    <t xml:space="preserve">        1.1.9.0.0.00.00 - Variações Patrimoniais Diminutivas Pagas 
        Antecipadamente </t>
  </si>
  <si>
    <t xml:space="preserve">          1.1.9.1.0.00.00 - Prêmios de Seguros a Apropriar </t>
  </si>
  <si>
    <t xml:space="preserve">            1.1.9.1.1.00.00 - Prêmios de Seguros a Apropriar - Consolidação </t>
  </si>
  <si>
    <t xml:space="preserve">            1.1.9.1.2.00.00 - Prêmios de Seguros a Apropriar - Intra OFSS </t>
  </si>
  <si>
    <t xml:space="preserve">            1.1.9.1.3.00.00 - Prêmios de Seguros a Apropriar - Inter OFSS - União </t>
  </si>
  <si>
    <t xml:space="preserve">            1.1.9.1.4.00.00 - Prêmios de Seguros a Apropriar - Inter OFSS - Estado </t>
  </si>
  <si>
    <t xml:space="preserve">            1.1.9.1.5.00.00 - Prêmios de Seguros a Apropriar - Inter OFSS - 
            Município </t>
  </si>
  <si>
    <t xml:space="preserve">          1.1.9.2.0.00.00 - VPD Financeiras a Apropriar </t>
  </si>
  <si>
    <t xml:space="preserve">            1.1.9.2.1.00.00 - VPD Financeiras a Apropriar - Consolidação </t>
  </si>
  <si>
    <t xml:space="preserve">            1.1.9.2.2.00.00 - VPD Financeiras a Apropriar - Intra OFSS </t>
  </si>
  <si>
    <t xml:space="preserve">            1.1.9.2.3.00.00 - VPD Financeiras a Apropriar - Inter OFSS - União </t>
  </si>
  <si>
    <t xml:space="preserve">            1.1.9.2.4.00.00 - VPD Financeiras a Apropriar - Inter OFSS - Estado </t>
  </si>
  <si>
    <t xml:space="preserve">            1.1.9.2.5.00.00 - VPD Financeiras a Apropriar - Inter OFSS - Município </t>
  </si>
  <si>
    <t xml:space="preserve">          1.1.9.3.0.00.00 - Assinaturas e Anuidades a Apropriar </t>
  </si>
  <si>
    <t xml:space="preserve">            1.1.9.3.1.00.00 - Assinaturas e Anuidades a Apropriar - Consolidação </t>
  </si>
  <si>
    <t xml:space="preserve">            1.1.9.3.2.00.00 - Assinaturas e Anuidades a Apropriar - Intra OFSS </t>
  </si>
  <si>
    <t xml:space="preserve">            1.1.9.3.3.00.00 - Assinaturas e Anuidades a Apropriar - Inter OFSS - 
            União </t>
  </si>
  <si>
    <t xml:space="preserve">            1.1.9.3.4.00.00 - Assinaturas e Anuidades a Apropriar - Inter OFSS - 
            Estado </t>
  </si>
  <si>
    <t xml:space="preserve">            1.1.9.3.5.00.00 - Assinaturas e Anuidades a Apropriar - Inter OFSS - 
            Município </t>
  </si>
  <si>
    <t xml:space="preserve">          1.1.9.4.0.00.00 - Alugueis Pagos a Apropriar </t>
  </si>
  <si>
    <t xml:space="preserve">            1.1.9.4.1.00.00 - Alugueis Pagos a Apropriar - Consolidação </t>
  </si>
  <si>
    <t xml:space="preserve">            1.1.9.4.2.00.00 - Alugueis Pagos a Apropriar - Intra OFSS </t>
  </si>
  <si>
    <t xml:space="preserve">            1.1.9.4.3.00.00 - Alugueis Pagos a Apropriar - Inter OFSS - União </t>
  </si>
  <si>
    <t xml:space="preserve">            1.1.9.4.4.00.00 - Alugueis Pagos a Apropriar - Inter OFSS - Estado </t>
  </si>
  <si>
    <t xml:space="preserve">            1.1.9.4.5.00.00 - Alugueis Pagos a Apropriar - Inter OFSS - Município </t>
  </si>
  <si>
    <t xml:space="preserve">          1.1.9.5.0.00.00 - Tributos Pagos a Apropriar </t>
  </si>
  <si>
    <t xml:space="preserve">            1.1.9.5.1.00.00 - Tributos Pagos a Apropriar - Consolidação </t>
  </si>
  <si>
    <t xml:space="preserve">            1.1.9.5.2.00.00 - Tributos Pagos a Apropriar - Intra OFSS </t>
  </si>
  <si>
    <t xml:space="preserve">            1.1.9.5.3.00.00 - Tributos Pagos a Apropriar - Inter OFSS - União </t>
  </si>
  <si>
    <t xml:space="preserve">            1.1.9.5.4.00.00 - Tributos Pagos a Apropriar - Inter OFSS - Estado </t>
  </si>
  <si>
    <t xml:space="preserve">            1.1.9.5.5.00.00 - Tributos Pagos a Apropriar - Inter OFSS - Município </t>
  </si>
  <si>
    <t xml:space="preserve">          1.1.9.6.0.00.00 - Contribuições Confederativas a Apropriar </t>
  </si>
  <si>
    <t xml:space="preserve">            1.1.9.6.1.00.00 - Contribuições Confederativas a Apropriar - 
            Consolidação </t>
  </si>
  <si>
    <t xml:space="preserve">            1.1.9.6.2.00.00 - Contribuições Confederativas a Apropriar - Intra 
            OFSS </t>
  </si>
  <si>
    <t xml:space="preserve">            1.1.9.6.3.00.00 - Contribuições Confederativas a Apropriar - Inter 
            OFSS - União </t>
  </si>
  <si>
    <t xml:space="preserve">            1.1.9.6.4.00.00 - Contribuições Confederativas a Apropriar - Inter 
            OFSS - Estado </t>
  </si>
  <si>
    <t xml:space="preserve">            1.1.9.6.5.00.00 - Contribuições Confederativas a Apropriar - Inter 
            OFSS - Município </t>
  </si>
  <si>
    <t xml:space="preserve">          1.1.9.7.0.00.00 - Pessoal e Encargos a Apropriar </t>
  </si>
  <si>
    <t xml:space="preserve">            1.1.9.7.1.00.00 - Pessoal e Encargos a Apropriar - Consolidação </t>
  </si>
  <si>
    <t xml:space="preserve">            1.1.9.7.2.00.00 - Pessoal e Encargos a Apropriar - Intra OFSS </t>
  </si>
  <si>
    <t xml:space="preserve">            1.1.9.7.3.00.00 - Pessoal e Encargos a Apropriar - Inter OFSS - União </t>
  </si>
  <si>
    <t xml:space="preserve">            1.1.9.7.4.00.00 - Pessoal e Encargos a Apropriar - Inter OFSS - Estado </t>
  </si>
  <si>
    <t xml:space="preserve">            1.1.9.7.5.00.00 - Pessoal e Encargos a Apropriar - Inter OFSS - 
            Município </t>
  </si>
  <si>
    <t xml:space="preserve">          1.1.9.8.0.00.00 - Demais VPD a Apropriar </t>
  </si>
  <si>
    <t xml:space="preserve">            1.1.9.8.1.00.00 - Demais VPD a Apropriar - Consolidação </t>
  </si>
  <si>
    <t xml:space="preserve">            1.1.9.8.2.00.00 - Demais VPD a Apropriar - Intra OFSS </t>
  </si>
  <si>
    <t xml:space="preserve">            1.1.9.8.3.00.00 - Demais VPD a Apropriar - Inter OFSS - União </t>
  </si>
  <si>
    <t xml:space="preserve">            1.1.9.8.4.00.00 - Demais VPD a Apropriar - Inter OFSS - Estado </t>
  </si>
  <si>
    <t xml:space="preserve">            1.1.9.8.5.00.00 - Demais VPD a Apropriar - Inter OFSS - Município </t>
  </si>
  <si>
    <t xml:space="preserve">          1.1.9.9.0.00.00 - Serviços a Apropriar </t>
  </si>
  <si>
    <t xml:space="preserve">            1.1.9.9.1.00.00 - Serviços a Apropriar - Consolidação </t>
  </si>
  <si>
    <t xml:space="preserve">            1.1.9.9.2.00.00 - Serviços a Apropriar - Intra OFSS </t>
  </si>
  <si>
    <t xml:space="preserve">            1.1.9.9.3.00.00 - Serviços a Apropriar - Inter OFSS - União </t>
  </si>
  <si>
    <t xml:space="preserve">            1.1.9.9.4.00.00 - Serviços a Apropriar - Inter OFSS - Estado </t>
  </si>
  <si>
    <t xml:space="preserve">            1.1.9.9.5.00.00 - Serviços a Apropriar - Inter OFSS - Município </t>
  </si>
  <si>
    <t xml:space="preserve">      1.2.0.0.0.00.00 - Ativo não Circulante </t>
  </si>
  <si>
    <t xml:space="preserve">        1.2.1.0.0.00.00 - Ativo Realizável a Longo Prazo </t>
  </si>
  <si>
    <t xml:space="preserve">          1.2.1.1.0.00.00 - Créditos a Longo Prazo </t>
  </si>
  <si>
    <t xml:space="preserve">            1.2.1.1.1.00.00 - Créditos a Longo Prazo - Consolidação </t>
  </si>
  <si>
    <t xml:space="preserve">              1.2.1.1.1.01.00 - Créditos Tributários a Receber </t>
  </si>
  <si>
    <t xml:space="preserve">              1.2.1.1.1.02.00 - Clientes </t>
  </si>
  <si>
    <t xml:space="preserve">              1.2.1.1.1.03.00 - Empréstimos e Financiamentos Concedidos </t>
  </si>
  <si>
    <t xml:space="preserve">              1.2.1.1.1.04.00 - Dívida Ativa Tributária </t>
  </si>
  <si>
    <t xml:space="preserve">              1.2.1.1.1.05.00 - Dívida Ativa Não Tributária </t>
  </si>
  <si>
    <t xml:space="preserve">              1.2.1.1.1.06.00 - Créditos Previdenciários do RPPS </t>
  </si>
  <si>
    <t xml:space="preserve">              1.2.1.1.1.07.00 - Créditos de Transferências a Receber a Longo Prazo </t>
  </si>
  <si>
    <t xml:space="preserve">              1.2.1.1.1.97.00 - Outros Créditos a Longo Prazo </t>
  </si>
  <si>
    <t xml:space="preserve">              1.2.1.1.1.99.00 - (-) Ajuste de Perdas de Créditos a Longo Prazo </t>
  </si>
  <si>
    <t xml:space="preserve">            1.2.1.1.2.00.00 - Créditos a Longo Prazo - Intra OFSS </t>
  </si>
  <si>
    <t xml:space="preserve">              1.2.1.1.2.01.00 - Créditos Tributários a Receber </t>
  </si>
  <si>
    <t xml:space="preserve">              1.2.1.1.2.02.00 - Clientes </t>
  </si>
  <si>
    <t xml:space="preserve">              1.2.1.1.2.03.00 - Empréstimos e Financiamentos Concedidos </t>
  </si>
  <si>
    <t xml:space="preserve">              1.2.1.1.2.04.00 - Dívida Ativa Tributária </t>
  </si>
  <si>
    <t xml:space="preserve">              1.2.1.1.2.05.00 - Dívida Ativa Não Tributária </t>
  </si>
  <si>
    <t xml:space="preserve">              1.2.1.1.2.06.00 - Créditos Previdenciários do RPPS </t>
  </si>
  <si>
    <t xml:space="preserve">              1.2.1.1.2.07.00 - Créditos de Transferências a Receber a Longo Prazo </t>
  </si>
  <si>
    <t xml:space="preserve">              1.2.1.1.2.08.00 - Créditos para Amortização de Déficit Atuarial - 
              Fundo em Capitalização - Intra OFSS </t>
  </si>
  <si>
    <t xml:space="preserve">              1.2.1.1.2.97.00 - Outros Créditos a Longo Prazo </t>
  </si>
  <si>
    <t xml:space="preserve">              1.2.1.1.2.99.00 - (-) Ajuste de Perdas de Créditos a Longo Prazo </t>
  </si>
  <si>
    <t xml:space="preserve">            1.2.1.1.3.00.00 - Créditos a Longo Prazo - Inter OFSS - União </t>
  </si>
  <si>
    <t xml:space="preserve">              1.2.1.1.3.01.00 - Créditos Tributários a Receber </t>
  </si>
  <si>
    <t xml:space="preserve">              1.2.1.1.3.02.00 - Clientes </t>
  </si>
  <si>
    <t xml:space="preserve">              1.2.1.1.3.03.00 - Empréstimos e Financiamentos Concedidos </t>
  </si>
  <si>
    <t xml:space="preserve">              1.2.1.1.3.04.00 - Dívida Ativa Tributária </t>
  </si>
  <si>
    <t xml:space="preserve">              1.2.1.1.3.05.00 - Dívida Ativa Não Tributária </t>
  </si>
  <si>
    <t xml:space="preserve">              1.2.1.1.3.06.00 - Créditos Previdenciários do RPPS </t>
  </si>
  <si>
    <t xml:space="preserve">              1.2.1.1.3.07.00 - Créditos de Transferências a Receber a Longo Prazo </t>
  </si>
  <si>
    <t xml:space="preserve">              1.2.1.1.3.97.00 - Outros Créditos a Longo Prazo </t>
  </si>
  <si>
    <t xml:space="preserve">              1.2.1.1.3.99.00 - (-) Ajuste de Perdas de Créditos a Longo Prazo </t>
  </si>
  <si>
    <t xml:space="preserve">            1.2.1.1.4.00.00 - Créditos a Longo Prazo - Inter OFSS - Estado </t>
  </si>
  <si>
    <t xml:space="preserve">              1.2.1.1.4.01.00 - Créditos Tributários a Receber </t>
  </si>
  <si>
    <t xml:space="preserve">              1.2.1.1.4.02.00 - Clientes </t>
  </si>
  <si>
    <t xml:space="preserve">              1.2.1.1.4.03.00 - Empréstimos e Financiamentos Concedidos </t>
  </si>
  <si>
    <t xml:space="preserve">              1.2.1.1.4.04.00 - Dívida Ativa Tributária </t>
  </si>
  <si>
    <t xml:space="preserve">              1.2.1.1.4.05.00 - Dívida Ativa Não Tributária </t>
  </si>
  <si>
    <t xml:space="preserve">              1.2.1.1.4.06.00 - Créditos Previdenciários do RPPS </t>
  </si>
  <si>
    <t xml:space="preserve">              1.2.1.1.4.07.00 - Créditos de Transferências a Receber a Longo Prazo </t>
  </si>
  <si>
    <t xml:space="preserve">              1.2.1.1.4.97.00 - Outros Créditos a Longo Prazo </t>
  </si>
  <si>
    <t xml:space="preserve">              1.2.1.1.4.99.00 - (-) Ajuste de Perdas de Créditos a Longo Prazo </t>
  </si>
  <si>
    <t xml:space="preserve">            1.2.1.1.5.00.00 - Créditos a Longo Prazo - Inter OFSS - Município </t>
  </si>
  <si>
    <t xml:space="preserve">              1.2.1.1.5.01.00 - Créditos Tributários a Receber </t>
  </si>
  <si>
    <t xml:space="preserve">              1.2.1.1.5.02.00 - Clientes </t>
  </si>
  <si>
    <t xml:space="preserve">              1.2.1.1.5.03.00 - Empréstimos e Financiamentos Concedidos </t>
  </si>
  <si>
    <t xml:space="preserve">              1.2.1.1.5.04.00 - Dívida Ativa Tributária </t>
  </si>
  <si>
    <t xml:space="preserve">              1.2.1.1.5.05.00 - Dívida Ativa Não Tributária </t>
  </si>
  <si>
    <t xml:space="preserve">              1.2.1.1.5.06.00 - Créditos Previdenciários do RPPS </t>
  </si>
  <si>
    <t xml:space="preserve">              1.2.1.1.5.07.00 - Créditos de Transferências a Receber a Longo Prazo </t>
  </si>
  <si>
    <t xml:space="preserve">              1.2.1.1.5.97.00 - Outros Créditos a Longo Prazo </t>
  </si>
  <si>
    <t xml:space="preserve">              1.2.1.1.5.99.00 - (-) Ajuste de Perdas de Créditos a Longo Prazo </t>
  </si>
  <si>
    <t xml:space="preserve">          1.2.1.2.0.00.00 - Demais Créditos e Valores a Longo Prazo </t>
  </si>
  <si>
    <t xml:space="preserve">            1.2.1.2.1.00.00 - Demais Créditos e Valores a Longo Prazo - 
            Consolidação </t>
  </si>
  <si>
    <t xml:space="preserve">              1.2.1.2.1.01.00 - Adiantamentos Concedidos a Pessoal e a Terceiros </t>
  </si>
  <si>
    <t xml:space="preserve">              1.2.1.2.1.02.00 - Tributos a Recuperar/Compensar </t>
  </si>
  <si>
    <t xml:space="preserve">              1.2.1.2.1.03.00 - Créditos a Receber por Descentralização da 
              Prestação de Serviços Públicos </t>
  </si>
  <si>
    <t xml:space="preserve">              1.2.1.2.1.04.00 - Créditos por Danos ao Patrimônio Provenientes de 
              Créditos Administrativos </t>
  </si>
  <si>
    <t xml:space="preserve">              1.2.1.2.1.05.00 - Créditos por Danos ao Patrimônio Apurados em Tomada 
              de Contas Especial </t>
  </si>
  <si>
    <t xml:space="preserve">              1.2.1.2.1.06.00 - Depósitos Restituíveis e Valores Vinculados </t>
  </si>
  <si>
    <t xml:space="preserve">              1.2.1.2.1.07.00 - Créditos por Danos ao Patrimônio Apurados em 
              Processos Judiciais </t>
  </si>
  <si>
    <t xml:space="preserve">              1.2.1.2.1.09.00 - Consignações </t>
  </si>
  <si>
    <t xml:space="preserve">              1.2.1.2.1.98.00 - Outros Créditos a Receber e Valores a Longo Prazo </t>
  </si>
  <si>
    <t xml:space="preserve">              1.2.1.2.1.99.00 - (-) Ajuste de Perdas de Demais Créditos e Valores a 
              Longo Prazo </t>
  </si>
  <si>
    <t xml:space="preserve">            1.2.1.2.2.00.00 - Demais Créditos e Valores a Longo Prazo - Intra OFSS </t>
  </si>
  <si>
    <t xml:space="preserve">            1.2.1.2.3.00.00 - Demais Créditos e Valores a Longo Prazo - Inter OFSS 
            - União </t>
  </si>
  <si>
    <t xml:space="preserve">            1.2.1.2.4.00.00 - Demais Créditos e Valores a Longo Prazo - Inter OFSS 
            - Estado </t>
  </si>
  <si>
    <t xml:space="preserve">            1.2.1.2.5.00.00 - Demais Créditos e Valores a Longo Prazo - Inter OFSS 
            - Município </t>
  </si>
  <si>
    <t xml:space="preserve">          1.2.1.3.0.00.00 - Investimentos e Aplicações Temporárias a Longo Prazo </t>
  </si>
  <si>
    <t xml:space="preserve">            1.2.1.3.1.00.00 - Investimentos e Aplicações Temporárias a Longo Prazo 
            - Consolidação </t>
  </si>
  <si>
    <t xml:space="preserve">              1.2.1.3.1.01.00 - Títulos e Valores Mobiliários </t>
  </si>
  <si>
    <t xml:space="preserve">              1.2.1.3.1.02.00 - Aplicação Temporária em Metais Preciosos </t>
  </si>
  <si>
    <t xml:space="preserve">              1.2.1.3.1.03.00 - Aplicações em Segmento de Imóveis </t>
  </si>
  <si>
    <t xml:space="preserve">              1.2.1.3.1.04.00 - Fundos Avaliados a Valor de Mercado </t>
  </si>
  <si>
    <t xml:space="preserve">              1.2.1.3.1.09.00 - Aplicações em Segmento de Renda Fixa - RPPS - Longo 
              Prazo - Fundo em Capitalização </t>
  </si>
  <si>
    <t xml:space="preserve">              1.2.1.3.1.10.00 - Aplicações em Segmento de Renda Variável - RPPS - 
              Longo Prazo - Fundo em Capitalização </t>
  </si>
  <si>
    <t xml:space="preserve">              1.2.1.3.1.11.00 - Aplicações do RPPS em Fundos de Investimentos no 
              Exterior - Longo Prazo - Fundo em Capitalização </t>
  </si>
  <si>
    <t xml:space="preserve">              1.2.1.3.1.12.00 - Aplicações em Fundos de Investimentos Estruturados 
              - RPPS - Longo Prazo - Fundo em Capitalização </t>
  </si>
  <si>
    <t xml:space="preserve">              1.2.1.3.1.13.00 - Aplicações em Fundos do Segmento Imobiliário - RPPS 
              - Longo Prazo -Fundo em Capitalização </t>
  </si>
  <si>
    <t xml:space="preserve">              1.2.1.3.1.14.00 - Aplicações em Enquadramento - RPPS - Longo Prazo - 
              Fundo em Capitalização </t>
  </si>
  <si>
    <t xml:space="preserve">              1.2.1.3.1.15.00 - Títulos e Valores Não Sujeitos ao Enquadramento - 
              RPPS - Longo Prazo - Fundo em Capitalização </t>
  </si>
  <si>
    <t xml:space="preserve">              1.2.1.3.1.16.00 - Aplicações em Segmento de Renda Fixa - RPPS - Longo 
              Prazo - Fundo em Repartição </t>
  </si>
  <si>
    <t xml:space="preserve">              1.2.1.3.1.17.00 - Aplicações em Segmento de Renda Fixa Variável - 
              RPPS - Longo Prazo - Fundo em Repartição </t>
  </si>
  <si>
    <t xml:space="preserve">              1.2.1.3.1.18.00 - Aplicações do RPPS em Fundos de Investimento no 
              Exterior - Longo Prazo - Fundo em Repartição </t>
  </si>
  <si>
    <t xml:space="preserve">              1.2.1.3.1.19.00 - Aplicações em Fundos de Investimento Estruturados - 
              RPPS - Longo Prazo - Fundo em Repartição </t>
  </si>
  <si>
    <t xml:space="preserve">              1.2.1.3.1.20.00 - Aplicações em Fundos do Segmento Imobiliário - RPPS 
              - Longo Prazo - Fundo em Repartição </t>
  </si>
  <si>
    <t xml:space="preserve">              1.2.1.3.1.21.00 - Aplicações em Enquadramento - RPPS - Longo Prazo - 
              Fundo em Repartição </t>
  </si>
  <si>
    <t xml:space="preserve">              1.2.1.3.1.22.00 - Títulos e Valores não Sujeitos ao Enquadramento - 
              RPPS - Longo Prazo - Fundo em Repartição </t>
  </si>
  <si>
    <t xml:space="preserve">              1.2.1.3.1.30.00 - Aplicações com a Taxa de Administração do RPPS - 
              Longo Prazo </t>
  </si>
  <si>
    <t xml:space="preserve">              1.2.1.3.1.31.00 - Outros Investimentos do RPPS - Longo Prazo </t>
  </si>
  <si>
    <t xml:space="preserve">              1.2.1.3.1.98.00 - Outros Investimentos e Aplicações Temporárias a 
              Longo Prazo </t>
  </si>
  <si>
    <t xml:space="preserve">              1.2.1.3.1.99.00 - (-) Ajuste de Perdas de Investimentos e Aplicações 
              Temporárias a Longo Prazo </t>
  </si>
  <si>
    <t xml:space="preserve">                1.2.1.3.1.99.05 - (-) Ajuste de Perdas Estimadas com Títulos e 
                Valores Mobiliários - RPPS - Fundo em Capitalização </t>
  </si>
  <si>
    <t xml:space="preserve">                1.2.1.3.1.99.06 - (-) Ajuste de Perdas Estimadas com Títulos e 
                Valores Mobiliários - RPPS - Fundo em Repartição </t>
  </si>
  <si>
    <t xml:space="preserve">                1.2.1.3.1.99.07 - (-) Redução a Valor Recuperável de Títulos e 
                Valores Mobiliários - RPPS - Fundo em Capitalização </t>
  </si>
  <si>
    <t xml:space="preserve">                1.2.1.3.1.99.08 - (-) Redução a Valor Recuperável de Títulos e 
                Valores Mobiliários - RPPS - Fundo em Repartição </t>
  </si>
  <si>
    <t xml:space="preserve">                1.2.1.3.1.99.09 - (-) Redução a Valor Recuperável de Títulos e 
                Valores Mobiliários - RPPS - Administração </t>
  </si>
  <si>
    <t xml:space="preserve">                1.2.1.3.1.99.10 - (-) Redução a Valor Recuperável de Títulos e 
                Valores Mobiliários </t>
  </si>
  <si>
    <t xml:space="preserve">                1.2.1.3.1.99.11 - (-) Redução a Valor Recuperável de Aplicações 
                Temporárias em Metais Preciosos </t>
  </si>
  <si>
    <t xml:space="preserve">          1.2.1.4.0.00.00 - Estoques </t>
  </si>
  <si>
    <t xml:space="preserve">            1.2.1.4.1.00.00 - Estoques - Consolidação </t>
  </si>
  <si>
    <t xml:space="preserve">              1.2.1.4.1.01.00 - Mercadorias para Revenda </t>
  </si>
  <si>
    <t xml:space="preserve">              1.2.1.4.1.02.00 - Produtos e Serviços Acabados </t>
  </si>
  <si>
    <t xml:space="preserve">              1.2.1.4.1.03.00 - Produtos e Serviços em Elaboração </t>
  </si>
  <si>
    <t xml:space="preserve">              1.2.1.4.1.04.00 - Matérias-Primas </t>
  </si>
  <si>
    <t xml:space="preserve">              1.2.1.4.1.05.00 - Materiais em Trânsito </t>
  </si>
  <si>
    <t xml:space="preserve">              1.2.1.4.1.06.00 - Almoxarifado </t>
  </si>
  <si>
    <t xml:space="preserve">              1.2.1.4.1.07.00 - Adiantamentos a Fornecedores </t>
  </si>
  <si>
    <t xml:space="preserve">              1.2.1.4.1.98.00 - Outros Estoques </t>
  </si>
  <si>
    <t xml:space="preserve">              1.2.1.4.1.99.00 - (-) Ajuste de Perdas de Estoques </t>
  </si>
  <si>
    <t xml:space="preserve">          1.2.1.5.0.00.00 - Ativo Biológico </t>
  </si>
  <si>
    <t xml:space="preserve">            1.2.1.5.1.00.00 - Ativo Biológico - Consolidação </t>
  </si>
  <si>
    <t xml:space="preserve">          1.2.1.9.0.00.00 - Variações Patrimoniais Diminutivas Pagas 
          Antecipadamente </t>
  </si>
  <si>
    <t xml:space="preserve">            1.2.1.9.1.00.00 - Variações Patrimoniais Diminutivas Pagas 
            Antecipadamente - Consolidação </t>
  </si>
  <si>
    <t xml:space="preserve">              1.2.1.9.1.01.00 - Prêmios de Seguros a Apropriar </t>
  </si>
  <si>
    <t xml:space="preserve">              1.2.1.9.1.02.00 - VPD Financeiras a Apropriar </t>
  </si>
  <si>
    <t xml:space="preserve">              1.2.1.9.1.03.00 - Assinaturas e Anuidades a Apropriar </t>
  </si>
  <si>
    <t xml:space="preserve">              1.2.1.9.1.04.00 - Alugueis Pagos a Apropriar </t>
  </si>
  <si>
    <t xml:space="preserve">              1.2.1.9.1.05.00 - Tributos Pagos a Apropriar </t>
  </si>
  <si>
    <t xml:space="preserve">              1.2.1.9.1.06.00 - Contribuições Confederativas a Apropriar </t>
  </si>
  <si>
    <t xml:space="preserve">              1.2.1.9.1.07.00 - Pessoal e Encargos a Apropriar </t>
  </si>
  <si>
    <t xml:space="preserve">              1.2.1.9.1.08.00 - Serviços a Apropriar </t>
  </si>
  <si>
    <t xml:space="preserve">              1.2.1.9.1.99.00 - Demais VPD a Apropriar </t>
  </si>
  <si>
    <t xml:space="preserve">            1.2.1.9.2.00.00 - Variações Patrimoniais Diminutivas Pagas 
            Antecipadamente - Intra OFSS </t>
  </si>
  <si>
    <t xml:space="preserve">            1.2.1.9.3.00.00 - Variações Patrimoniais Diminutivas Pagas 
            Antecipadamente - Inter OFSS - União </t>
  </si>
  <si>
    <t xml:space="preserve">            1.2.1.9.4.00.00 - Variações Patrimoniais Diminutivas Pagas 
            Antecipadamente - Inter OFSS - Estado </t>
  </si>
  <si>
    <t xml:space="preserve">            1.2.1.9.5.00.00 - Variações Patrimoniais Diminutivas Pagas 
            Antecipadamente - Inter OFSS - Município </t>
  </si>
  <si>
    <t xml:space="preserve">        1.2.2.0.0.00.00 - Investimentos </t>
  </si>
  <si>
    <t xml:space="preserve">          1.2.2.1.0.00.00 - Participações Permanentes </t>
  </si>
  <si>
    <t xml:space="preserve">            1.2.2.1.1.00.00 - Participações Permanentes - Consolidação </t>
  </si>
  <si>
    <t xml:space="preserve">              1.2.2.1.1.01.00 - Participações Avaliadas pelo Método de Equivalência 
              Patrimonial </t>
  </si>
  <si>
    <t xml:space="preserve">              1.2.2.1.1.02.00 - Participações Avaliadas pelo Método de Custo </t>
  </si>
  <si>
    <t xml:space="preserve">            1.2.2.1.2.00.00 - Participações Permanentes - Intra OFSS </t>
  </si>
  <si>
    <t xml:space="preserve">              1.2.2.1.2.01.00 - Participações Avaliadas pelo Método de Equivalência 
              Patrimonial </t>
  </si>
  <si>
    <t xml:space="preserve">              1.2.2.1.2.02.00 - Participações Avaliadas pelo Método de Custo </t>
  </si>
  <si>
    <t xml:space="preserve">            1.2.2.1.3.00.00 - Participações Permanentes - Inter OFSS - União </t>
  </si>
  <si>
    <t xml:space="preserve">              1.2.2.1.3.01.00 - Participações Avaliadas pelo Método de Equivalência 
              Patrimonial </t>
  </si>
  <si>
    <t xml:space="preserve">              1.2.2.1.3.02.00 - Participações Avaliadas pelo Método de Custo </t>
  </si>
  <si>
    <t xml:space="preserve">            1.2.2.1.4.00.00 - Participações Permanentes - Inter OFSS - Estado </t>
  </si>
  <si>
    <t xml:space="preserve">              1.2.2.1.4.01.00 - Participações Avaliadas pelo Método de Equivalência 
              Patrimonial </t>
  </si>
  <si>
    <t xml:space="preserve">              1.2.2.1.4.02.00 - Participações Avaliadas pelo Método de Custo </t>
  </si>
  <si>
    <t xml:space="preserve">            1.2.2.1.5.00.00 - Participações Permanentes - Inter OFSS - Município </t>
  </si>
  <si>
    <t xml:space="preserve">              1.2.2.1.5.01.00 - Participações Avaliadas pelo Método de Equivalência 
              Patrimonial </t>
  </si>
  <si>
    <t xml:space="preserve">              1.2.2.1.5.02.00 - Participações Avaliadas pelo Método de Custo </t>
  </si>
  <si>
    <t xml:space="preserve">          1.2.2.2.0.00.00 - Propriedades para Investimento </t>
  </si>
  <si>
    <t xml:space="preserve">            1.2.2.2.1.00.00 - Propriedades para Investimento - Consolidação </t>
  </si>
  <si>
    <t xml:space="preserve">          1.2.2.3.0.00.00 - Investimentos do RPPS de Longo Prazo </t>
  </si>
  <si>
    <t xml:space="preserve">            1.2.2.3.1.00.00 - Investimentos do RPPS de Longo Prazo - Consolidação </t>
  </si>
  <si>
    <t xml:space="preserve">          1.2.2.7.0.00.00 - Demais Investimentos Permanentes </t>
  </si>
  <si>
    <t xml:space="preserve">            1.2.2.7.1.00.00 - Demais Investimentos Permanentes - Consolidação </t>
  </si>
  <si>
    <t xml:space="preserve">          1.2.2.8.0.00.00 - (-) Depreciação Acumulada de Investimentos </t>
  </si>
  <si>
    <t xml:space="preserve">            1.2.2.8.1.00.00 - (-) Depreciação Acumulada de Investimentos - 
            Consolidação </t>
  </si>
  <si>
    <t xml:space="preserve">              1.2.2.8.1.01.00 - (-) Depreciação Acumulada de Investimentos - 
              Consolidação - Propriedades para Investimento </t>
  </si>
  <si>
    <t xml:space="preserve">              1.2.2.8.1.99.00 - (-) Depreciação Acumulada de Outros Investimentos </t>
  </si>
  <si>
    <t xml:space="preserve">          1.2.2.9.0.00.00 - (-) Redução ao Valor Recuperável de Investimentos </t>
  </si>
  <si>
    <t xml:space="preserve">            1.2.2.9.1.00.00 - (-) Redução ao Valor Recuperável de Investimentos - 
            Consolidação </t>
  </si>
  <si>
    <t xml:space="preserve">              1.2.2.9.1.01.00 - (-) Redução ao Valor Recuperável de Investimentos - 
              Participações Permanentes </t>
  </si>
  <si>
    <t xml:space="preserve">              1.2.2.9.1.02.00 - (-) Redução ao Valor Recuperável de Propriedades 
              para Investimento </t>
  </si>
  <si>
    <t xml:space="preserve">              1.2.2.9.1.03.00 - (-) Redução ao Valor Recuperável de Investimentos 
              do RPPS - Fundo em Capitalização </t>
  </si>
  <si>
    <t xml:space="preserve">              1.2.2.9.1.05.00 - (-) Redução ao Valor Recuperável de Investimentos 
              do RPPS - Fundo em Repartição </t>
  </si>
  <si>
    <t xml:space="preserve">              1.2.2.9.1.99.00 - (-) Redução ao Valor Recuperável de Investimentos - 
              Demais Investimentos Permanentes </t>
  </si>
  <si>
    <t xml:space="preserve">            1.2.2.9.2.00.00 - (-) Redução ao Valor Recuperável de Investimentos - 
            Intra OFSS </t>
  </si>
  <si>
    <t xml:space="preserve">              1.2.2.9.2.01.00 - (-) Redução ao Valor Recuperável de Investimentos - 
              Participações Permanentes </t>
  </si>
  <si>
    <t xml:space="preserve">              1.2.2.9.2.99.00 - (-) Redução ao Valor Recuperável de Investimentos - 
              Demais Investimentos Permanentes </t>
  </si>
  <si>
    <t xml:space="preserve">            1.2.2.9.3.00.00 - (-) Redução ao Valor Recuperável de Investimentos - 
            Inter OFSS - União </t>
  </si>
  <si>
    <t xml:space="preserve">              1.2.2.9.3.01.00 - (-) Redução ao Valor Recuperável de Investimentos - 
              Participações Permanentes </t>
  </si>
  <si>
    <t xml:space="preserve">              1.2.2.9.3.99.00 - (-) Redução ao Valor Recuperável de Investimentos - 
              Demais Investimentos Permanentes </t>
  </si>
  <si>
    <t xml:space="preserve">            1.2.2.9.4.00.00 - (-) Redução ao Valor Recuperável de Investimentos - 
            Inter OFSS - Estado </t>
  </si>
  <si>
    <t xml:space="preserve">              1.2.2.9.4.01.00 - (-) Redução ao Valor Recuperável de Investimentos - 
              Participações Permanentes </t>
  </si>
  <si>
    <t xml:space="preserve">              1.2.2.9.4.99.00 - (-) Redução ao Valor Recuperável de Investimentos - 
              Demais Investimentos Permanentes </t>
  </si>
  <si>
    <t xml:space="preserve">            1.2.2.9.5.00.00 - (-) Redução ao Valor Recuperável de Investimentos - 
            Inter OFSS - Município </t>
  </si>
  <si>
    <t xml:space="preserve">              1.2.2.9.5.01.00 - (-) Redução ao Valor Recuperável de Investimentos - 
              Participações Permanentes </t>
  </si>
  <si>
    <t xml:space="preserve">              1.2.2.9.5.99.00 - (-) Redução ao Valor Recuperável de Investimentos - 
              Demais Investimentos Permanentes </t>
  </si>
  <si>
    <t xml:space="preserve">        1.2.3.0.0.00.00 - Imobilizado </t>
  </si>
  <si>
    <t xml:space="preserve">          1.2.3.1.0.00.00 - Bens Moveis </t>
  </si>
  <si>
    <t xml:space="preserve">            1.2.3.1.1.00.00 - Bens Móveis - Consolidação </t>
  </si>
  <si>
    <t xml:space="preserve">          1.2.3.2.0.00.00 - Bens Imóveis </t>
  </si>
  <si>
    <t xml:space="preserve">            1.2.3.2.1.00.00 - Bens Imóveis - Consolidação </t>
  </si>
  <si>
    <t xml:space="preserve">          1.2.3.7.0.00.00 – (-) Subvenção Governamental para Investimentos </t>
  </si>
  <si>
    <t xml:space="preserve">            1.2.3.7.1.00.00 – (-) Subvenção Governamental para Investimentos – 
            Consolidação </t>
  </si>
  <si>
    <t xml:space="preserve">            1.2.3.7.2.00.00 – (-) Subvenção Governamental para Investimentos – 
            Intra OFSS </t>
  </si>
  <si>
    <t xml:space="preserve">            1.2.3.7.3.00.00 – (-) Subvenção Governamental para Investimentos - 
            Inter OFSS – União </t>
  </si>
  <si>
    <t xml:space="preserve">            1.2.3.7.4.00.00 – (-) Subvenção Governamental para Investimentos – 
            Inter OFSS – Estado </t>
  </si>
  <si>
    <t xml:space="preserve">            1.2.3.7.5.00.00 – (-) Subvenção Governamental para Investimentos – 
            Inter OFSS – Município </t>
  </si>
  <si>
    <t xml:space="preserve">          1.2.3.8.0.00.00 - (-) Depreciação, Exaustão e Amortização Acumuladas </t>
  </si>
  <si>
    <t xml:space="preserve">            1.2.3.8.1.00.00 - (-) Depreciação, Exaustão e Amortização Acumuladas - 
            Consolidação </t>
  </si>
  <si>
    <t xml:space="preserve">              1.2.3.8.1.01.00 - (-) Depreciação Acumulada - Bens Móveis </t>
  </si>
  <si>
    <t xml:space="preserve">              1.2.3.8.1.02.00 - (-) Depreciação Acumulada - Bens Imóveis </t>
  </si>
  <si>
    <t xml:space="preserve">              1.2.3.8.1.03.00 - (-) Exaustão Acumulada - Bens Móveis </t>
  </si>
  <si>
    <t xml:space="preserve">              1.2.3.8.1.04.00 - (-) Exaustão Acumulada - Bens Imóveis </t>
  </si>
  <si>
    <t xml:space="preserve">              1.2.3.8.1.05.00 - (-) Amortização Acumulada - Bens Móveis </t>
  </si>
  <si>
    <t xml:space="preserve">              1.2.3.8.1.06.00 - (-) Amortização Acumulada - Bens Imóveis </t>
  </si>
  <si>
    <t xml:space="preserve">              1.2.3.8.1.07.00 - (-) Depreciação Acumulada - Bens Móveis - Ativos de 
              Concessão </t>
  </si>
  <si>
    <t xml:space="preserve">              1.2.3.8.1.08.00 - (-) Depreciação Acumulada - Bens Imóveis - Ativos 
              de Concessão </t>
  </si>
  <si>
    <t xml:space="preserve">              1.2.3.8.1.09.00 - (-) Exaustão Acumulada - Bens Móveis - Ativos de 
              Concessão </t>
  </si>
  <si>
    <t xml:space="preserve">              1.2.3.8.1.10.00 - (-) Exaustão Acumulada - Bens Imóveis - Ativos de 
              Concessão </t>
  </si>
  <si>
    <t xml:space="preserve">              1.2.3.8.1.11.00 - (-) Amortização Acumulada - Bens Móveis - Ativos de 
              Concessão </t>
  </si>
  <si>
    <t xml:space="preserve">              1.2.3.8.1.12.00 - (-) Amortização Acumulada - Bens Imóveis - Ativos 
              de Concessão </t>
  </si>
  <si>
    <t xml:space="preserve">          1.2.3.9.0.00.00 - (-) Redução ao Valor Recuperável de Imobilizado </t>
  </si>
  <si>
    <t xml:space="preserve">            1.2.3.9.1.00.00 - (-) Redução ao Valor Recuperável de Imobilizado - 
            Consolidação </t>
  </si>
  <si>
    <t xml:space="preserve">              1.2.3.9.1.01.00 - (-) Redução ao Valor Recuperável de Imobilizado - 
              Bens Moveis </t>
  </si>
  <si>
    <t xml:space="preserve">              1.2.3.9.1.02.00 - (-) Redução ao Valor Recuperável de Imobilizado - 
              Bens Imóveis </t>
  </si>
  <si>
    <t xml:space="preserve">              1.2.3.9.1.03.00 - (-) Redução ao Valor Recuperável de Imobilizado - 
              Bens Móveis - Ativos de Concessão </t>
  </si>
  <si>
    <t xml:space="preserve">              1.2.3.9.1.04.00 - (-) Redução ao Valor Recuperável de Imobilizado - 
              Bens Imóveis - Ativos de Concessão </t>
  </si>
  <si>
    <t xml:space="preserve">        1.2.4.0.0.00.00 - Intangível </t>
  </si>
  <si>
    <t xml:space="preserve">          1.2.4.1.0.00.00 - Softwares </t>
  </si>
  <si>
    <t xml:space="preserve">            1.2.4.1.1.00.00 - Softwares - Consolidação </t>
  </si>
  <si>
    <t xml:space="preserve">          1.2.4.2.0.00.00 - Marcas, Direitos e Patentes Industriais </t>
  </si>
  <si>
    <t xml:space="preserve">            1.2.4.2.1.00.00 - Marcas, Direitos e Patentes Industriais - 
            Consolidação </t>
  </si>
  <si>
    <t xml:space="preserve">          1.2.4.3.0.00.00 - Direito de Uso de Imóveis </t>
  </si>
  <si>
    <t xml:space="preserve">            1.2.4.3.1.00.00 - Direito de Uso de Imóveis - Consolidação </t>
  </si>
  <si>
    <t xml:space="preserve">          1.2.4.4.0.00.00 - Patrimônio Cultural Intangível </t>
  </si>
  <si>
    <t xml:space="preserve">            1.2.4.4.1.00.00 - Patrimônio Cultural Intangível - Consolidação </t>
  </si>
  <si>
    <t xml:space="preserve">          1.2.4.8.0.00.00 - (-) Amortização Acumulada </t>
  </si>
  <si>
    <t xml:space="preserve">            1.2.4.8.1.00.00 - (-) Amortização Acumulada - Consolidação </t>
  </si>
  <si>
    <t xml:space="preserve">              1.2.4.8.1.01.00 - (-) Amortização Acumulada - Softwares </t>
  </si>
  <si>
    <t xml:space="preserve">              1.2.4.8.1.02.00 - (-) Amortização Acumulada - Marcas, Direitos e 
              Patentes </t>
  </si>
  <si>
    <t xml:space="preserve">              1.2.4.8.1.03.00 - (-) Amortização Acumulada - Direito de Uso de 
              Imóveis </t>
  </si>
  <si>
    <t xml:space="preserve">              1.2.4.8.1.04.00 - (-) Amortização Acumulada - Patrimônio Cultural 
              Intangível </t>
  </si>
  <si>
    <t xml:space="preserve">              1.2.4.8.1.99.00 - (-) Outras Amortizações Acumuladas </t>
  </si>
  <si>
    <t xml:space="preserve">          1.2.4.9.0.00.00 - (-) Redução ao Valor Recuperável de Intangível </t>
  </si>
  <si>
    <t xml:space="preserve">            1.2.4.9.1.00.00 - (-) Redução ao Valor Recuperável de Intangível - 
            Consolidação </t>
  </si>
  <si>
    <t xml:space="preserve">              1.2.4.9.1.01.00 - (-) Redução ao Valor Recuperável de Intangível - 
              Softwares </t>
  </si>
  <si>
    <t xml:space="preserve">              1.2.4.9.1.02.00 - (-) Redução ao Valor Recuperável de Intangível - 
              Marcas, Direitos e Patentes </t>
  </si>
  <si>
    <t xml:space="preserve">              1.2.4.9.1.03.00 - (-) Redução ao Valor Recuperável de Intangível - 
              Direito de Uso </t>
  </si>
  <si>
    <t xml:space="preserve">              1.2.4.9.1.04.00 - (-) Redução ao Valor Recuperável de Intangível - 
              Patrimônio Cultural Intangível </t>
  </si>
  <si>
    <t xml:space="preserve">              1.2.4.9.1.99.00 - (-) Outras Reduções ao Valor Recuperável de 
              Intangível </t>
  </si>
  <si>
    <t xml:space="preserve">        1.2.5.0.0.00.00 - Diferido </t>
  </si>
  <si>
    <t xml:space="preserve">          1.2.5.1.0.00.00 - Gastos de Implantação e Pré-Operacionais </t>
  </si>
  <si>
    <t xml:space="preserve">            1.2.5.1.1.00.00 - Gastos de Implantação e Pré-Operacionais - 
            Consolidação </t>
  </si>
  <si>
    <t xml:space="preserve">          1.2.5.2.0.00.00 - Gastos de Reorganização </t>
  </si>
  <si>
    <t xml:space="preserve">            1.2.5.2.1.00.00 - Gastos de Reorganização - Consolidação </t>
  </si>
  <si>
    <t xml:space="preserve">          1.2.5.9.0.00.00 - (-) Amortização Acumulada </t>
  </si>
  <si>
    <t xml:space="preserve">            1.2.5.9.1.00.00 - (-) Amortização Acumulada - Consolidação </t>
  </si>
  <si>
    <t xml:space="preserve">              1.2.5.9.1.01.00 - (-) Amortização Acumulada - Gastos de Implantação e 
              Pré-Operacionais </t>
  </si>
  <si>
    <t xml:space="preserve">              1.2.5.9.1.02.00 - (-) Amortização Acumulada - Gastos de Reorganização </t>
  </si>
  <si>
    <t xml:space="preserve">Passivo e Patrimônio Líquido </t>
  </si>
  <si>
    <t xml:space="preserve">  Passivo e Patrimônio Líquido </t>
  </si>
  <si>
    <t xml:space="preserve">    2.0.0.0.0.00.00 - Passivo e Patrimônio Liquido </t>
  </si>
  <si>
    <t xml:space="preserve">      2.1.0.0.0.00.00 - Passivo Circulante </t>
  </si>
  <si>
    <t xml:space="preserve">        2.1.1.0.0.00.00 - Obrigações Trabalhistas, Previdenciárias e 
        Assistenciais a Pagar a Curto Prazo </t>
  </si>
  <si>
    <t xml:space="preserve">          2.1.1.1.0.00.00 - Pessoal a Pagar </t>
  </si>
  <si>
    <t xml:space="preserve">            2.1.1.1.1.00.00 - Pessoal a Pagar - Consolidação </t>
  </si>
  <si>
    <t xml:space="preserve">          2.1.1.2.0.00.00 - Benefícios Previdenciários a Pagar </t>
  </si>
  <si>
    <t xml:space="preserve">            2.1.1.2.1.00.00 - Benefícios Previdenciários a Pagar - Consolidação </t>
  </si>
  <si>
    <t xml:space="preserve">            2.1.1.2.2.00.00 - Benefícios Previdenciários a Pagar - Intra OFSS </t>
  </si>
  <si>
    <t xml:space="preserve">            2.1.1.2.3.00.00 - Benefícios Previdenciários a Pagar - Inter OFSS - 
            União </t>
  </si>
  <si>
    <t xml:space="preserve">            2.1.1.2.4.00.00 - Benefícios Previdenciários a Pagar - Inter OFSS - 
            Estado </t>
  </si>
  <si>
    <t xml:space="preserve">            2.1.1.2.5.00.00 - Benefícios Previdenciários a Pagar - Inter OFSS - 
            Município </t>
  </si>
  <si>
    <t xml:space="preserve">          2.1.1.3.0.00.00 - Benefícios Assistenciais a Pagar </t>
  </si>
  <si>
    <t xml:space="preserve">            2.1.1.3.1.00.00 - Benefícios Assistenciais a Pagar - Consolidação </t>
  </si>
  <si>
    <t xml:space="preserve">          2.1.1.4.0.00.00 - Encargos Sociais a Pagar </t>
  </si>
  <si>
    <t xml:space="preserve">            2.1.1.4.1.00.00 - Encargos Sociais a Pagar - Consolidação </t>
  </si>
  <si>
    <t xml:space="preserve">            2.1.1.4.2.00.00 - Encargos Sociais a Pagar - Intra OFSS </t>
  </si>
  <si>
    <t xml:space="preserve">            2.1.1.4.3.00.00 - Encargos Sociais a Pagar - Inter OFSS - União </t>
  </si>
  <si>
    <t xml:space="preserve">            2.1.1.4.4.00.00 - Encargos Sociais a Pagar - Inter OFSS - Estado </t>
  </si>
  <si>
    <t xml:space="preserve">            2.1.1.4.5.00.00 - Encargos Sociais a Pagar - Inter OFSS - Município </t>
  </si>
  <si>
    <t xml:space="preserve">          2.1.1.9.0.00.00 - Outros Benefícios Assistenciais e Trabalhistas a 
          Pagar </t>
  </si>
  <si>
    <t xml:space="preserve">            2.1.1.9.1.00.00 - Outros Benefícios Assistenciais e Trabalhistas a 
            Pagar - Consolidação </t>
  </si>
  <si>
    <t xml:space="preserve">            2.1.1.9.2.00.00 - Outros Benefícios Assistenciais e Trabalhistas a 
            Pagar - Intra OFSS </t>
  </si>
  <si>
    <t xml:space="preserve">        2.1.2.0.0.00.00 - Empréstimos e Financiamentos a Curto Prazo </t>
  </si>
  <si>
    <t xml:space="preserve">          2.1.2.1.0.00.00 - Empréstimos a Curto Prazo - Interno </t>
  </si>
  <si>
    <t xml:space="preserve">            2.1.2.1.1.00.00 - Empréstimos a Curto Prazo – Interno - Consolidação </t>
  </si>
  <si>
    <t xml:space="preserve">            2.1.2.1.2.00.00 - Empréstimos a Curto Prazo – Interno - Intra OFSS </t>
  </si>
  <si>
    <t xml:space="preserve">            2.1.2.1.3.00.00 - Empréstimos a Curto Prazo – Interno - Inter OFSS - 
            União </t>
  </si>
  <si>
    <t xml:space="preserve">            2.1.2.1.4.00.00 - Empréstimos a Curto Prazo - Interno - Inter OFSS - 
            Estado </t>
  </si>
  <si>
    <t xml:space="preserve">            2.1.2.1.5.00.00 - Empréstimos a Curto Prazo - Interno - Inter OFSS - 
            Município </t>
  </si>
  <si>
    <t xml:space="preserve">          2.1.2.2.0.00.00 - Empréstimos a Curto Prazo - Externo </t>
  </si>
  <si>
    <t xml:space="preserve">            2.1.2.2.1.00.00 - Empréstimos a Curto Prazo - Externo Consolidação </t>
  </si>
  <si>
    <t xml:space="preserve">          2.1.2.3.0.00.00 - Financiamentos a Curto Prazo - Interno </t>
  </si>
  <si>
    <t xml:space="preserve">            2.1.2.3.1.00.00 - Financiamentos a Curto Prazo- Interno - Consolidação </t>
  </si>
  <si>
    <t xml:space="preserve">            2.1.2.3.2.00.00 - Financiamentos a Curto Prazo- Interno - Intra OFSS </t>
  </si>
  <si>
    <t xml:space="preserve">            2.1.2.3.3.00.00 - Financiamentos a Curto Prazo - Interno - Inter OFSS 
            - União </t>
  </si>
  <si>
    <t xml:space="preserve">            2.1.2.3.4.00.00 - Financiamentos a Curto Prazo - Interno - Inter OFSS 
            - Estado </t>
  </si>
  <si>
    <t xml:space="preserve">            2.1.2.3.5.00.00 - Financiamentos a Curto Prazo - Interno - Inter OFSS 
            - Município </t>
  </si>
  <si>
    <t xml:space="preserve">          2.1.2.4.0.00.00 - Financiamento a Curto Prazo - Externo </t>
  </si>
  <si>
    <t xml:space="preserve">            2.1.2.4.1.00.00 - Financiamento a Curto Prazo - Externo - Consolidação </t>
  </si>
  <si>
    <t xml:space="preserve">          2.1.2.5.0.00.00 - Juros e Encargos a Pagar de Empréstimos e 
          Financiamentos a Curto Prazo - Interno </t>
  </si>
  <si>
    <t xml:space="preserve">            2.1.2.5.1.00.00 - Juros e Encargos a Pagar de Empréstimos e 
            Financiamentos a Curto Prazo - Interno - Consolidação </t>
  </si>
  <si>
    <t xml:space="preserve">            2.1.2.5.2.00.00 - Juros e Encargos a Pagar de Empréstimos e 
            Financiamentos a Curto Prazo - Interno - Intra OFSS </t>
  </si>
  <si>
    <t xml:space="preserve">            2.1.2.5.3.00.00 - Juros e Encargos a Pagar de Empréstimos e 
            Financiamentos a Curto Prazo - Interno - Inter OFSS - União </t>
  </si>
  <si>
    <t xml:space="preserve">            2.1.2.5.4.00.00 - Juros e Encargos a Pagar de Empréstimos e 
            Financiamentos a Curto Prazo - Interno - Inter OFSS - Estado </t>
  </si>
  <si>
    <t xml:space="preserve">            2.1.2.5.5.00.00 - Juros e Encargos a Pagar de Empréstimos e 
            Financiamentos a Curto Prazo - Interno - Inter OFSS - Município </t>
  </si>
  <si>
    <t xml:space="preserve">          2.1.2.6.0.00.00 - Juros e Encargos a Pagar de Empréstimos e 
          Financiamentos a Curto Prazo - Externo </t>
  </si>
  <si>
    <t xml:space="preserve">            2.1.2.6.1.00.00 - Juros e Encargos a Pagar de Empréstimos e 
            Financiamentos a Curto Prazo - Externo - Consolidação </t>
  </si>
  <si>
    <t xml:space="preserve">          2.1.2.8.0.00.00 - (-) Encargos Financeiros a Apropriar - Interno </t>
  </si>
  <si>
    <t xml:space="preserve">            2.1.2.8.1.00.00 - (-) Encargos Financeiros a Apropriar - Interno - 
            Consolidação </t>
  </si>
  <si>
    <t xml:space="preserve">            2.1.2.8.2.00.00 - (-) Encargos Financeiros a Apropriar - Interno - 
            Intra OFSS </t>
  </si>
  <si>
    <t xml:space="preserve">            2.1.2.8.3.00.00 - (-) Encargos Financeiros a Apropriar - Interno - 
            Inter OFSS - União </t>
  </si>
  <si>
    <t xml:space="preserve">            2.1.2.8.4.00.00 - (-) Encargos Financeiros a Apropriar - Interno - 
            Inter OFSS - Estado </t>
  </si>
  <si>
    <t xml:space="preserve">            2.1.2.8.5.00.00 - (-) Encargos Financeiros a Apropriar - Interno - 
            Inter OFSS - Município </t>
  </si>
  <si>
    <t xml:space="preserve">          2.1.2.9.0.00.00 - (-) Encargos Financeiros a Apropriar - Externo </t>
  </si>
  <si>
    <t xml:space="preserve">            2.1.2.9.1.00.00 - (-) Encargos Financeiros a Apropriar- Consolidação </t>
  </si>
  <si>
    <t xml:space="preserve">        2.1.3.0.0.00.00 - Fornecedores e Contas a Pagar a Curto Prazo </t>
  </si>
  <si>
    <t xml:space="preserve">          2.1.3.1.0.00.00 - Fornecedores e Contas a Pagar Nacionais a Curto Prazo </t>
  </si>
  <si>
    <t xml:space="preserve">            2.1.3.1.1.00.00 - Fornecedores e Contas a Pagar Nacionais a Curto 
            Prazo - Consolidação </t>
  </si>
  <si>
    <t xml:space="preserve">            2.1.3.1.2.00.00 - Fornecedores e Contas a Pagar Nacionais a Curto 
            Prazo - Intra OFSS </t>
  </si>
  <si>
    <t xml:space="preserve">            2.1.3.1.3.00.00 - Fornecedores e Contas a Pagar Nacionais a Curto 
            Prazo - Inter OFSS - União </t>
  </si>
  <si>
    <t xml:space="preserve">            2.1.3.1.4.00.00 - Fornecedores e Contas a Pagar Nacionais a Curto 
            Prazo - Inter OFSS - Estado </t>
  </si>
  <si>
    <t xml:space="preserve">            2.1.3.1.5.00.00 - Fornecedores e Contas a Pagar Nacionais a Curto 
            Prazo - Inter OFSS - Município </t>
  </si>
  <si>
    <t xml:space="preserve">          2.1.3.2.0.00.00 - Fornecedores e Contas a Pagar Estrangeiros a Curto 
          Prazo </t>
  </si>
  <si>
    <t xml:space="preserve">            2.1.3.2.1.00.00 - Fornecedores e Contas a Pagar Estrangeiros a Curto 
            Prazo - Consolidação </t>
  </si>
  <si>
    <t xml:space="preserve">        2.1.4.0.0.00.00 - Obrigações Fiscais a Curto Prazo </t>
  </si>
  <si>
    <t xml:space="preserve">          2.1.4.1.0.00.00 - Obrigações Fiscais a Curto Prazo com a União </t>
  </si>
  <si>
    <t xml:space="preserve">            2.1.4.1.1.00.00 - Obrigações Fiscais a Curto Prazo com a União - 
            Consolidação </t>
  </si>
  <si>
    <t xml:space="preserve">            2.1.4.1.2.00.00 - Obrigações Fiscais a Curto Prazo com a União - Intra 
            OFSS </t>
  </si>
  <si>
    <t xml:space="preserve">            2.1.4.1.3.00.00 - Obrigações Fiscais a Curto Prazo com a União - Inter 
            OFSS - União </t>
  </si>
  <si>
    <t xml:space="preserve">          2.1.4.2.0.00.00 - Obrigações Fiscais a Curto Prazo com os Estados </t>
  </si>
  <si>
    <t xml:space="preserve">            2.1.4.2.1.00.00 - Obrigações Fiscais a Curto Prazo com os Estados - 
            Consolidação </t>
  </si>
  <si>
    <t xml:space="preserve">            2.1.4.2.2.00.00 - Obrigações Fiscais a Curto Prazo com os Estados - 
            Intra OFSS </t>
  </si>
  <si>
    <t xml:space="preserve">            2.1.4.2.4.00.00 - Obrigações Fiscais a Curto Prazo com os Estados - 
            Inter OFSS - Estado </t>
  </si>
  <si>
    <t xml:space="preserve">          2.1.4.3.0.00.00 - Obrigações Fiscais a Curto Prazo com os Municípios </t>
  </si>
  <si>
    <t xml:space="preserve">            2.1.4.3.1.00.00 - Obrigações Fiscais a Curto Prazo com os Municípios - 
            Consolidação </t>
  </si>
  <si>
    <t xml:space="preserve">            2.1.4.3.2.00.00 - Obrigações Fiscais a Curto Prazo com os Municípios - 
            Intra OFSS </t>
  </si>
  <si>
    <t xml:space="preserve">            2.1.4.3.5.00.00 - Obrigações Fiscais a Curto Prazo com os Municípios - 
            Inter OFSS - Município </t>
  </si>
  <si>
    <t xml:space="preserve">        2.1.5.0.0.00.00 - Transferências Fiscais a Curto Prazo </t>
  </si>
  <si>
    <t xml:space="preserve">          2.1.5.1.0.00.00 - Transferências Constitucionais a Pagar </t>
  </si>
  <si>
    <t xml:space="preserve">            2.1.5.1.3.00.00 - Transferências Constitucionais a Pagar - Inter OFSS 
            - União </t>
  </si>
  <si>
    <t xml:space="preserve">            2.1.5.1.4.00.00 - Transferências Constitucionais a Pagar - Inter OFSS 
            - Estado </t>
  </si>
  <si>
    <t xml:space="preserve">            2.1.5.1.5.00.00 - Transferências Constitucionais a Pagar - Inter OFSS 
            - Município </t>
  </si>
  <si>
    <t xml:space="preserve">          2.1.5.2.0.00.00 - Transferências Legais a Pagar </t>
  </si>
  <si>
    <t xml:space="preserve">            2.1.5.2.1.00.00 - Transferências Legais a Pagar - Consolidação </t>
  </si>
  <si>
    <t xml:space="preserve">            2.1.5.2.3.00.00 - Transferências Legais a Pagar - Inter OFSS - União </t>
  </si>
  <si>
    <t xml:space="preserve">            2.1.5.2.4.00.00 - Transferências Legais a Pagar - Inter OFSS - Estado </t>
  </si>
  <si>
    <t xml:space="preserve">            2.1.5.2.5.00.00 - Transferências Legais a Pagar - Inter OFSS - 
            Município </t>
  </si>
  <si>
    <t xml:space="preserve">          2.1.5.3.0.00.00 - Transferências Discricionárias a Pagar </t>
  </si>
  <si>
    <t xml:space="preserve">            2.1.5.3.1.00.00 - Transferências Discricionárias a Pagar - 
            Consolidação </t>
  </si>
  <si>
    <t xml:space="preserve">            2.1.5.3.3.00.00 - Transferências Discricionárias a Pagar - Inter OFSS 
            - União </t>
  </si>
  <si>
    <t xml:space="preserve">            2.1.5.3.4.00.00 - Transferências Discricionárias a Pagar - Inter OFSS 
            - Estado </t>
  </si>
  <si>
    <t xml:space="preserve">            2.1.5.3.5.00.00 - Transferências Discricionárias a Pagar - Inter OFSS 
            - Município </t>
  </si>
  <si>
    <t xml:space="preserve">          2.1.5.4.0.00.00 - Transferências de Recursos para Execução Orçamentária 
          a Pagar </t>
  </si>
  <si>
    <t xml:space="preserve">            2.1.5.4.2.00.00 - Transferências de Recursos para Execução 
            Orçamentária a Pagar - Intra OFSS </t>
  </si>
  <si>
    <t xml:space="preserve">          2.1.5.9.0.00.00 - Demais Transferências a Pagar </t>
  </si>
  <si>
    <t xml:space="preserve">            2.1.5.9.1.00.00 - Demais Transferências a Pagar - Consolidação </t>
  </si>
  <si>
    <t xml:space="preserve">            2.1.5.9.3.00.00 - Demais Transferências a Pagar - Inter OFSS - União </t>
  </si>
  <si>
    <t xml:space="preserve">            2.1.5.9.4.00.00 - Demais Transferências a Pagar - Inter OFSS - Estado </t>
  </si>
  <si>
    <t xml:space="preserve">            2.1.5.9.5.00.00 - Demais Transferências a Pagar - Inter OFSS - 
            Município </t>
  </si>
  <si>
    <t xml:space="preserve">        2.1.7.0.0.00.00 - Provisões a Curto Prazo </t>
  </si>
  <si>
    <t xml:space="preserve">          2.1.7.1.0.00.00 - Provisão para Riscos Trabalhistas a Curto Prazo </t>
  </si>
  <si>
    <t xml:space="preserve">            2.1.7.1.1.00.00 - Provisão para Riscos Trabalhistas a Curto Prazo - 
            Consolidação </t>
  </si>
  <si>
    <t xml:space="preserve">          2.1.7.2.0.00.00 - Provisões Matemáticas Previdenciárias a Curto Prazo </t>
  </si>
  <si>
    <t xml:space="preserve">            2.1.7.2.1.00.00 - Provisões Matemáticas Previdenciárias a Curto Prazo 
            - Consolidação </t>
  </si>
  <si>
    <t xml:space="preserve">          2.1.7.3.0.00.00 - Provisões para Riscos Fiscais a Curto Prazo </t>
  </si>
  <si>
    <t xml:space="preserve">            2.1.7.3.1.00.00 - Provisões para Riscos Fiscais a Curto Prazo - 
            Consolidação </t>
  </si>
  <si>
    <t xml:space="preserve">            2.1.7.3.2.00.00 - Provisões para Riscos Fiscais a Curto Prazo - Intra 
            OFSS </t>
  </si>
  <si>
    <t xml:space="preserve">            2.1.7.3.3.00.00 - Provisões para Riscos Fiscais a Curto Prazo - Inter 
            OFSS - União </t>
  </si>
  <si>
    <t xml:space="preserve">            2.1.7.3.4.00.00 - Provisões para Riscos Fiscais a Curto Prazo - Inter 
            OFSS - Estado </t>
  </si>
  <si>
    <t xml:space="preserve">            2.1.7.3.5.00.00 - Provisões para Riscos Fiscais a Curto Prazo - Inter 
            OFSS - Município </t>
  </si>
  <si>
    <t xml:space="preserve">          2.1.7.4.0.00.00 - Provisão para Riscos Cíveis a Curto Prazo </t>
  </si>
  <si>
    <t xml:space="preserve">            2.1.7.4.1.00.00 - Provisão para Riscos Cíveis a Curto Prazo - 
            Consolidação </t>
  </si>
  <si>
    <t xml:space="preserve">            2.1.7.4.2.00.00 - Provisão para Riscos Cíveis a Curto Prazo - Intra 
            OFSS </t>
  </si>
  <si>
    <t xml:space="preserve">            2.1.7.4.3.00.00 - Provisão para Riscos Cíveis a Curto Prazo - Inter 
            OFSS - União </t>
  </si>
  <si>
    <t xml:space="preserve">            2.1.7.4.4.00.00 - Provisão para Riscos Cíveis a Curto Prazo - Inter 
            OFSS - Estado </t>
  </si>
  <si>
    <t xml:space="preserve">            2.1.7.4.5.00.00 - Provisão para Riscos Cíveis a Curto Prazo - Inter 
            OFSS - Município </t>
  </si>
  <si>
    <t xml:space="preserve">          2.1.7.5.0.00.00 - Provisão para Repartição de Créditos a Curto Prazo </t>
  </si>
  <si>
    <t xml:space="preserve">            2.1.7.5.1.00.00 - Provisão para Repartição de Créditos a Curto Prazo - 
            Consolidação </t>
  </si>
  <si>
    <t xml:space="preserve">            2.1.7.5.2.00.00 - Provisão para Repartição de Créditos a Curto Prazo - 
            Intra OFSS </t>
  </si>
  <si>
    <t xml:space="preserve">            2.1.7.5.3.00.00 - Provisão para Repartição de Créditos a Curto Prazo - 
            Inter OFSS - União </t>
  </si>
  <si>
    <t xml:space="preserve">            2.1.7.5.4.00.00 - Provisão para Repartição de Créditos a Curto Prazo - 
            Inter OFSS - Estado </t>
  </si>
  <si>
    <t xml:space="preserve">            2.1.7.5.5.00.00 - Provisão para Repartição de Créditos a Curto Prazo - 
            Inter OFSS - Município </t>
  </si>
  <si>
    <t xml:space="preserve">          2.1.7.6.0.00.00 - Provisão para Riscos Decorrentes de Contratos de PPP 
          a Curto Prazo </t>
  </si>
  <si>
    <t xml:space="preserve">            2.1.7.6.1.00.00 - Provisão para Riscos Decorrentes de Contratos de PPP 
            a Curto Prazo - Consolidação </t>
  </si>
  <si>
    <t xml:space="preserve">          2.1.7.7.0.00.00 - Provisão para Obrigações Decorrentes da Atuação 
          Governamental a Curto Prazo </t>
  </si>
  <si>
    <t xml:space="preserve">            2.1.7.7.1.00.00 - Provisão para Obrigações Decorrentes da Atuação 
            Governamental a Curto Prazo - Consolidação </t>
  </si>
  <si>
    <t xml:space="preserve">            2.1.7.7.2.00.00 - Provisão para Obrigações Decorrentes da Atuação 
            Governamental a Curto Prazo - Intra OFSS </t>
  </si>
  <si>
    <t xml:space="preserve">            2.1.7.7.3.00.00 - Provisão para Obrigações Decorrentes da Atuação 
            Governamental a Curto Prazo - Inter OFSS - União </t>
  </si>
  <si>
    <t xml:space="preserve">            2.1.7.7.4.00.00 - Provisão para Obrigações Decorrentes da Atuação 
            Governamental a Curto Prazo - Inter OFSS - Estado </t>
  </si>
  <si>
    <t xml:space="preserve">            2.1.7.7.5.00.00 - Provisão para Obrigações Decorrentes da Atuação 
            Governamental a Curto Prazo - Inter OFSS - Município </t>
  </si>
  <si>
    <t xml:space="preserve">          2.1.7.9.0.00.00 - Outras Provisões a Curto Prazo </t>
  </si>
  <si>
    <t xml:space="preserve">            2.1.7.9.1.00.00 - Outras Provisões a Curto Prazo - Consolidação </t>
  </si>
  <si>
    <t xml:space="preserve">            2.1.7.9.2.00.00 - Outras Provisões a Curto Prazo - Intra OFSS </t>
  </si>
  <si>
    <t xml:space="preserve">            2.1.7.9.3.00.00 - Outras Provisões a Curto Prazo - Inter OFSS - União </t>
  </si>
  <si>
    <t xml:space="preserve">            2.1.7.9.4.00.00 - Outras Provisões a Curto Prazo - Inter OFSS - Estado </t>
  </si>
  <si>
    <t xml:space="preserve">            2.1.7.9.5.00.00 - Outras Provisões a Curto Prazo - Inter OFSS - 
            Município </t>
  </si>
  <si>
    <t xml:space="preserve">        2.1.8.0.0.00.00 - Adiantamento de Clientes e Demais Obrigações a Curto 
        Prazo </t>
  </si>
  <si>
    <t xml:space="preserve">          2.1.8.1.0.00.00 - Adiantamentos de Clientes </t>
  </si>
  <si>
    <t xml:space="preserve">            2.1.8.1.1.00.00 - Adiantamentos de Clientes - Consolidação </t>
  </si>
  <si>
    <t xml:space="preserve">            2.1.8.1.2.00.00 - Adiantamentos de Clientes - Intra OFSS </t>
  </si>
  <si>
    <t xml:space="preserve">            2.1.8.1.3.00.00 - Adiantamentos de Clientes - Inter OFSS - União </t>
  </si>
  <si>
    <t xml:space="preserve">            2.1.8.1.4.00.00 - Adiantamentos de Clientes - Inter OFSS - Estado </t>
  </si>
  <si>
    <t xml:space="preserve">            2.1.8.1.5.00.00 - Adiantamentos de Clientes - Inter OFSS - Município </t>
  </si>
  <si>
    <t xml:space="preserve">          2.1.8.2.0.00.00 - Obrigações por Danos a Terceiros </t>
  </si>
  <si>
    <t xml:space="preserve">            2.1.8.2.1.00.00 - Obrigações por Danos a Terceiros - Consolidação </t>
  </si>
  <si>
    <t xml:space="preserve">            2.1.8.2.2.00.00 - Obrigações por Danos a Terceiros - Intra OFSS </t>
  </si>
  <si>
    <t xml:space="preserve">            2.1.8.2.3.00.00 - Obrigações por Danos a Terceiros - Inter OFSS - 
            União </t>
  </si>
  <si>
    <t xml:space="preserve">            2.1.8.2.4.00.00 - Obrigações por Danos a Terceiros - Inter OFSS - 
            Estado </t>
  </si>
  <si>
    <t xml:space="preserve">            2.1.8.2.5.00.00 - Obrigações por Danos a Terceiros - Inter OFSS - 
            Município </t>
  </si>
  <si>
    <t xml:space="preserve">          2.1.8.3.0.00.00 - Arrendamento Operacional a Pagar </t>
  </si>
  <si>
    <t xml:space="preserve">            2.1.8.3.1.00.00 - Arrendamento Operacional a Pagar - Consolidação </t>
  </si>
  <si>
    <t xml:space="preserve">            2.1.8.3.2.00.00 - Arrendamento Operacional a Pagar - Intra OFSS </t>
  </si>
  <si>
    <t xml:space="preserve">            2.1.8.3.3.00.00 - Arrendamento Operacional a Pagar - Inter OFSS - 
            União </t>
  </si>
  <si>
    <t xml:space="preserve">            2.1.8.3.4.00.00 - Arrendamento Operacional a Pagar - Inter OFSS - 
            Estado </t>
  </si>
  <si>
    <t xml:space="preserve">            2.1.8.3.5.00.00 - Arrendamento Operacional a Pagar - Inter OFSS - 
            Município </t>
  </si>
  <si>
    <t xml:space="preserve">          2.1.8.4.0.00.00 - Debêntures e Outros Títulos de Dívida a Curto Prazo </t>
  </si>
  <si>
    <t xml:space="preserve">            2.1.8.4.1.00.00 - Debêntures e Outros Títulos de Dívida a Curto Prazo 
            - Consolidação </t>
  </si>
  <si>
    <t xml:space="preserve">            2.1.8.4.2.00.00 - Debêntures e Outros Títulos de Dívida a Curto Prazo 
            - Intra OFSS </t>
  </si>
  <si>
    <t xml:space="preserve">            2.1.8.4.3.00.00 - Debêntures e Outros Títulos de Dívida a Curto Prazo 
            - Inter OFSS - União </t>
  </si>
  <si>
    <t xml:space="preserve">            2.1.8.4.4.00.00 - Debêntures e Outros Títulos de Dívida a Curto Prazo 
            - Inter OFSS - Estado </t>
  </si>
  <si>
    <t xml:space="preserve">            2.1.8.4.5.00.00 - Debêntures e Outros Títulos de Dívida a Curto Prazo 
            - Inter OFSS - Município </t>
  </si>
  <si>
    <t xml:space="preserve">          2.1.8.5.0.00.00 - Dividendos e Juros sobre Capital Próprio a Pagar </t>
  </si>
  <si>
    <t xml:space="preserve">            2.1.8.5.1.00.00 - Dividendos e Juros sobre Capital Próprio a Pagar - 
            Consolidação </t>
  </si>
  <si>
    <t xml:space="preserve">            2.1.8.5.2.00.00 - Dividendos e Juros sobre Capital Próprio a Pagar - 
            Intra OFSS </t>
  </si>
  <si>
    <t xml:space="preserve">            2.1.8.5.3.00.00 - Dividendos e Juros sobre Capital Próprio a Pagar - 
            Inter OFSS - União </t>
  </si>
  <si>
    <t xml:space="preserve">            2.1.8.5.4.00.00 - Dividendos e Juros sobre Capital Próprio a Pagar - 
            Inter OFSS - Estado </t>
  </si>
  <si>
    <t xml:space="preserve">            2.1.8.5.5.00.00 - Dividendos e Juros sobre Capital Próprio a Pagar - 
            Inter OFSS - Município </t>
  </si>
  <si>
    <t xml:space="preserve">          2.1.8.6.0.00.00 - Obrigações Decorrentes de Contratos De PPP </t>
  </si>
  <si>
    <t xml:space="preserve">            2.1.8.6.1.00.00 - Obrigações Decorrentes de Contratos De PPP - 
            Consolidação </t>
  </si>
  <si>
    <t xml:space="preserve">          2.1.8.7.0.00.00 - Depósitos de Instituições Autorizadas a Operar pelo 
          BACEN </t>
  </si>
  <si>
    <t xml:space="preserve">            2.1.8.7.1.00.00 - Depósitos de Instituições Autorizadas a Operar pelo 
            BACEN - Consolidação </t>
  </si>
  <si>
    <t xml:space="preserve">          2.1.8.8.0.00.00 - Valores Restituíveis </t>
  </si>
  <si>
    <t xml:space="preserve">            2.1.8.8.1.00.00 - Valores Restituíveis - Consolidação </t>
  </si>
  <si>
    <t xml:space="preserve">            2.1.8.8.2.00.00 - Valores Restituíveis - Intra OFSS </t>
  </si>
  <si>
    <t xml:space="preserve">            2.1.8.8.3.00.00 - Valores Restituíveis - Inter OFSS - União </t>
  </si>
  <si>
    <t xml:space="preserve">            2.1.8.8.4.00.00 - Valores Restituíveis - Inter OFSS - Estado </t>
  </si>
  <si>
    <t xml:space="preserve">            2.1.8.8.5.00.00 - Valores Restituíveis - Inter OFSS - Município </t>
  </si>
  <si>
    <t xml:space="preserve">          2.1.8.9.0.00.00 - Outras Obrigações a Curto Prazo </t>
  </si>
  <si>
    <t xml:space="preserve">            2.1.8.9.1.00.00 - Outras Obrigações a Curto Prazo - Consolidação </t>
  </si>
  <si>
    <t xml:space="preserve">            2.1.8.9.2.00.00 - Outras Obrigações a Curto Prazo - Intra OFSS </t>
  </si>
  <si>
    <t xml:space="preserve">            2.1.8.9.3.00.00 - Outras Obrigações a Curto Prazo - Inter OFSS - União </t>
  </si>
  <si>
    <t xml:space="preserve">            2.1.8.9.4.00.00 - Outras Obrigações a Curto Prazo - Inter OFSS - 
            Estado </t>
  </si>
  <si>
    <t xml:space="preserve">            2.1.8.9.5.00.00 - Outras Obrigações a Curto Prazo - Inter OFSS - 
            Município </t>
  </si>
  <si>
    <t xml:space="preserve">      2.2.0.0.0.00.00 - Passivo Não-Circulante </t>
  </si>
  <si>
    <t xml:space="preserve">        2.2.1.0.0.00.00 - Obrigações Trabalhistas, Previdenciárias e 
        Assistenciais a Pagar a Longo Prazo </t>
  </si>
  <si>
    <t xml:space="preserve">          2.2.1.1.0.00.00 - Pessoal a Pagar </t>
  </si>
  <si>
    <t xml:space="preserve">            2.2.1.1.1.00.00 - Pessoal a Pagar - Consolidação </t>
  </si>
  <si>
    <t xml:space="preserve">          2.2.1.2.0.00.00 - Benefícios Previdenciários a Pagar </t>
  </si>
  <si>
    <t xml:space="preserve">            2.2.1.2.1.00.00 - Benefícios Previdenciários a Pagar - Consolidação </t>
  </si>
  <si>
    <t xml:space="preserve">            2.2.1.2.2.00.00 - Benefícios Previdenciários a Pagar - Intra OFSS </t>
  </si>
  <si>
    <t xml:space="preserve">            2.2.1.2.3.00.00 - Benefícios Previdenciários a Pagar - Inter OFSS - 
            União </t>
  </si>
  <si>
    <t xml:space="preserve">            2.2.1.2.4.00.00 - Benefícios Previdenciários a Pagar - Inter OFSS - 
            Estado </t>
  </si>
  <si>
    <t xml:space="preserve">            2.2.1.2.5.00.00 - Benefícios Previdenciários a Pagar - Inter OFSS - 
            Município </t>
  </si>
  <si>
    <t xml:space="preserve">          2.2.1.3.0.00.00 - Benefícios Assistenciais a Pagar </t>
  </si>
  <si>
    <t xml:space="preserve">            2.2.1.3.1.00.00 - Benefícios Assistenciais a Pagar - Consolidação </t>
  </si>
  <si>
    <t xml:space="preserve">          2.2.1.4.0.00.00 - Encargos Sociais a Pagar </t>
  </si>
  <si>
    <t xml:space="preserve">            2.2.1.4.1.00.00 - Encargos Sociais a Pagar - Consolidação </t>
  </si>
  <si>
    <t xml:space="preserve">            2.2.1.4.2.00.00 - Encargos Sociais a Pagar - Intra OFSS </t>
  </si>
  <si>
    <t xml:space="preserve">            2.2.1.4.3.00.00 - Encargos Sociais a Pagar - Inter OFSS - União </t>
  </si>
  <si>
    <t xml:space="preserve">            2.2.1.4.4.00.00 - Encargos Sociais a Pagar - Inter OFSS - Estado </t>
  </si>
  <si>
    <t xml:space="preserve">            2.2.1.4.5.00.00 - Encargos Sociais a Pagar - Inter OFSS - Município </t>
  </si>
  <si>
    <t xml:space="preserve">          2.2.1.9.0.00.00 - Outros Benefícios Assistenciais e Trabalhistas a 
          Pagar </t>
  </si>
  <si>
    <t xml:space="preserve">            2.2.1.9.1.00.00 - Outros Benefícios Assistenciais e Trabalhistas a 
            Pagar - Consolidação </t>
  </si>
  <si>
    <t xml:space="preserve">            2.2.1.9.2.00.00 - Outros Benefícios Assistenciais e Trabalhistas a 
            Pagar - Intra OFSS </t>
  </si>
  <si>
    <t xml:space="preserve">        2.2.2.0.0.00.00 - Empréstimos e Financiamentos a Longo Prazo </t>
  </si>
  <si>
    <t xml:space="preserve">          2.2.2.1.0.00.00 - Empréstimos a Longo Prazo - Interno </t>
  </si>
  <si>
    <t xml:space="preserve">            2.2.2.1.1.00.00 - Empréstimos a Longo Prazo - Interno - Consolidação </t>
  </si>
  <si>
    <t xml:space="preserve">            2.2.2.1.2.00.00 - Empréstimos a Longo Prazo – Interno - Intra OFSS </t>
  </si>
  <si>
    <t xml:space="preserve">            2.2.2.1.3.00.00 - Empréstimos a Longo Prazo - Interno - Inter OFSS - 
            União </t>
  </si>
  <si>
    <t xml:space="preserve">            2.2.2.1.4.00.00 - Empréstimos a Longo Prazo - Interno - Inter OFSS - 
            Estado </t>
  </si>
  <si>
    <t xml:space="preserve">            2.2.2.1.5.00.00 - Empréstimos a Longo Prazo - Interno - Inter OFSS - 
            Município </t>
  </si>
  <si>
    <t xml:space="preserve">          2.2.2.2.0.00.00 - Empréstimos a Longo Prazo - Externo </t>
  </si>
  <si>
    <t xml:space="preserve">            2.2.2.2.1.00.00 - Empréstimos a Longo Prazo - Externo Consolidação </t>
  </si>
  <si>
    <t xml:space="preserve">          2.2.2.3.0.00.00 - Financiamentos a Longo Prazo - Interno </t>
  </si>
  <si>
    <t xml:space="preserve">            2.2.2.3.1.00.00 - Financiamentos a Longo Prazo - Interno - 
            Consolidação </t>
  </si>
  <si>
    <t xml:space="preserve">            2.2.2.3.3.00.00 - Financiamentos a Longo Prazo - Interno - Inter OFSS 
            - União </t>
  </si>
  <si>
    <t xml:space="preserve">            2.2.2.3.4.00.00 - Financiamentos a Longo Prazo - Interno - Inter OFSS 
            - Estado </t>
  </si>
  <si>
    <t xml:space="preserve">            2.2.2.3.5.00.00 - Financiamentos a Longo Prazo - Interno - Inter OFSS 
            - Município </t>
  </si>
  <si>
    <t xml:space="preserve">          2.2.2.4.0.00.00 - Financiamento a Longo Prazo - Externo </t>
  </si>
  <si>
    <t xml:space="preserve">            2.2.2.4.1.00.00 - Financiamento a Longo Prazo - Externo - Consolidação </t>
  </si>
  <si>
    <t xml:space="preserve">          2.2.2.5.0.00.00 - Juros e Encargos a Pagar de Empréstimos e 
          Financiamentos a Longo Prazo - Interno </t>
  </si>
  <si>
    <t xml:space="preserve">            2.2.2.5.1.00.00 - Juros e Encargos a Pagar de Empréstimos e 
            Financiamentos a Longo Prazo - Interno - Consolidação </t>
  </si>
  <si>
    <t xml:space="preserve">            2.2.2.5.2.00.00 - Juros e Encargos a Pagar de Empréstimos e 
            Financiamentos a Longo Prazo - Interno - Intra OFSS </t>
  </si>
  <si>
    <t xml:space="preserve">            2.2.2.5.3.00.00 - Juros e Encargos a Pagar de Empréstimos e 
            Financiamentos a Longo Prazo - Interno - Inter OFSS - União </t>
  </si>
  <si>
    <t xml:space="preserve">            2.2.2.5.4.00.00 - Juros e Encargos a Pagar de Empréstimos e 
            Financiamentos a Longo Prazo - Interno - Inter OFSS - Estado </t>
  </si>
  <si>
    <t xml:space="preserve">            2.2.2.5.5.00.00 - Juros e Encargos a Pagar de Empréstimos e 
            Financiamentos a Longo Prazo - Interno - Inter OFSS - Município </t>
  </si>
  <si>
    <t xml:space="preserve">          2.2.2.6.0.00.00 - Juros e Encargos a Pagar de Empréstimos e 
          Financiamentos a Longo Prazo - Externo </t>
  </si>
  <si>
    <t xml:space="preserve">            2.2.2.6.1.00.00 - Juros e Encargos a Pagar de Empréstimos e 
            Financiamentos a Longo Prazo - Externo - Consolidação </t>
  </si>
  <si>
    <t xml:space="preserve">          2.2.2.8.0.00.00 - (-) Encargos Financeiros a Apropriar - Interno </t>
  </si>
  <si>
    <t xml:space="preserve">            2.2.2.8.1.00.00 - (-) Encargos Financeiros a Apropriar - Interno - 
            Consolidação </t>
  </si>
  <si>
    <t xml:space="preserve">            2.2.2.8.2.00.00 - (-) Encargos Financeiros a Apropriar - Interno - 
            Intra OFSS </t>
  </si>
  <si>
    <t xml:space="preserve">            2.2.2.8.3.00.00 - (-) Encargos Financeiros a Apropriar - Interno - 
            Inter OFSS - União </t>
  </si>
  <si>
    <t xml:space="preserve">            2.2.2.8.4.00.00 - (-) Encargos Financeiros a Apropriar - Interno - 
            Inter OFSS - Estado </t>
  </si>
  <si>
    <t xml:space="preserve">            2.2.2.8.5.00.00 - (-) Encargos Financeiros a Apropriar - Interno - 
            Inter OFSS - Município </t>
  </si>
  <si>
    <t xml:space="preserve">          2.2.2.9.0.00.00 - (-) Encargos Financeiros a Apropriar - Externo </t>
  </si>
  <si>
    <t xml:space="preserve">            2.2.2.9.1.00.00 - (-) Encargos Financeiros a Apropriar - Externo - 
            Consolidação </t>
  </si>
  <si>
    <t xml:space="preserve">        2.2.3.0.0.00.00 - Fornecedores e Contas a Pagar a Longo Prazo </t>
  </si>
  <si>
    <t xml:space="preserve">          2.2.3.1.0.00.00 - Fornecedores e Contas a Pagar Nacionais a Longo Prazo </t>
  </si>
  <si>
    <t xml:space="preserve">            2.2.3.1.1.00.00 - Fornecedores e Contas a Pagar Nacionais a Longo 
            Prazo - Consolidação </t>
  </si>
  <si>
    <t xml:space="preserve">            2.2.3.1.2.00.00 - Fornecedores e Contas a Pagar Nacionais a Longo 
            Prazo - Intra OFSS </t>
  </si>
  <si>
    <t xml:space="preserve">            2.2.3.1.3.00.00 - Fornecedores e Contas a Pagar Nacionais a Longo 
            Prazo - Inter OFSS - União </t>
  </si>
  <si>
    <t xml:space="preserve">            2.2.3.1.4.00.00 - Fornecedores e Contas a Pagar Nacionais a Longo 
            Prazo - Inter OFSS - Estado </t>
  </si>
  <si>
    <t xml:space="preserve">            2.2.3.1.5.00.00 - Fornecedores e Contas a Pagar Nacionais a Longo 
            Prazo - Inter OFSS - Município </t>
  </si>
  <si>
    <t xml:space="preserve">          2.2.3.2.0.00.00 - Fornecedores e Contas a Pagar Estrangeiros a Longo 
          Prazo </t>
  </si>
  <si>
    <t xml:space="preserve">            2.2.3.2.1.00.00 - Fornecedores e Contas a Pagar Estrangeiros a Longo 
            Prazo - Consolidação </t>
  </si>
  <si>
    <t xml:space="preserve">        2.2.4.0.0.00.00 - Obrigações Fiscais a Longo Prazo </t>
  </si>
  <si>
    <t xml:space="preserve">          2.2.4.1.0.00.00 - Obrigações Fiscais a Longo Prazo com a União </t>
  </si>
  <si>
    <t xml:space="preserve">            2.2.4.1.1.00.00 - Obrigações Fiscais a Longo Prazo com a União - 
            Consolidação </t>
  </si>
  <si>
    <t xml:space="preserve">            2.2.4.1.2.00.00 - Obrigações Fiscais a Longo Prazo com a União - Intra 
            OFSS </t>
  </si>
  <si>
    <t xml:space="preserve">            2.2.4.1.3.00.00 - Obrigações Fiscais a Longo Prazo com a União - Inter 
            OFSS - União </t>
  </si>
  <si>
    <t xml:space="preserve">          2.2.4.2.0.00.00 - Obrigações Fiscais a Longo Prazo com os Estados </t>
  </si>
  <si>
    <t xml:space="preserve">            2.2.4.2.1.00.00 - Obrigações Fiscais a Longo Prazo com os Estados - 
            Consolidação </t>
  </si>
  <si>
    <t xml:space="preserve">            2.2.4.2.2.00.00 - Obrigações Fiscais a Longo Prazo com os Estados - 
            Intra OFSS </t>
  </si>
  <si>
    <t xml:space="preserve">            2.2.4.2.4.00.00 - Obrigações Fiscais a Longo Prazo com os Estados - 
            Inter OFSS - Estado </t>
  </si>
  <si>
    <t xml:space="preserve">          2.2.4.3.0.00.00 - Obrigações Fiscais a Longo Prazo com os Municípios </t>
  </si>
  <si>
    <t xml:space="preserve">            2.2.4.3.1.00.00 - Obrigações Fiscais a Longo Prazo com os Municípios - 
            Consolidação </t>
  </si>
  <si>
    <t xml:space="preserve">            2.2.4.3.2.00.00 - Obrigações Fiscais a Longo Prazo com os Municípios - 
            Intra OFSS </t>
  </si>
  <si>
    <t xml:space="preserve">            2.2.4.3.5.00.00 - Obrigações Fiscais a Longo Prazo com os Municípios - 
            Inter OFSS - Município </t>
  </si>
  <si>
    <t xml:space="preserve">        2.2.5.0.0.00.00 - Transferências Fiscais a Longo Prazo </t>
  </si>
  <si>
    <t xml:space="preserve">          2.2.5.1.0.00.00 - Transferências Constitucionais a Pagar </t>
  </si>
  <si>
    <t xml:space="preserve">            2.2.5.1.3.00.00 - Transferências Constitucionais a Pagar - Inter OFSS 
            - União </t>
  </si>
  <si>
    <t xml:space="preserve">            2.2.5.1.4.00.00 - Transferências Constitucionais a Pagar - Inter OFSS 
            - Estado </t>
  </si>
  <si>
    <t xml:space="preserve">            2.2.5.1.5.00.00 - Transferências Constitucionais a Pagar - Inter OFSS 
            - Município </t>
  </si>
  <si>
    <t xml:space="preserve">          2.2.5.2.0.00.00 - Transferências Legais a Pagar </t>
  </si>
  <si>
    <t xml:space="preserve">            2.2.5.2.1.00.00 - Transferências Legais a Pagar - Consolidação </t>
  </si>
  <si>
    <t xml:space="preserve">            2.2.5.2.3.00.00 - Transferências Legais a Pagar - Inter OFSS - União </t>
  </si>
  <si>
    <t xml:space="preserve">            2.2.5.2.4.00.00 - Transferências Legais a Pagar - Inter OFSS - Estado </t>
  </si>
  <si>
    <t xml:space="preserve">            2.2.5.2.5.00.00 - Transferências Legais a Pagar - Inter OFSS - 
            Município </t>
  </si>
  <si>
    <t xml:space="preserve">          2.2.5.3.0.00.00 - Transferências Discricionárias a Pagar </t>
  </si>
  <si>
    <t xml:space="preserve">            2.2.5.3.1.00.00 - Transferências Discricionárias a Pagar - 
            Consolidação </t>
  </si>
  <si>
    <t xml:space="preserve">            2.2.5.3.3.00.00 - Transferências Discricionárias a Pagar - Inter OFSS 
            - União </t>
  </si>
  <si>
    <t xml:space="preserve">            2.2.5.3.4.00.00 - Transferências Discricionárias a Pagar - Inter OFSS 
            - Estado </t>
  </si>
  <si>
    <t xml:space="preserve">            2.2.5.3.5.00.00 - Transferências Discricionárias a Pagar - Inter OFSS 
            - Município </t>
  </si>
  <si>
    <t xml:space="preserve">          2.2.5.4.0.00.00 - Transferências de Recursos para Execução Orçamentária 
          a Pagar </t>
  </si>
  <si>
    <t xml:space="preserve">            2.2.5.4.2.00.00 - Transferências de Recursos para Execução 
            Orçamentária a Pagar - Intra OFSS </t>
  </si>
  <si>
    <t xml:space="preserve">          2.2.5.9.0.00.00 - Demais Transferências a Pagar </t>
  </si>
  <si>
    <t xml:space="preserve">            2.2.5.9.1.00.00 - Demais Transferências a Pagar - Consolidação </t>
  </si>
  <si>
    <t xml:space="preserve">            2.2.5.9.3.00.00 - Demais Transferências a Pagar - Inter OFSS - União </t>
  </si>
  <si>
    <t xml:space="preserve">            2.2.5.9.4.00.00 - Demais Transferências a Pagar - Inter OFSS - Estado </t>
  </si>
  <si>
    <t xml:space="preserve">            2.2.5.9.5.00.00 - Demais Transferências a Pagar - Inter OFSS - 
            Município </t>
  </si>
  <si>
    <t xml:space="preserve">        2.2.7.0.0.00.00 - Provisões a Longo Prazo </t>
  </si>
  <si>
    <t xml:space="preserve">          2.2.7.1.0.00.00 - Provisão para Riscos Trabalhistas a Longo Prazo </t>
  </si>
  <si>
    <t xml:space="preserve">            2.2.7.1.1.00.00 - Provisão para Riscos Trabalhistas a Longo Prazo - 
            Consolidação </t>
  </si>
  <si>
    <t xml:space="preserve">          2.2.7.2.0.00.00 - Provisões Matemáticas Previdenciárias a Longo Prazo </t>
  </si>
  <si>
    <t xml:space="preserve">            2.2.7.2.1.00.00 - Provisões Matemáticas Previdenciárias a Longo Prazo 
            - Consolidação </t>
  </si>
  <si>
    <t xml:space="preserve">              2.2.7.2.1.01.00 - Fundo em Repartição - Provisões de Benefícios 
              Concedidos </t>
  </si>
  <si>
    <t xml:space="preserve">              2.2.7.2.1.02.00 - Fundo em Repartição - Provisões de Benefícios a 
              Conceder </t>
  </si>
  <si>
    <t xml:space="preserve">              2.2.7.2.1.03.00 - Fundo em Capitalização - Provisões de Benefícios 
              Concedidos </t>
  </si>
  <si>
    <t xml:space="preserve">              2.2.7.2.1.04.00 - Fundo em Capitalização - Provisões de Benefícios a 
              Conceder </t>
  </si>
  <si>
    <t xml:space="preserve">              2.2.7.2.1.08.00 - SPSM - Provisões de Benefícios Concedidos </t>
  </si>
  <si>
    <t xml:space="preserve">              2.2.7.2.1.09.00 - Demais Regimes - Provisões de Benefícios Concedidos </t>
  </si>
  <si>
    <t xml:space="preserve">            2.2.7.2.2.00.00 - Provisões Matemáticas Previdenciárias a Longo Prazo 
            - Intra OFSS </t>
  </si>
  <si>
    <t xml:space="preserve">              2.2.7.2.2.01.00 - (-) Fundo em Repartição - Provisões de Benefícios 
              Concedidos </t>
  </si>
  <si>
    <t xml:space="preserve">              2.2.7.2.2.02.00 - (-) Fundo em Repartição - Provisões de Benefícios a 
              Conceder </t>
  </si>
  <si>
    <t xml:space="preserve">              2.2.7.2.2.05.00 - Obrigação Atual de Cobertura de Insuficiência 
              Financeira - Fundo em Repartição - Intra OFSS </t>
  </si>
  <si>
    <t xml:space="preserve">          2.2.7.3.0.00.00 - Provisão para Riscos Fiscais a Longo Prazo </t>
  </si>
  <si>
    <t xml:space="preserve">            2.2.7.3.1.00.00 - Provisão para Riscos Fiscais a Longo Prazo - 
            Consolidação </t>
  </si>
  <si>
    <t xml:space="preserve">            2.2.7.3.2.00.00 - Provisão para Riscos Fiscais a Longo Prazo - Intra 
            OFSS </t>
  </si>
  <si>
    <t xml:space="preserve">            2.2.7.3.3.00.00 - Provisão para Riscos Fiscais a Longo Prazo - Inter 
            OFSS - União </t>
  </si>
  <si>
    <t xml:space="preserve">            2.2.7.3.4.00.00 - Provisão para Riscos Fiscais a Longo Prazo - Inter 
            OFSS - Estado </t>
  </si>
  <si>
    <t xml:space="preserve">            2.2.7.3.5.00.00 - Provisão para Riscos Fiscais a Longo Prazo - Inter 
            OFSS - Município </t>
  </si>
  <si>
    <t xml:space="preserve">          2.2.7.4.0.00.00 - Provisão para Riscos Cíveis a Longo Prazo </t>
  </si>
  <si>
    <t xml:space="preserve">            2.2.7.4.1.00.00 - Provisão para Riscos Cíveis a Longo Prazo - 
            Consolidação </t>
  </si>
  <si>
    <t xml:space="preserve">            2.2.7.4.2.00.00 - Provisão para Riscos Cíveis a Longo Prazo - Intra 
            OFSS </t>
  </si>
  <si>
    <t xml:space="preserve">            2.2.7.4.3.00.00 - Provisão para Riscos Cíveis a Longo Prazo - Inter 
            OFSS - União </t>
  </si>
  <si>
    <t xml:space="preserve">            2.2.7.4.4.00.00 - Provisão para Riscos Cíveis a Longo Prazo - Inter 
            OFSS - Estado </t>
  </si>
  <si>
    <t xml:space="preserve">            2.2.7.4.5.00.00 - Provisão para Riscos Cíveis a Longo Prazo - Inter 
            OFSS - Município </t>
  </si>
  <si>
    <t xml:space="preserve">          2.2.7.5.0.00.00 - Provisão para Repartição de Créditos a Longo Prazo </t>
  </si>
  <si>
    <t xml:space="preserve">            2.2.7.5.1.00.00 - Provisão para Repartição de Créditos a Longo Prazo - 
            Consolidação </t>
  </si>
  <si>
    <t xml:space="preserve">            2.2.7.5.2.00.00 - Provisão para Repartição de Créditos a Longo Prazo - 
            Intra OFSS </t>
  </si>
  <si>
    <t xml:space="preserve">            2.2.7.5.3.00.00 - Provisão para Repartição de Créditos a Longo Prazo - 
            Inter OFSS - União </t>
  </si>
  <si>
    <t xml:space="preserve">            2.2.7.5.4.00.00 - Provisão para Repartição de Créditos a Longo Prazo - 
            Inter OFSS - Estado </t>
  </si>
  <si>
    <t xml:space="preserve">            2.2.7.5.5.00.00 - Provisão para Repartição de Créditos a Longo Prazo - 
            Inter OFSS - Município </t>
  </si>
  <si>
    <t xml:space="preserve">          2.2.7.6.0.00.00 - Provisão para Riscos Decorrentes de Contratos de PPP 
          a Longo Prazo </t>
  </si>
  <si>
    <t xml:space="preserve">            2.2.7.6.1.00.00 - Provisão para Riscos Decorrentes de Contratos de PPP 
            a Longo Prazo - Consolidação </t>
  </si>
  <si>
    <t xml:space="preserve">          2.2.7.7.0.00.00 - Provisão para Obrigações Decorrentes da Atuação 
          Governamental a Longo Prazo </t>
  </si>
  <si>
    <t xml:space="preserve">            2.2.7.7.1.00.00 - Provisão para Obrigações Decorrentes da Atuação 
            Governamental a Longo Prazo - Consolidação </t>
  </si>
  <si>
    <t xml:space="preserve">            2.2.7.7.2.00.00 - Provisão para Obrigações Decorrentes da Atuação 
            Governamental a Longo Prazo - Intra OFSS </t>
  </si>
  <si>
    <t xml:space="preserve">            2.2.7.7.3.00.00 - Provisão para Obrigações Decorrentes da Atuação 
            Governamental a Longo Prazo - Inter OFSS - União </t>
  </si>
  <si>
    <t xml:space="preserve">            2.2.7.7.4.00.00 - Provisão para Obrigações Decorrentes da Atuação 
            Governamental a Longo Prazo - Inter OFSS - Estado </t>
  </si>
  <si>
    <t xml:space="preserve">            2.2.7.7.5.00.00 - Provisão para Obrigações Decorrentes da Atuação 
            Governamental a Longo Prazo - Inter OFSS - Município </t>
  </si>
  <si>
    <t xml:space="preserve">          2.2.7.9.0.00.00 - Outras Provisões a Longo Prazo </t>
  </si>
  <si>
    <t xml:space="preserve">            2.2.7.9.1.00.00 - Outras Provisões a Longo Prazo - Consolidação </t>
  </si>
  <si>
    <t xml:space="preserve">            2.2.7.9.2.00.00 - Outras Provisões a Longo Prazo - Intra OFSS </t>
  </si>
  <si>
    <t xml:space="preserve">            2.2.7.9.3.00.00 - Outras Provisões a Longo Prazo - Inter OFSS - União </t>
  </si>
  <si>
    <t xml:space="preserve">            2.2.7.9.4.00.00 - Outras Provisões a Longo Prazo - Inter OFSS - Estado </t>
  </si>
  <si>
    <t xml:space="preserve">            2.2.7.9.5.00.00 - Outras Provisões a Longo Prazo - Inter OFSS - 
            Município </t>
  </si>
  <si>
    <t xml:space="preserve">        2.2.8.0.0.00.00 - Demais Obrigações a Longo Prazo </t>
  </si>
  <si>
    <t xml:space="preserve">          2.2.8.1.0.00.00 - Adiantamentos de Clientes a Longo Prazo </t>
  </si>
  <si>
    <t xml:space="preserve">            2.2.8.1.1.00.00 - Adiantamentos de Clientes a Longo Prazo - 
            Consolidação </t>
  </si>
  <si>
    <t xml:space="preserve">            2.2.8.1.2.00.00 - Adiantamentos de Clientes a Longo Prazo - Intra OFSS </t>
  </si>
  <si>
    <t xml:space="preserve">            2.2.8.1.3.00.00 - Adiantamentos de Clientes a Longo Prazo - Inter OFSS 
            - União </t>
  </si>
  <si>
    <t xml:space="preserve">            2.2.8.1.4.00.00 - Adiantamentos de Clientes a Longo Prazo - Inter OFSS 
            - Estado </t>
  </si>
  <si>
    <t xml:space="preserve">            2.2.8.1.5.00.00 - Adiantamentos de Clientes a Longo Prazo - Inter OFSS 
            - Município </t>
  </si>
  <si>
    <t xml:space="preserve">          2.2.8.2.0.00.00 - Obrigações por Danos a Terceiros a Longo Prazo </t>
  </si>
  <si>
    <t xml:space="preserve">            2.2.8.2.1.00.00 - Obrigações por Danos a Terceiros a Longo Prazo - 
            Consolidação </t>
  </si>
  <si>
    <t xml:space="preserve">            2.2.8.2.2.00.00 - Obrigações por Danos a Terceiros a Longo Prazo - 
            Intra OFSS </t>
  </si>
  <si>
    <t xml:space="preserve">            2.2.8.2.3.00.00 - Obrigações por Danos a Terceiros a Longo Prazo - 
            Inter OFSS - União </t>
  </si>
  <si>
    <t xml:space="preserve">            2.2.8.2.4.00.00 - Obrigações por Danos a Terceiros a Longo Prazo - 
            Inter OFSS - Estado </t>
  </si>
  <si>
    <t xml:space="preserve">            2.2.8.2.5.00.00 - Obrigações por Danos a Terceiros a Longo Prazo - 
            Inter OFSS - Município </t>
  </si>
  <si>
    <t xml:space="preserve">          2.2.8.3.0.00.00 - Debêntures e Outros Títulos de Dívida a Longo Prazo </t>
  </si>
  <si>
    <t xml:space="preserve">            2.2.8.3.1.00.00 - Debêntures e Outros Títulos de Dívida a Longo Prazo 
            - Consolidação </t>
  </si>
  <si>
    <t xml:space="preserve">            2.2.8.3.2.00.00 - Debêntures e Outros Títulos de Dívida a Longo Prazo 
            - Intra OFSS </t>
  </si>
  <si>
    <t xml:space="preserve">            2.2.8.3.3.00.00 - Debêntures e Outros Títulos de Dívida a Longo Prazo 
            - Inter OFSS - União </t>
  </si>
  <si>
    <t xml:space="preserve">            2.2.8.3.4.00.00 - Debêntures e Outros Títulos de Dívida a Longo Prazo 
            - Inter OFSS - Estado </t>
  </si>
  <si>
    <t xml:space="preserve">            2.2.8.3.5.00.00 - Debêntures e Outros Títulos de Dívida a Longo Prazo 
            -Inter OFSS - Município </t>
  </si>
  <si>
    <t xml:space="preserve">          2.2.8.4.0.00.00 - Adiantamento para Futuro Aumento de Capital </t>
  </si>
  <si>
    <t xml:space="preserve">            2.2.8.4.1.00.00 - Adiantamento para Futuro Aumento de Capital - 
            Consolidação </t>
  </si>
  <si>
    <t xml:space="preserve">            2.2.8.4.2.00.00 - Adiantamento para Futuro Aumento de Capital - Intra 
            OFSS </t>
  </si>
  <si>
    <t xml:space="preserve">            2.2.8.4.3.00.00 - Adiantamento para Futuro Aumento de Capital - Inter 
            OFSS - União </t>
  </si>
  <si>
    <t xml:space="preserve">            2.2.8.4.4.00.00 - Adiantamento para Futuro Aumento de Capital - Inter 
            OFSS - Estado </t>
  </si>
  <si>
    <t xml:space="preserve">            2.2.8.4.5.00.00 - Adiantamento para Futuro Aumento de Capital - Inter 
            OFSS - Município </t>
  </si>
  <si>
    <t xml:space="preserve">          2.2.8.6.0.00.00 - Obrigações Decorrentes de Contratos de PPP - Longo 
          Prazo </t>
  </si>
  <si>
    <t xml:space="preserve">            2.2.8.6.1.00.00 - Obrigações Decorrentes de Contratos de PPP - Longo 
            Prazo - Consolidação </t>
  </si>
  <si>
    <t xml:space="preserve">          2.2.8.8.0.00.00 - Valores Restituíveis </t>
  </si>
  <si>
    <t xml:space="preserve">            2.2.8.8.1.00.00 - Valores Restituíveis - Consolidação </t>
  </si>
  <si>
    <t xml:space="preserve">            2.2.8.8.2.00.00 - Valores Restituíveis - Intra OFSS </t>
  </si>
  <si>
    <t xml:space="preserve">            2.2.8.8.3.00.00 - Valores Restituíveis - Inter OFSS - União </t>
  </si>
  <si>
    <t xml:space="preserve">            2.2.8.8.4.00.00 - Valores Restituíveis - Inter OFSS - Estado </t>
  </si>
  <si>
    <t xml:space="preserve">            2.2.8.8.5.00.00 - Valores Restituíveis - Inter OFSS - Município </t>
  </si>
  <si>
    <t xml:space="preserve">          2.2.8.9.0.00.00 - Outras Obrigações a Longo Prazo </t>
  </si>
  <si>
    <t xml:space="preserve">            2.2.8.9.1.00.00 - Outras Obrigações a Longo Prazo - Consolidação </t>
  </si>
  <si>
    <t xml:space="preserve">            2.2.8.9.2.00.00 - Outras Obrigações a Longo Prazo - Intra OFSS </t>
  </si>
  <si>
    <t xml:space="preserve">            2.2.8.9.3.00.00 - Outras Obrigações a Longo Prazo - Inter OFSS - União </t>
  </si>
  <si>
    <t xml:space="preserve">            2.2.8.9.4.00.00 - Outras Obrigações a Longo Prazo - Inter OFSS - 
            Estado </t>
  </si>
  <si>
    <t xml:space="preserve">            2.2.8.9.5.00.00 - Outras Obrigações a Longo Prazo - Inter OFSS - 
            Município </t>
  </si>
  <si>
    <t xml:space="preserve">        2.2.9.0.0.00.00 - Resultado Diferido </t>
  </si>
  <si>
    <t xml:space="preserve">          2.2.9.1.0.00.00 - Variação Patrimonial Aumentativa (VPA) Diferida </t>
  </si>
  <si>
    <t xml:space="preserve">            2.2.9.1.1.00.00 - Variação Patrimonial Aumentativa Diferida - 
            Consolidação </t>
  </si>
  <si>
    <t xml:space="preserve">            2.2.9.1.2.00.00 - Variação Patrimonial Aumentativa Diferida - Intra 
            OFSS </t>
  </si>
  <si>
    <t xml:space="preserve">            2.2.9.1.3.00.00 - Variação Patrimonial Aumentativa Diferida - Inter 
            OFSS - União </t>
  </si>
  <si>
    <t xml:space="preserve">            2.2.9.1.4.00.00 - Variação Patrimonial Aumentativa Diferida - Inter 
            OFSS - Estado </t>
  </si>
  <si>
    <t xml:space="preserve">            2.2.9.1.5.00.00 - Variação Patrimonial Aumentativa Diferida - Inter 
            OFSS - Município </t>
  </si>
  <si>
    <t xml:space="preserve">          2.2.9.2.0.00.00 - (-) Custo Diferido </t>
  </si>
  <si>
    <t xml:space="preserve">            2.2.9.2.1.00.00 - (-) Custo Diferido - Consolidação </t>
  </si>
  <si>
    <t xml:space="preserve">            2.2.9.2.2.00.00 - (-) Custo Diferido - Intra OFSS </t>
  </si>
  <si>
    <t xml:space="preserve">            2.2.9.2.3.00.00 - (-) Custo Diferido - Inter OFSS - União </t>
  </si>
  <si>
    <t xml:space="preserve">            2.2.9.2.4.00.00 - (-) Custo Diferido - Inter OFSS - Estado </t>
  </si>
  <si>
    <t xml:space="preserve">            2.2.9.2.5.00.00 - (-) Custo Diferido - Inter OFSS - Município </t>
  </si>
  <si>
    <t xml:space="preserve">      2.3.0.0.0.00.00 - Patrimônio Liquido </t>
  </si>
  <si>
    <t xml:space="preserve">        2.3.1.0.0.00.00 - Patrimônio Social e Capital Social </t>
  </si>
  <si>
    <t xml:space="preserve">          2.3.1.1.0.00.00 - Patrimônio Social </t>
  </si>
  <si>
    <t xml:space="preserve">            2.3.1.1.1.00.00 - Patrimônio Social - Consolidação </t>
  </si>
  <si>
    <t xml:space="preserve">            2.3.1.1.2.00.00 - Patrimônio Social - Intra OFSS </t>
  </si>
  <si>
    <t xml:space="preserve">            2.3.1.1.3.00.00 - Patrimônio Social - Inter OFSS - União </t>
  </si>
  <si>
    <t xml:space="preserve">            2.3.1.1.4.00.00 - Patrimônio Social - Inter OFSS - Estado </t>
  </si>
  <si>
    <t xml:space="preserve">            2.3.1.1.5.00.00 - Patrimônio Social - Inter OFSS - Município </t>
  </si>
  <si>
    <t xml:space="preserve">          2.3.1.2.0.00.00 - Capital Social Realizado </t>
  </si>
  <si>
    <t xml:space="preserve">            2.3.1.2.1.00.00 - Capital Social Realizado - Consolidação </t>
  </si>
  <si>
    <t xml:space="preserve">            2.3.1.2.2.00.00 - Capital Social Realizado - Intra OFSS </t>
  </si>
  <si>
    <t xml:space="preserve">            2.3.1.2.3.00.00 - Capital Social Realizado - Inter OFSS - União </t>
  </si>
  <si>
    <t xml:space="preserve">            2.3.1.2.4.00.00 - Capital Social Realizado - Inter OFSS - Estado </t>
  </si>
  <si>
    <t xml:space="preserve">            2.3.1.2.5.00.00 - Capital Social Realizado - Inter OFSS - Município </t>
  </si>
  <si>
    <t xml:space="preserve">        2.3.2.0.0.00.00 - Adiantamento para Futuro Aumento de Capital </t>
  </si>
  <si>
    <t xml:space="preserve">          2.3.2.1.0.00.00 - Adiantamento para Futuro Aumento de Capital </t>
  </si>
  <si>
    <t xml:space="preserve">            2.3.2.1.1.00.00 - Adiantamento para Futuro Aumento de Capital - 
            Consolidação </t>
  </si>
  <si>
    <t xml:space="preserve">            2.3.2.1.2.00.00 - Adiantamento para Futuro Aumento de Capital - Intra 
            OFSS </t>
  </si>
  <si>
    <t xml:space="preserve">            2.3.2.1.3.00.00 - Adiantamento para Futuro Aumento de Capital - Inter 
            OFSS - União </t>
  </si>
  <si>
    <t xml:space="preserve">            2.3.2.1.4.00.00 - Adiantamento para Futuro Aumento de Capital - Inter 
            OFSS - Estado </t>
  </si>
  <si>
    <t xml:space="preserve">            2.3.2.1.5.00.00 - Adiantamento para Futuro Aumento de Capital - Inter 
            OFSS - Município </t>
  </si>
  <si>
    <t xml:space="preserve">        2.3.3.0.0.00.00 - Reservas de Capital </t>
  </si>
  <si>
    <t xml:space="preserve">          2.3.3.1.0.00.00 - Ágio na Emissão de Ações </t>
  </si>
  <si>
    <t xml:space="preserve">            2.3.3.1.1.00.00 - Ágio na Emissão de Ações - Consolidação </t>
  </si>
  <si>
    <t xml:space="preserve">            2.3.3.1.2.00.00 - Ágio na Emissão de Ações - Intra OFSS </t>
  </si>
  <si>
    <t xml:space="preserve">            2.3.3.1.3.00.00 - Ágio na Emissão de Ações - Inter OFSS - União </t>
  </si>
  <si>
    <t xml:space="preserve">            2.3.3.1.4.00.00 - Ágio na Emissão de Ações - Inter OFSS - Estado </t>
  </si>
  <si>
    <t xml:space="preserve">            2.3.3.1.5.00.00 - Ágio na Emissão de Ações - Inter OFSS - Município </t>
  </si>
  <si>
    <t xml:space="preserve">          2.3.3.2.0.00.00 - Alienação de Partes Beneficiarias </t>
  </si>
  <si>
    <t xml:space="preserve">            2.3.3.2.1.00.00 - Alienação de Partes Beneficiarias - Consolidação </t>
  </si>
  <si>
    <t xml:space="preserve">            2.3.3.2.2.00.00 - Alienação de Partes Beneficiarias - Intra OFSS </t>
  </si>
  <si>
    <t xml:space="preserve">            2.3.3.2.3.00.00 - Alienação de Partes Beneficiarias - Inter OFSS - 
            União </t>
  </si>
  <si>
    <t xml:space="preserve">            2.3.3.2.4.00.00 - Alienação de Partes Beneficiarias - Inter OFSS - 
            Estado </t>
  </si>
  <si>
    <t xml:space="preserve">            2.3.3.2.5.00.00 - Alienação de Partes Beneficiarias - Inter OFSS - 
            Município </t>
  </si>
  <si>
    <t xml:space="preserve">          2.3.3.3.0.00.00 - Alienação de Bônus de Subscrição </t>
  </si>
  <si>
    <t xml:space="preserve">            2.3.3.3.1.00.00 - Alienação de Bônus de Subscrição - Consolidação </t>
  </si>
  <si>
    <t xml:space="preserve">            2.3.3.3.2.00.00 - Alienação de Bônus de Subscrição - Intra OFSS </t>
  </si>
  <si>
    <t xml:space="preserve">            2.3.3.3.3.00.00 - Alienação de Bônus de Subscrição - Inter OFSS - 
            União </t>
  </si>
  <si>
    <t xml:space="preserve">            2.3.3.3.4.00.00 - Alienação de Bônus de Subscrição - Inter OFSS - 
            Estado </t>
  </si>
  <si>
    <t xml:space="preserve">            2.3.3.3.5.00.00 - Alienação de Bônus de Subscrição - Inter OFSS - 
            Município </t>
  </si>
  <si>
    <t xml:space="preserve">          2.3.3.4.0.00.00 - Correção Monetária do Capital Realizado </t>
  </si>
  <si>
    <t xml:space="preserve">            2.3.3.4.1.00.00 - Correção Monetária do Capital Realizado - 
            Consolidação </t>
  </si>
  <si>
    <t xml:space="preserve">            2.3.3.4.2.00.00 - Correção Monetária do Capital Realizado - Intra OFSS </t>
  </si>
  <si>
    <t xml:space="preserve">            2.3.3.4.3.00.00 - Correção Monetária do Capital Realizado - Inter OFSS 
            - União </t>
  </si>
  <si>
    <t xml:space="preserve">            2.3.3.4.4.00.00 - Correção Monetária do Capital Realizado - Inter OFSS 
            - Estado </t>
  </si>
  <si>
    <t xml:space="preserve">            2.3.3.4.5.00.00 - Correção Monetária do Capital Realizado - Inter OFSS 
            - Município </t>
  </si>
  <si>
    <t xml:space="preserve">          2.3.3.9.0.00.00 - Outras Reservas de Capital </t>
  </si>
  <si>
    <t xml:space="preserve">            2.3.3.9.1.00.00 - Outras Reservas de Capital - Consolidação </t>
  </si>
  <si>
    <t xml:space="preserve">            2.3.3.9.2.00.00 - Outras Reservas de Capital - Intra OFSS </t>
  </si>
  <si>
    <t xml:space="preserve">            2.3.3.9.3.00.00 - Outras Reservas de Capital - Inter OFSS - União </t>
  </si>
  <si>
    <t xml:space="preserve">            2.3.3.9.4.00.00 - Outras Reservas de Capital - Inter OFSS - Estado </t>
  </si>
  <si>
    <t xml:space="preserve">            2.3.3.9.5.00.00 - Outras Reservas de Capital - Inter OFSS - Município </t>
  </si>
  <si>
    <t xml:space="preserve">        2.3.4.0.0.00.00 - Ajustes de Avaliação Patrimonial </t>
  </si>
  <si>
    <t xml:space="preserve">          2.3.4.1.0.00.00 - Ajustes de Avaliação Patrimonial de Ativos </t>
  </si>
  <si>
    <t xml:space="preserve">            2.3.4.1.1.00.00 - Ajustes de Avaliação Patrimonial de Ativos - 
            Consolidação </t>
  </si>
  <si>
    <t xml:space="preserve">            2.3.4.1.2.00.00 - Ajustes de Avaliação Patrimonial de Ativos - Intra 
            OFSS </t>
  </si>
  <si>
    <t xml:space="preserve">            2.3.4.1.3.00.00 - Ajustes de Avaliação Patrimonial de Ativos - Inter 
            OFSS - União </t>
  </si>
  <si>
    <t xml:space="preserve">            2.3.4.1.4.00.00 - Ajustes de Avaliação Patrimonial de Ativos - Inter 
            OFSS - Estado </t>
  </si>
  <si>
    <t xml:space="preserve">            2.3.4.1.5.00.00 - Ajustes de Avaliação Patrimonial de Ativos - Inter 
            OFSS - Município </t>
  </si>
  <si>
    <t xml:space="preserve">          2.3.4.2.0.00.00 - Ajustes de Avaliação Patrimonial de Passivos </t>
  </si>
  <si>
    <t xml:space="preserve">            2.3.4.2.1.00.00 - Ajustes de Avaliação Patrimonial de Passivos - 
            Consolidação </t>
  </si>
  <si>
    <t xml:space="preserve">            2.3.4.2.2.00.00 - Ajustes de Avaliação Patrimonial de Passivos - Intra 
            OFSS </t>
  </si>
  <si>
    <t xml:space="preserve">            2.3.4.2.3.00.00 - Ajustes de Avaliação Patrimonial de Passivos - Inter 
            OFSS - União </t>
  </si>
  <si>
    <t xml:space="preserve">            2.3.4.2.4.00.00 - Ajustes de Avaliação Patrimonial de Passivos - Inter 
            OFSS - Estado </t>
  </si>
  <si>
    <t xml:space="preserve">            2.3.4.2.5.00.00 - Ajustes de Avaliação Patrimonial de Passivos - Inter 
            OFSS - Município </t>
  </si>
  <si>
    <t xml:space="preserve">        2.3.5.0.0.00.00 - Reservas de Lucros </t>
  </si>
  <si>
    <t xml:space="preserve">          2.3.5.1.0.00.00 - Reserva Legal </t>
  </si>
  <si>
    <t xml:space="preserve">            2.3.5.1.1.00.00 - Reserva Legal - Consolidação </t>
  </si>
  <si>
    <t xml:space="preserve">            2.3.5.1.2.00.00 - Reserva Legal - Intra OFSS </t>
  </si>
  <si>
    <t xml:space="preserve">            2.3.5.1.3.00.00 - Reserva Legal - Inter OFSS - União </t>
  </si>
  <si>
    <t xml:space="preserve">            2.3.5.1.4.00.00 - Reserva Legal - Inter OFSS - Estado </t>
  </si>
  <si>
    <t xml:space="preserve">            2.3.5.1.5.00.00 - Reserva Legal - Inter OFSS - Município </t>
  </si>
  <si>
    <t xml:space="preserve">          2.3.5.2.0.00.00 - Reservas Estatutárias </t>
  </si>
  <si>
    <t xml:space="preserve">            2.3.5.2.1.00.00 - Reservas Estatutárias - Consolidação </t>
  </si>
  <si>
    <t xml:space="preserve">            2.3.5.2.2.00.00 - Reservas Estatutárias - Intra OFSS </t>
  </si>
  <si>
    <t xml:space="preserve">            2.3.5.2.3.00.00 - Reservas Estatutárias - Inter OFSS - União </t>
  </si>
  <si>
    <t xml:space="preserve">            2.3.5.2.4.00.00 - Reservas Estatutárias - Inter OFSS - Estado </t>
  </si>
  <si>
    <t xml:space="preserve">            2.3.5.2.5.00.00 - Reservas Estatutárias - Inter OFSS - Município </t>
  </si>
  <si>
    <t xml:space="preserve">          2.3.5.3.0.00.00 - Reserva para Contingencias </t>
  </si>
  <si>
    <t xml:space="preserve">            2.3.5.3.1.00.00 - Reserva para Contingencias - Consolidação </t>
  </si>
  <si>
    <t xml:space="preserve">            2.3.5.3.2.00.00 - Reserva para Contingencias - Intra OFSS </t>
  </si>
  <si>
    <t xml:space="preserve">            2.3.5.3.3.00.00 - Reserva para Contingencias - Inter OFSS - União </t>
  </si>
  <si>
    <t xml:space="preserve">            2.3.5.3.4.00.00 - Reserva para Contingencias - Inter OFSS - Estado </t>
  </si>
  <si>
    <t xml:space="preserve">            2.3.5.3.5.00.00 - Reserva para Contingencias - Inter OFSS - Município </t>
  </si>
  <si>
    <t xml:space="preserve">          2.3.5.4.0.00.00 - Reserva de Incentivos Fiscais </t>
  </si>
  <si>
    <t xml:space="preserve">            2.3.5.4.1.00.00 - Reserva de Incentivos Fiscais - Consolidação </t>
  </si>
  <si>
    <t xml:space="preserve">            2.3.5.4.2.00.00 - Reserva de Incentivos Fiscais - Intra OFSS </t>
  </si>
  <si>
    <t xml:space="preserve">            2.3.5.4.3.00.00 - Reserva de Incentivos Fiscais - Inter OFSS - União </t>
  </si>
  <si>
    <t xml:space="preserve">            2.3.5.4.4.00.00 - Reserva de Incentivos Fiscais - Inter OFSS - Estado </t>
  </si>
  <si>
    <t xml:space="preserve">            2.3.5.4.5.00.00 - Reserva de Incentivos Fiscais - Inter OFSS - 
            Município </t>
  </si>
  <si>
    <t xml:space="preserve">          2.3.5.5.0.00.00 - Reservas de Lucros para Expansão </t>
  </si>
  <si>
    <t xml:space="preserve">            2.3.5.5.1.00.00 - Reservas de Lucros para Expansão - Consolidação </t>
  </si>
  <si>
    <t xml:space="preserve">            2.3.5.5.2.00.00 - Reservas de Lucros para Expansão - Intra OFSS </t>
  </si>
  <si>
    <t xml:space="preserve">            2.3.5.5.3.00.00 - Reservas de Lucros para Expansão - Inter OFSS - 
            União </t>
  </si>
  <si>
    <t xml:space="preserve">            2.3.5.5.4.00.00 - Reservas de Lucros para Expansão - Inter OFSS 
            –Estado </t>
  </si>
  <si>
    <t xml:space="preserve">            2.3.5.5.5.00.00 - Reservas de Lucros para Expansão - Inter OFSS - 
            Município </t>
  </si>
  <si>
    <t xml:space="preserve">          2.3.5.6.0.00.00 - Reserva de Lucros a Realizar </t>
  </si>
  <si>
    <t xml:space="preserve">            2.3.5.6.1.00.00 - Reserva de Lucros a Realizar- Consolidação </t>
  </si>
  <si>
    <t xml:space="preserve">            2.3.5.6.2.00.00 - Reserva de Lucros a Realizar- Intra OFSS </t>
  </si>
  <si>
    <t xml:space="preserve">            2.3.5.6.3.00.00 - Reserva de Lucros a Realizar- Inter OFSS - União </t>
  </si>
  <si>
    <t xml:space="preserve">            2.3.5.6.4.00.00 - Reserva de Lucros a Realizar- Inter OFSS - Estado </t>
  </si>
  <si>
    <t xml:space="preserve">            2.3.5.6.5.00.00 - Reserva de Lucros a Realizar- Inter OFSS - Município </t>
  </si>
  <si>
    <t xml:space="preserve">          2.3.5.7.0.00.00 - Reserva de Retenção de Premio na Emissão de 
          Debêntures </t>
  </si>
  <si>
    <t xml:space="preserve">            2.3.5.7.1.00.00 - Reserva de Retenção de Premio na Emissão de 
            Debêntures - Consolidação </t>
  </si>
  <si>
    <t xml:space="preserve">            2.3.5.7.2.00.00 - Reserva de Retenção de Premio na Emissão de 
            Debêntures - Intra OFSS </t>
  </si>
  <si>
    <t xml:space="preserve">            2.3.5.7.3.00.00 - Reserva de Retenção de Premio na Emissão de 
            Debêntures - Inter OFSS - União </t>
  </si>
  <si>
    <t xml:space="preserve">            2.3.5.7.4.00.00 - Reserva de Retenção de Premio na Emissão de 
            Debêntures - Inter OFSS - Estado </t>
  </si>
  <si>
    <t xml:space="preserve">            2.3.5.7.5.00.00 - Reserva de Retenção de Premio na Emissão de 
            Debêntures - Inter OFSS - Município </t>
  </si>
  <si>
    <t xml:space="preserve">          2.3.5.8.0.00.00 - Reserva Especial para Dividendo Obrigatório Não 
          Distribuído </t>
  </si>
  <si>
    <t xml:space="preserve">            2.3.5.8.1.00.00 - Reserva Especial para Dividendo Obrigatório Não 
            Distribuído - Consolidação </t>
  </si>
  <si>
    <t xml:space="preserve">            2.3.5.8.2.00.00 - Reserva Especial para Dividendo Obrigatório Não 
            Distribuído - Intra OFSS </t>
  </si>
  <si>
    <t xml:space="preserve">            2.3.5.8.3.00.00 - Reserva Especial para Dividendo Obrigatório Não 
            Distribuído - Inter OFSS - União </t>
  </si>
  <si>
    <t xml:space="preserve">            2.3.5.8.4.00.00 - Reserva Especial para Dividendo Obrigatório Não 
            Distribuído - Inter OFSS - Estado </t>
  </si>
  <si>
    <t xml:space="preserve">            2.3.5.8.5.00.00 - Reserva Especial para Dividendo Obrigatório Não 
            Distribuído - Inter OFSS - Município </t>
  </si>
  <si>
    <t xml:space="preserve">          2.3.5.9.0.00.00 - Outras Reservas de Lucro </t>
  </si>
  <si>
    <t xml:space="preserve">            2.3.5.9.1.00.00 - Outras Reservas de Lucro - Consolidação </t>
  </si>
  <si>
    <t xml:space="preserve">            2.3.5.9.2.00.00 - Outras Reservas de Lucro - Intra OFSS </t>
  </si>
  <si>
    <t xml:space="preserve">            2.3.5.9.3.00.00 - Outras Reservas de Lucro - Inter OFSS - União </t>
  </si>
  <si>
    <t xml:space="preserve">            2.3.5.9.4.00.00 - Outras Reservas de Lucro - Inter OFSS - Estado </t>
  </si>
  <si>
    <t xml:space="preserve">            2.3.5.9.5.00.00 - Outras Reservas de Lucro - Inter OFSS - Município </t>
  </si>
  <si>
    <t xml:space="preserve">        2.3.6.0.0.00.00 - Demais Reservas </t>
  </si>
  <si>
    <t xml:space="preserve">          2.3.6.1.0.00.00 - Reserva de Reavaliação </t>
  </si>
  <si>
    <t xml:space="preserve">            2.3.6.1.1.00.00 - Reserva de Reavaliação - Consolidação </t>
  </si>
  <si>
    <t xml:space="preserve">            2.3.6.1.2.00.00 - Reserva de Reavaliação - Intra OFSS </t>
  </si>
  <si>
    <t xml:space="preserve">            2.3.6.1.3.00.00 - Reserva de Reavaliação - Inter OFSS - União </t>
  </si>
  <si>
    <t xml:space="preserve">            2.3.6.1.4.00.00 - Reserva de Reavaliação - Inter OFSS - Estado </t>
  </si>
  <si>
    <t xml:space="preserve">            2.3.6.1.5.00.00 - Reserva de Reavaliação - Inter OFSS - Município </t>
  </si>
  <si>
    <t xml:space="preserve">          2.3.6.2.0.00.00 - Reservas Atuariais </t>
  </si>
  <si>
    <t xml:space="preserve">            2.3.6.2.1.00.00 - Reserva Atuarial - Consolidação </t>
  </si>
  <si>
    <t xml:space="preserve">          2.3.6.9.0.00.00 - Outras Reservas </t>
  </si>
  <si>
    <t xml:space="preserve">            2.3.6.9.1.00.00 - Outras Reservas - Consolidação </t>
  </si>
  <si>
    <t xml:space="preserve">            2.3.6.9.2.00.00 - Outras Reservas - Intra OFSS </t>
  </si>
  <si>
    <t xml:space="preserve">            2.3.6.9.3.00.00 - Outras Reservas - Inter OFSS - União </t>
  </si>
  <si>
    <t xml:space="preserve">            2.3.6.9.4.00.00 - Outras Reservas - Inter OFSS - Estado </t>
  </si>
  <si>
    <t xml:space="preserve">            2.3.6.9.5.00.00 - Outras Reservas - Inter OFSS - Município </t>
  </si>
  <si>
    <t xml:space="preserve">        2.3.7.0.0.00.00 - Resultados Acumulados </t>
  </si>
  <si>
    <t xml:space="preserve">          2.3.7.1.0.00.00 - Superávits ou Déficits Acumulados </t>
  </si>
  <si>
    <t xml:space="preserve">            2.3.7.1.1.00.00 - Superávits ou Déficits Acumulados - Consolidação </t>
  </si>
  <si>
    <t xml:space="preserve">              2.3.7.1.1.01.00 - Superávits ou Déficits do Exercício </t>
  </si>
  <si>
    <t xml:space="preserve">              2.3.7.1.1.02.00 - Superávits ou Déficits de Exercícios Anteriores </t>
  </si>
  <si>
    <t xml:space="preserve">              2.3.7.1.1.03.00 - Ajustes de Exercícios Anteriores </t>
  </si>
  <si>
    <t xml:space="preserve">              2.3.7.1.1.04.00 - Superávits ou Déficits Resultantes de Extinção, 
              Fusão e Cisão </t>
  </si>
  <si>
    <t xml:space="preserve">            2.3.7.1.2.00.00 - Superávits ou Déficits Acumulados - Intra OFSS </t>
  </si>
  <si>
    <t xml:space="preserve">              2.3.7.1.2.01.00 - Superávits ou Déficits do Exercício </t>
  </si>
  <si>
    <t xml:space="preserve">              2.3.7.1.2.02.00 - Superávits ou Déficits de Exercícios Anteriores </t>
  </si>
  <si>
    <t xml:space="preserve">              2.3.7.1.2.03.00 - Ajustes de Exercícios Anteriores </t>
  </si>
  <si>
    <t xml:space="preserve">              2.3.7.1.2.04.00 - Superávits ou Déficits Resultantes de Extinção, 
              Fusão e Cisão </t>
  </si>
  <si>
    <t xml:space="preserve">            2.3.7.1.3.00.00 - Superávits ou Déficits Acumulados - Inter OFSS - 
            União </t>
  </si>
  <si>
    <t xml:space="preserve">              2.3.7.1.3.01.00 - Superávits ou Déficits do Exercício </t>
  </si>
  <si>
    <t xml:space="preserve">              2.3.7.1.3.02.00 - Superávits ou Déficits de Exercícios Anteriores </t>
  </si>
  <si>
    <t xml:space="preserve">              2.3.7.1.3.03.00 - Ajustes de Exercícios Anteriores </t>
  </si>
  <si>
    <t xml:space="preserve">              2.3.7.1.3.04.00 - Superávits ou Déficits Resultantes de Extinção, 
              Fusão e Cisão </t>
  </si>
  <si>
    <t xml:space="preserve">            2.3.7.1.4.00.00 - Superávits ou Déficits Acumulados - Inter OFSS - 
            Estado </t>
  </si>
  <si>
    <t xml:space="preserve">              2.3.7.1.4.01.00 - Superávits ou Déficits do Exercício </t>
  </si>
  <si>
    <t xml:space="preserve">              2.3.7.1.4.02.00 - Superávits ou Déficits de Exercícios Anteriores </t>
  </si>
  <si>
    <t xml:space="preserve">              2.3.7.1.4.03.00 - Ajustes de Exercícios Anteriores </t>
  </si>
  <si>
    <t xml:space="preserve">              2.3.7.1.4.04.00 - Superávits ou Déficits Resultantes de Extinção, 
              Fusão e Cisão </t>
  </si>
  <si>
    <t xml:space="preserve">            2.3.7.1.5.00.00 - Superávits ou Déficits Acumulados - Inter OFSS - 
            Município </t>
  </si>
  <si>
    <t xml:space="preserve">              2.3.7.1.5.01.00 - Superávits ou Déficits do Exercício </t>
  </si>
  <si>
    <t xml:space="preserve">              2.3.7.1.5.02.00 - Superávits ou Déficits de Exercícios Anteriores </t>
  </si>
  <si>
    <t xml:space="preserve">              2.3.7.1.5.03.00 - Ajustes de Exercícios Anteriores </t>
  </si>
  <si>
    <t xml:space="preserve">              2.3.7.1.5.04.00 - Superávits ou Déficits Resultantes de Extinção, 
              Fusão e Cisão </t>
  </si>
  <si>
    <t xml:space="preserve">          2.3.7.2.0.00.00 - Lucros e Prejuízos Acumulados </t>
  </si>
  <si>
    <t xml:space="preserve">            2.3.7.2.1.00.00 - Lucros e Prejuízos Acumulados - Consolidação </t>
  </si>
  <si>
    <t xml:space="preserve">              2.3.7.2.1.01.00 - Lucros e Prejuízos do Exercício </t>
  </si>
  <si>
    <t xml:space="preserve">              2.3.7.2.1.02.00 - Lucros e Prejuízos Acumulados de Exercícios 
              Anteriores </t>
  </si>
  <si>
    <t xml:space="preserve">              2.3.7.2.1.03.00 - Ajustes de Exercícios Anteriores </t>
  </si>
  <si>
    <t xml:space="preserve">              2.3.7.2.1.04.00 - Lucros a Destinar do Exercício </t>
  </si>
  <si>
    <t xml:space="preserve">              2.3.7.2.1.05.00 - Lucros a Destinar de Exercícios Anteriores </t>
  </si>
  <si>
    <t xml:space="preserve">              2.3.7.2.1.06.00 - Resultados Apurados por Extinção, Fusão e Cisão </t>
  </si>
  <si>
    <t xml:space="preserve">            2.3.7.2.2.00.00 - Lucros e Prejuízos Acumulados - Intra OFSS </t>
  </si>
  <si>
    <t xml:space="preserve">              2.3.7.2.2.01.00 - Lucros e Prejuízos do Exercício </t>
  </si>
  <si>
    <t xml:space="preserve">              2.3.7.2.2.02.00 - Lucros e Prejuízos Acumulados de Exercícios 
              Anteriores </t>
  </si>
  <si>
    <t xml:space="preserve">              2.3.7.2.2.03.00 - Ajustes de Exercícios Anteriores </t>
  </si>
  <si>
    <t xml:space="preserve">              2.3.7.2.2.04.00 - Lucros a Destinar do Exercício </t>
  </si>
  <si>
    <t xml:space="preserve">              2.3.7.2.2.05.00 - Lucros a Destinar de Exercícios Anteriores </t>
  </si>
  <si>
    <t xml:space="preserve">              2.3.7.2.2.06.00 - Resultados Apurados por Extinção, Fusão e Cisão </t>
  </si>
  <si>
    <t xml:space="preserve">            2.3.7.2.3.00.00 - Lucros e Prejuízos Acumulados - Inter OFSS - União </t>
  </si>
  <si>
    <t xml:space="preserve">              2.3.7.2.3.01.00 - Lucros e Prejuízos do Exercício </t>
  </si>
  <si>
    <t xml:space="preserve">              2.3.7.2.3.02.00 - Lucros e Prejuízos Acumulados de Exercícios 
              Anteriores </t>
  </si>
  <si>
    <t xml:space="preserve">              2.3.7.2.3.03.00 - Ajustes de Exercícios Anteriores </t>
  </si>
  <si>
    <t xml:space="preserve">              2.3.7.2.3.04.00 - Lucros a Destinar do Exercício </t>
  </si>
  <si>
    <t xml:space="preserve">              2.3.7.2.3.05.00 - Lucros a Destinar de Exercícios Anteriores </t>
  </si>
  <si>
    <t xml:space="preserve">              2.3.7.2.3.06.00 - Resultados Apurados por Extinção, Fusão e Cisão </t>
  </si>
  <si>
    <t xml:space="preserve">            2.3.7.2.4.00.00 - Lucros e Prejuízos Acumulados - Inter OFSS - Estado </t>
  </si>
  <si>
    <t xml:space="preserve">              2.3.7.2.4.01.00 - Lucros e Prejuízos do Exercício </t>
  </si>
  <si>
    <t xml:space="preserve">              2.3.7.2.4.02.00 - Lucros e Prejuízos Acumulados de Exercícios 
              Anteriores </t>
  </si>
  <si>
    <t xml:space="preserve">              2.3.7.2.4.03.00 - Ajustes de Exercícios Anteriores </t>
  </si>
  <si>
    <t xml:space="preserve">              2.3.7.2.4.04.00 - Lucros a Destinar do Exercício </t>
  </si>
  <si>
    <t xml:space="preserve">              2.3.7.2.4.05.00 - Lucros a Destinar de Exercícios Anteriores </t>
  </si>
  <si>
    <t xml:space="preserve">              2.3.7.2.4.06.00 - Resultados Apurados por Extinção, Fusão e Cisão </t>
  </si>
  <si>
    <t xml:space="preserve">            2.3.7.2.5.00.00 - Lucros e Prejuízos Acumulados - Inter OFSS - 
            Município </t>
  </si>
  <si>
    <t xml:space="preserve">              2.3.7.2.5.01.00 - Lucros e Prejuízos do Exercício </t>
  </si>
  <si>
    <t xml:space="preserve">              2.3.7.2.5.02.00 - Lucros e Prejuízos Acumulados de Exercícios 
              Anteriores </t>
  </si>
  <si>
    <t xml:space="preserve">              2.3.7.2.5.03.00 - Ajustes de Exercícios Anteriores </t>
  </si>
  <si>
    <t xml:space="preserve">              2.3.7.2.5.04.00 - Lucros a Destinar do Exercício </t>
  </si>
  <si>
    <t xml:space="preserve">              2.3.7.2.5.05.00 - Lucros a Destinar de Exercícios Anteriores </t>
  </si>
  <si>
    <t xml:space="preserve">              2.3.7.2.5.06.00 - Resultados Apurados por Extinção, Fusão e Cisão </t>
  </si>
  <si>
    <t xml:space="preserve">        2.3.9.0.0.00.00 - (-) Ações/Cotas em Tesouraria </t>
  </si>
  <si>
    <t xml:space="preserve">          2.3.9.1.0.00.00 - (-) Ações em Tesouraria </t>
  </si>
  <si>
    <t xml:space="preserve">            2.3.9.1.1.00.00 - (-) Ações em Tesouraria - Consolidação </t>
  </si>
  <si>
    <t xml:space="preserve">            2.3.9.1.2.00.00 - (-) Ações em Tesouraria - Intra OFSS </t>
  </si>
  <si>
    <t xml:space="preserve">            2.3.9.1.3.00.00 - (-) Ações em Tesouraria - Inter OFSS - União </t>
  </si>
  <si>
    <t xml:space="preserve">            2.3.9.1.4.00.00 - (-) Ações em Tesouraria - Inter OFSS - Estado </t>
  </si>
  <si>
    <t xml:space="preserve">            2.3.9.1.5.00.00 - (-) Ações em Tesouraria - Inter OFSS - Município </t>
  </si>
  <si>
    <t xml:space="preserve">          2.3.9.2.0.00.00 - (-) Cotas em Tesouraria </t>
  </si>
  <si>
    <t xml:space="preserve">            2.3.9.2.1.00.00 - (-) Cotas em Tesouraria - Consolidação </t>
  </si>
  <si>
    <t xml:space="preserve">            2.3.9.2.2.00.00 - (-) Cotas em Tesouraria - Intra OFSS </t>
  </si>
  <si>
    <t xml:space="preserve">            2.3.9.2.3.00.00 - (-) Cotas em Tesouraria - Inter OFSS - União </t>
  </si>
  <si>
    <t xml:space="preserve">            2.3.9.2.4.00.00 - (-) Cotas em Tesouraria - Inter OFSS - Estado </t>
  </si>
  <si>
    <t xml:space="preserve">            2.3.9.2.5.00.00 - (-) Cotas em Tesouraria - Inter OFSS - Município </t>
  </si>
  <si>
    <t xml:space="preserve">Apuração do Saldo Patrimonial </t>
  </si>
  <si>
    <t xml:space="preserve">  Apuração do Saldo Patrimonial </t>
  </si>
  <si>
    <t xml:space="preserve">    Ativo Financeiro </t>
  </si>
  <si>
    <t xml:space="preserve">      1.1.0.0.0.00.00 - Ativo Circulante - Financeiro </t>
  </si>
  <si>
    <t xml:space="preserve">      1.2.0.0.0.00.00 - Ativo Não Circulante - Financeiro </t>
  </si>
  <si>
    <t xml:space="preserve">    Ativo Permanente </t>
  </si>
  <si>
    <t xml:space="preserve">      1.1.0.0.0.00.00 - Ativo Circulante - Permanente </t>
  </si>
  <si>
    <t xml:space="preserve">      1.2.0.0.0.00.00 - Ativo Não Circulante - Permanente </t>
  </si>
  <si>
    <t xml:space="preserve">    Passivo Financeiro </t>
  </si>
  <si>
    <t xml:space="preserve">      2.1.0.0.0.00.00 - Passivo Circulante - Financeiro </t>
  </si>
  <si>
    <t xml:space="preserve">      2.2.0.0.0.00.00 - Passivo Não Circulante - Financeiro </t>
  </si>
  <si>
    <t xml:space="preserve">      6.3.1.1.0.00.00 - RP Não Processados a Liquidar </t>
  </si>
  <si>
    <t xml:space="preserve">      6.3.1.7.1.00.00 - RP Não Processados a Liquidar- Inscrição no Exercício </t>
  </si>
  <si>
    <t xml:space="preserve">    Passivo Permanente </t>
  </si>
  <si>
    <t xml:space="preserve">      2.1.0.0.0.00.00 - Passivo Circulante - Permanente </t>
  </si>
  <si>
    <t xml:space="preserve">      2.2.0.0.0.00.00 - Passivo Não Circulante - Permanente </t>
  </si>
  <si>
    <t xml:space="preserve">    Saldo Patrimonial </t>
  </si>
  <si>
    <t xml:space="preserve">Contas de Compensação </t>
  </si>
  <si>
    <t xml:space="preserve">  Contas de Compensação </t>
  </si>
  <si>
    <t xml:space="preserve">    Execução dos Atos Potenciais Ativos </t>
  </si>
  <si>
    <t xml:space="preserve">      Garantias e Contragarantias Recebidas a Executar </t>
  </si>
  <si>
    <t xml:space="preserve">      Direitos Conveniados e Outros Instrumentos Congêneres a Executar </t>
  </si>
  <si>
    <t xml:space="preserve">      Direitos Contratuais a Executar </t>
  </si>
  <si>
    <t xml:space="preserve">      Demandas Judiciais a Executar </t>
  </si>
  <si>
    <t xml:space="preserve">      Outros Atos Potenciais Ativos a Executar </t>
  </si>
  <si>
    <t xml:space="preserve">    Execução dos Atos Potenciais Passivos </t>
  </si>
  <si>
    <t xml:space="preserve">      Garantias e Contragarantias Concedidas a Executar </t>
  </si>
  <si>
    <t xml:space="preserve">      Obrigações Conveniadas e Outros Instrumentos Congêneres a Executar </t>
  </si>
  <si>
    <t xml:space="preserve">      Obrigações Contratuais a Executar </t>
  </si>
  <si>
    <t xml:space="preserve">      Outros Atos Potenciais Passivos a Executar </t>
  </si>
  <si>
    <t xml:space="preserve">Quadro: Notas Explicativas Patrimoniais </t>
  </si>
  <si>
    <t xml:space="preserve">Notas Explicativas Patrimoniais </t>
  </si>
  <si>
    <t xml:space="preserve">  Notas Explicativas </t>
  </si>
  <si>
    <t xml:space="preserve">Grupo: Balanço Orçamentário - Receitas Orçamentárias </t>
  </si>
  <si>
    <t xml:space="preserve">Quadro: Receitas Orçamentárias </t>
  </si>
  <si>
    <t xml:space="preserve">Receitas Orçamentárias </t>
  </si>
  <si>
    <t xml:space="preserve">Execução da Receita </t>
  </si>
  <si>
    <t xml:space="preserve">Receitas Brutas Realizadas </t>
  </si>
  <si>
    <t xml:space="preserve">Deduções - Transferências Constitucionais </t>
  </si>
  <si>
    <t xml:space="preserve">Deduções - FUNDEB </t>
  </si>
  <si>
    <t xml:space="preserve">Outras Deduções da Receita </t>
  </si>
  <si>
    <t xml:space="preserve">  RECEITAS (EXCETO INTRA-ORÇAMENTÁRIAS) (I) </t>
  </si>
  <si>
    <t xml:space="preserve">    1.0.0.0.00.0.0 - Receitas Correntes </t>
  </si>
  <si>
    <t xml:space="preserve">      1.1.0.0.00.0.0 - Impostos, Taxas e Contribuições de Melhoria </t>
  </si>
  <si>
    <t xml:space="preserve">        1.1.1.0.00.0.0 - Impostos </t>
  </si>
  <si>
    <t xml:space="preserve">          1.1.1.1.00.0.0 - Impostos sobre o Comércio Exterior </t>
  </si>
  <si>
    <t xml:space="preserve">            1.1.1.1.01.0.0 - Imposto sobre a Importação </t>
  </si>
  <si>
    <t xml:space="preserve">            1.1.1.1.02.0.0 - Imposto sobre a Exportação </t>
  </si>
  <si>
    <t xml:space="preserve">          1.1.1.2.00.0.0 - Impostos sobre o Patrimônio </t>
  </si>
  <si>
    <t xml:space="preserve">            1.1.1.2.01.0.0 - Imposto sobre a Propriedade Territorial Rural </t>
  </si>
  <si>
    <t xml:space="preserve">            1.1.1.2.50.0.0 - Imposto sobre a Propriedade Predial e Territorial 
            Urbana </t>
  </si>
  <si>
    <t xml:space="preserve">            1.1.1.2.51.0.0 - Imposto sobre a Propriedade de Veículos Automotores </t>
  </si>
  <si>
    <t xml:space="preserve">            1.1.1.2.52.0.0 - Imposto sobre Transmissão “Causa Mortis” e Doação de 
            Bens e Direitos </t>
  </si>
  <si>
    <t xml:space="preserve">            1.1.1.2.53.0.0 - Impostos sobre Transmissão "Inter Vivos" de Bens 
            Imóveis e de Direitos Reais sobre Imóveis </t>
  </si>
  <si>
    <t xml:space="preserve">          1.1.1.3.00.0.0 - Impostos sobre a Renda e Proventos de Qualquer 
          Natureza </t>
  </si>
  <si>
    <t xml:space="preserve">            1.1.1.3.01.0.0 - Imposto sobre a Renda de Pessoa Física - IRPF </t>
  </si>
  <si>
    <t xml:space="preserve">            1.1.1.3.02.0.0 - Imposto sobre a Renda de Pessoa Jurídica - IRPJ - 
            Líquida de Incentivos </t>
  </si>
  <si>
    <t xml:space="preserve">            1.1.1.3.03.0.0 - Imposto sobre a Renda - Retido na Fonte </t>
  </si>
  <si>
    <t xml:space="preserve">              1.1.1.3.03.1.0 - Imposto sobre a Renda - Retido na Fonte - Trabalho </t>
  </si>
  <si>
    <t xml:space="preserve">              1.1.1.3.03.2.0 - Imposto sobre a Renda - Retido na Fonte - Capital </t>
  </si>
  <si>
    <t xml:space="preserve">              1.1.1.3.03.3.0 - Imposto sobre a Renda - Retido na Fonte - Remessa ao 
              Exterior </t>
  </si>
  <si>
    <t xml:space="preserve">              1.1.1.3.03.4.0 - Imposto sobre a Renda - Retido na Fonte - Outros 
              Rendimentos </t>
  </si>
  <si>
    <t xml:space="preserve">          1.1.1.4.00.0.0 - Impostos sobre a Produção e Circulação de Mercadorias 
          e Serviços </t>
  </si>
  <si>
    <t xml:space="preserve">            1.1.1.4.01.0.0 - Imposto sobre Produtos Industrializados - IPI </t>
  </si>
  <si>
    <t xml:space="preserve">              1.1.1.4.01.1.0 - Imposto sobre Produtos Industrializados - IPI - Fumo </t>
  </si>
  <si>
    <t xml:space="preserve">              1.1.1.4.01.2.0 - Imposto sobre Produtos Industrializados - IPI- 
              Bebidas </t>
  </si>
  <si>
    <t xml:space="preserve">              1.1.1.4.01.3.0 - Imposto sobre Produtos Industrializados - IPI - 
              Automóveis </t>
  </si>
  <si>
    <t xml:space="preserve">              1.1.1.4.01.4.0 - Imposto sobre Produtos Industrializados - IPI - 
              Vinculados à Importação </t>
  </si>
  <si>
    <t xml:space="preserve">              1.1.1.4.01.5.0 - Imposto sobre Produtos Industrializados - IPI - 
              Outros Produtos </t>
  </si>
  <si>
    <t xml:space="preserve">            1.1.1.4.50.0.0 - Impostos sobre a Produção e Circulação de Mercadorias 
            e Serviços </t>
  </si>
  <si>
    <t xml:space="preserve">              1.1.1.4.50.1.0 - Imposto sobre Operações Relativas à Circulação de 
              Mercadorias e sobre Prestações de Serviços de Transporte 
              Interestadual e Intermunicipal e de Comunicação </t>
  </si>
  <si>
    <t xml:space="preserve">              1.1.1.4.50.2.0 - Adicional ICMS - Fundo Estadual de Combate à Pobreza </t>
  </si>
  <si>
    <t xml:space="preserve">            1.1.1.4.51.0.0 - Impostos sobre Serviços </t>
  </si>
  <si>
    <t xml:space="preserve">              1.1.1.4.51.1.0 - Imposto sobre Serviços de Qualquer Natureza - ISSQN </t>
  </si>
  <si>
    <t xml:space="preserve">              1.1.1.4.51.2.0 - Adicional ISS - Fundo Municipal de Combate à Pobreza </t>
  </si>
  <si>
    <t xml:space="preserve">            1.1.1.4.52.0.0 - Imposto sobre Vendas a Varejo de Combustíveis 
            Líquidos e Gasosos (IVVC) </t>
  </si>
  <si>
    <t xml:space="preserve">          1.1.1.5.00.0.0 - Impostos sobre Operações de Crédito, Câmbio e Seguro, 
          ou Relativas a Títulos ou Valores Mobiliários </t>
  </si>
  <si>
    <t xml:space="preserve">            1.1.1.5.01.0.0 - Imposto sobre Operações Financeiras Incidente sobre o 
            Ouro - IOF-Ouro </t>
  </si>
  <si>
    <t xml:space="preserve">            1.1.1.5.02.0.0 - Imposto sobre Operações Financeiras - IOF - Demais 
            Operações </t>
  </si>
  <si>
    <t xml:space="preserve">          1.1.1.9.00.0.0 - Outros Impostos </t>
  </si>
  <si>
    <t xml:space="preserve">        1.1.2.0.00.0.0 - Taxas </t>
  </si>
  <si>
    <t xml:space="preserve">          1.1.2.1.00.0.0 - Taxas pelo Exercício do Poder de Polícia </t>
  </si>
  <si>
    <t xml:space="preserve">            1.1.2.1.01.0.0 - Taxas de Inspeção, Controle e Fiscalização </t>
  </si>
  <si>
    <t xml:space="preserve">            1.1.2.1.02.0.0 - Taxas de Fiscalização das Telecomunicações </t>
  </si>
  <si>
    <t xml:space="preserve">              1.1.2.1.02.1.0 - Taxa de Fiscalização de Instalação - TFI - Não 
              Proveniente da Utilização de Posições Orbitais </t>
  </si>
  <si>
    <t xml:space="preserve">              1.1.2.1.02.2.0 - Taxa de Fiscalização de Funcionamento - TFF - Não 
              Proveniente da Utilização de Posições Orbitais </t>
  </si>
  <si>
    <t xml:space="preserve">              1.1.2.1.02.3.0 - Taxa de Fiscalização de Instalação - TFI - 
              Proveniente da Utilização de Posições Orbitais </t>
  </si>
  <si>
    <t xml:space="preserve">              1.1.2.1.02.4.0 - Taxa de Fiscalização de Funcionamento - TFF - 
              Proveniente da Utilização de Posições Orbitais </t>
  </si>
  <si>
    <t xml:space="preserve">            1.1.2.1.03.0.0 - Taxa de Controle e Fiscalização de Produtos Químicos </t>
  </si>
  <si>
    <t xml:space="preserve">            1.1.2.1.04.0.0 - Taxa de Controle e Fiscalização Ambiental </t>
  </si>
  <si>
    <t xml:space="preserve">            1.1.2.1.05.0.0 - Taxa de Controle e Fiscalização da Pesca e 
            Aquicultura </t>
  </si>
  <si>
    <t xml:space="preserve">            1.1.2.1.06.0.0 - Taxa de Utilização do Sistema Integrado de Comércio 
            Exterior – SISCOMEX </t>
  </si>
  <si>
    <t xml:space="preserve">            1.1.2.1.07.0.0 - Taxa de Utilização do Mercante - TUM </t>
  </si>
  <si>
    <t xml:space="preserve">            1.1.2.1.08.0.0 - Taxa de Fiscalização devida pela Exploração Comercial 
            de Loteria de Apostas de Quota Fixa </t>
  </si>
  <si>
    <t xml:space="preserve">            1.1.2.1.09.0.0 - Taxa de Autorização para a Distribuição Gratuita de 
            Prêmios </t>
  </si>
  <si>
    <t xml:space="preserve">            1.1.2.1.50.0.0 - Taxa de Fiscalização de Vigilância Sanitária </t>
  </si>
  <si>
    <t xml:space="preserve">            1.1.2.1.51.0.0 - Taxa de Saúde Suplementar </t>
  </si>
  <si>
    <t xml:space="preserve">          1.1.2.2.00.0.0 - Taxas pela Prestação de Serviços </t>
  </si>
  <si>
    <t xml:space="preserve">            1.1.2.2.01.0.0 - Taxas pela Prestação de Serviços em Geral </t>
  </si>
  <si>
    <t xml:space="preserve">            1.1.2.2.02.0.0 - Emolumentos e Custas Judiciais </t>
  </si>
  <si>
    <t xml:space="preserve">            1.1.2.2.50.0.0 - Taxas Judiciais </t>
  </si>
  <si>
    <t xml:space="preserve">            1.1.2.2.51.0.0 - Taxas Extrajudiciais </t>
  </si>
  <si>
    <t xml:space="preserve">            1.1.2.2.52.0.0 - Taxa de Estudo de Impacto de Vizinhança (EIV) </t>
  </si>
  <si>
    <t xml:space="preserve">            1.1.2.2.53.0.0 - Taxa pela Prestação de Serviços de Limpeza Pública e 
            Manejo de Resíduos Sólidos </t>
  </si>
  <si>
    <t xml:space="preserve">        1.1.3.0.00.0.0 - Contribuição de Melhoria </t>
  </si>
  <si>
    <t xml:space="preserve">          1.1.3.1.00.0.0 - Contribuição de Melhoria </t>
  </si>
  <si>
    <t xml:space="preserve">            1.1.3.1.50.0.0 - Contribuição de Melhoria para Expansão da Rede de 
            Água Potável e Esgoto Sanitário </t>
  </si>
  <si>
    <t xml:space="preserve">            1.1.3.1.51.0.0 - Contribuição de Melhoria para Expansão da Rede de 
            Iluminação Pública na Cidade </t>
  </si>
  <si>
    <t xml:space="preserve">            1.1.3.1.52.0.0 - Contribuição de Melhoria para Expansão de Rede de 
            Iluminação Pública Rural </t>
  </si>
  <si>
    <t xml:space="preserve">            1.1.3.1.53.0.0 - Contribuição de Melhoria para Pavimentação e Obras 
            Complementares </t>
  </si>
  <si>
    <t xml:space="preserve">            1.1.3.1.99.0.0 - Outras Contribuições de Melhoria </t>
  </si>
  <si>
    <t xml:space="preserve">      1.2.0.0.00.0.0 - Contribuições </t>
  </si>
  <si>
    <t xml:space="preserve">        1.2.1.0.00.0.0 - Contribuições Sociais </t>
  </si>
  <si>
    <t xml:space="preserve">          1.2.1.1.00.0.0 - Contribuição para Financiamento da Seguridade Social - 
          COFINS </t>
  </si>
  <si>
    <t xml:space="preserve">            1.2.1.1.01.0.0 - Contribuição para Financiamento da Seguridade Social 
            - COFINS sobre o Faturamento - Contribuintes Não Optantes pelo Simples 
            Nacional </t>
  </si>
  <si>
    <t xml:space="preserve">            1.2.1.1.02.0.0 - Contribuição para Financiamento da Seguridade Social 
            - COFINS sobre o Faturamento - SIMPLES </t>
  </si>
  <si>
    <t xml:space="preserve">            1.2.1.1.49.0.0 - Contribuição para Financiamento da Seguridade Social 
            - COFINS sobre o Faturamento - Parcelamentos </t>
  </si>
  <si>
    <t xml:space="preserve">          1.2.1.2.00.0.0 - Contribuição para o Programa de Integração Social e 
          para Programa de Formação de Patrimônio do Servidor Público PIS/PASEP </t>
  </si>
  <si>
    <t xml:space="preserve">            1.2.1.2.01.0.0 - Contribuição para o PIS/PASEP - Contribuintes Não 
            Optantes pelo Simples Nacional </t>
  </si>
  <si>
    <t xml:space="preserve">            1.2.1.2.02.0.0 - Contribuição para o PIS/PASEP - Contribuintes 
            Optantes pelo Simples Nacional </t>
  </si>
  <si>
    <t xml:space="preserve">            1.2.1.2.49.0.0 - Contribuição para o PIS/PASEP - Parcelamentos </t>
  </si>
  <si>
    <t xml:space="preserve">          1.2.1.3.00.0.0 - Contribuição Social sobre o Lucro Líquido - CSLL </t>
  </si>
  <si>
    <t xml:space="preserve">            1.2.1.3.01.0.0 - Contribuição Social sobre o Lucro Líquido - CSLL - 
            Contribuintes Não Optantes pelo Simples Nacional </t>
  </si>
  <si>
    <t xml:space="preserve">            1.2.1.3.02.0.0 - Contribuição Social sobre o Lucro Líquido - CSLL - 
            Contribuintes Optantes pelo Simples Nacional </t>
  </si>
  <si>
    <t xml:space="preserve">            1.2.1.3.49.0.0 - Contribuição Social sobre o Lucro Líquido - CSLL - 
            Parcelamentos </t>
  </si>
  <si>
    <t xml:space="preserve">          1.2.1.4.00.0.0 - Contribuições para o Regime Geral de Previdência 
          Social - RGPS </t>
  </si>
  <si>
    <t xml:space="preserve">            1.2.1.4.01.0.0 - Contribuição Previdenciária do Empregador ou 
            Equiparado </t>
  </si>
  <si>
    <t xml:space="preserve">            1.2.1.4.02.0.0 - Contribuição Previdenciária do Segurado </t>
  </si>
  <si>
    <t xml:space="preserve">            1.2.1.4.49.0.0 - Contribuições para o Regime Geral de Previdência 
            Social - RGPS - Parcelamentos </t>
  </si>
  <si>
    <t xml:space="preserve">          1.2.1.5.00.0.0 - Contribuições para Regimes Próprios de Previdência e 
          Sistema de Proteção Social </t>
  </si>
  <si>
    <t xml:space="preserve">            1.2.1.5.01.0.0 - Contribuição do Servidor Civil </t>
  </si>
  <si>
    <t xml:space="preserve">              1.2.1.5.01.1.0 - Contribuição do Servidor Civil Ativo </t>
  </si>
  <si>
    <t xml:space="preserve">              1.2.1.5.01.2.0 - Contribuição do Servidor Civil Inativo </t>
  </si>
  <si>
    <t xml:space="preserve">              1.2.1.5.01.3.0 -Contribuição do Servidor Civil - Pensionistas </t>
  </si>
  <si>
    <t xml:space="preserve">              1.2.1.5.01.4.0 - Contribuição Oriunda de Sentenças Judiciais - 
              Servidor Civil Ativo </t>
  </si>
  <si>
    <t xml:space="preserve">              1.2.1.5.01.5.0 - Contribuição Oriunda de Sentenças Judiciais - 
              Servidor Civil Inativo </t>
  </si>
  <si>
    <t xml:space="preserve">              1.2.1.5.01.6.0 - Contribuição Oriunda de Sentenças Judiciais - 
              Servidor Civil - Pensionistas </t>
  </si>
  <si>
    <t xml:space="preserve">            1.2.1.5.02.0.0 - Contribuição Patronal - Servidor Civil </t>
  </si>
  <si>
    <t xml:space="preserve">              1.2.1.5.02.1.0 - Contribuição Patronal - Servidor Civil Ativo </t>
  </si>
  <si>
    <t xml:space="preserve">              1.2.1.5.02.2.0 - Contribuição Patronal Oriunda de Sentenças Judiciais 
              - Servidor Civil Ativo </t>
  </si>
  <si>
    <t xml:space="preserve">            1.2.1.5.03.0.0 - Contribuição do Servidor Civil - Parcelamentos </t>
  </si>
  <si>
    <t xml:space="preserve">            1.2.1.5.04.0.0 - Contribuição para o Custeio das Pensões e/ou da 
            Inatividade dos Militares </t>
  </si>
  <si>
    <t xml:space="preserve">              1.2.1.5.04.1.0 - Contribuição para o Custeio das Pensões Militares 
              das Forças Armadas </t>
  </si>
  <si>
    <t xml:space="preserve">              1.2.1.5.04.2.0 - Contribuição para o Custeio das Pensões Militares e 
              da Inatividade da Polícia Militar do Distrito Federal </t>
  </si>
  <si>
    <t xml:space="preserve">              1.2.1.5.04.3.0 - Contribuição para o Custeio das Pensões Militares e 
              da Inatividade do Corpo de Bombeiros Militar do Distrito Federal </t>
  </si>
  <si>
    <t xml:space="preserve">            1.2.1.5.50.0.0 - Contribuição Patronal - Servidor Civil Inativo e 
            Pensionistas </t>
  </si>
  <si>
    <t xml:space="preserve">              1.2.1.5.50.1.0 - Contribuição Patronal - Servidor Civil - Inativo </t>
  </si>
  <si>
    <t xml:space="preserve">              1.2.1.5.50.2.0 - Contribuição Patronal - Servidor Civil - 
              Pensionistas </t>
  </si>
  <si>
    <t xml:space="preserve">              1.2.1.5.50.3.0 - Contribuição Patronal Oriunda de Sentenças Judiciais 
              - Servidor Civil Inativo </t>
  </si>
  <si>
    <t xml:space="preserve">              1.2.1.5.50.4.0 - Contribuição Patronal Oriunda de Sentenças Judiciais 
              - Servidor Civil - Pensionistas </t>
  </si>
  <si>
    <t xml:space="preserve">            1.2.1.5.51.0.0 - Contribuição Patronal - Parcelamentos </t>
  </si>
  <si>
    <t xml:space="preserve">              1.2.1.5.51.1.0 - Contribuição Patronal - Servidor Civil Ativo - 
              Parcelamentos </t>
  </si>
  <si>
    <t xml:space="preserve">              1.2.1.5.51.2.0 - Contribuição Patronal - Servidor Civil Inativo - 
              Parcelamentos </t>
  </si>
  <si>
    <t xml:space="preserve">              1.2.1.5.51.3.0 - Contribuição Patronal - Servidor Civil - 
              Pensionistas - Parcelamentos </t>
  </si>
  <si>
    <t xml:space="preserve">            1.2.1.5.52.0.0 - Contribuição do Militar para o Sistema de Proteção 
            Social dos Militares </t>
  </si>
  <si>
    <t xml:space="preserve">              1.2.1.5.52.1.0 - Contribuição do Militar Ativo </t>
  </si>
  <si>
    <t xml:space="preserve">              1.2.1.5.52.2.0 - Contribuição do Militar Inativo </t>
  </si>
  <si>
    <t xml:space="preserve">              1.2.1.5.52.3.0 - Contribuição dos Pensionistas Militares </t>
  </si>
  <si>
    <t xml:space="preserve">            1.2.1.5.53.0.0 - Contribuição Patronal para o Sistema de Proteção 
            Social dos Militares </t>
  </si>
  <si>
    <t xml:space="preserve">              1.2.1.5.53.1.0 - Contribuição Patronal - Militar Ativo </t>
  </si>
  <si>
    <t xml:space="preserve">              1.2.1.5.53.2.0 - Contribuição Patronal - Militar Inativo </t>
  </si>
  <si>
    <t xml:space="preserve">              1.2.1.5.53.3.0 - Contribuição Patronal - Pensionistas Militares </t>
  </si>
  <si>
    <t xml:space="preserve">              1.2.1.5.53.4.0 - Contribuição Patronal Oriunda de Sentenças Judiciais 
              - Militar Ativo </t>
  </si>
  <si>
    <t xml:space="preserve">              1.2.1.5.53.5.0 - Contribuição Patronal Oriunda de Sentenças Judiciais 
              - Militar Inativo </t>
  </si>
  <si>
    <t xml:space="preserve">              1.2.1.5.53.6.0 - Contribuição Patronal Oriunda de Sentenças Judiciais 
              - Pensionistas Militares </t>
  </si>
  <si>
    <t xml:space="preserve">            1.2.1.5.54.0.0 - Contribuição Patronal para o Sistema de Proteção 
            Social dos Militares - Parcelamentos </t>
  </si>
  <si>
    <t xml:space="preserve">              1.2.1.5.54.1.0 - Contribuição Patronal - Militar Ativo - 
              Parcelamentos </t>
  </si>
  <si>
    <t xml:space="preserve">              1.2.1.5.54.2.0 - Contribuição Patronal - Militar Inativo - 
              Parcelamentos </t>
  </si>
  <si>
    <t xml:space="preserve">              1.2.1.5.54.3.0 - Contribuição Patronal - Pensionistas Militares - 
              Parcelamentos </t>
  </si>
  <si>
    <t xml:space="preserve">            1.2.1.5.55.0.0 - Contribuição do Militar para o Sistema de Proteção 
            Social dos Militares - Parcelamentos </t>
  </si>
  <si>
    <t xml:space="preserve">              1.2.1.5.55.1.0 -Contribuição do Militar Ativo - Parcelamentos </t>
  </si>
  <si>
    <t xml:space="preserve">              1.2.1.5.55.2.0 - Contribuição do Militar Inativo - Parcelamentos </t>
  </si>
  <si>
    <t xml:space="preserve">              1.2.1.5.55.3.0 - Contribuição dos Pensionistas Militares - 
              Parcelamentos </t>
  </si>
  <si>
    <t xml:space="preserve">            1.2.1.5.56.0.0 - Contribuição do Militar para o Sistema de Proteção 
            Social dos Militares, Oriunda de Sentenças Judiciais </t>
  </si>
  <si>
    <t xml:space="preserve">              1.2.1.5.56.1.0 - Contribuição do Militar Oriunda de Sentenças 
              Judiciais - Militar Ativo </t>
  </si>
  <si>
    <t xml:space="preserve">              1.2.1.5.56.2.0 - Contribuição do Militar Oriunda de Sentenças 
              Judiciais - Militar Inativo </t>
  </si>
  <si>
    <t xml:space="preserve">              1.2.1.5.56.3.0 - Contribuição do Militar Oriunda de Sentenças 
              Judiciais - Pensionistas Militares </t>
  </si>
  <si>
    <t xml:space="preserve">          1.2.1.6.00.0.0 - Contribuição para Fundos de Assistência 
          Médico-Hospitalar e Social   </t>
  </si>
  <si>
    <t xml:space="preserve">            1.2.1.6.01.0.0 - Contribuição para Fundos de Assistência Médica - 
            Policiais Militares </t>
  </si>
  <si>
    <t xml:space="preserve">              1.2.1.6.01.1.0 - Contribuição para Fundos de Assistência Médica - 
              Policiais Militares </t>
  </si>
  <si>
    <t xml:space="preserve">              1.2.1.6.01.2.0 - Contribuição para Fundos de Assistência Médica - 
              Policiais Militares - Parcelamentos </t>
  </si>
  <si>
    <t xml:space="preserve">            1.2.1.6.02.0.0 - Contribuição para Fundos de Assistência Médica - 
            Bombeiros Militares </t>
  </si>
  <si>
    <t xml:space="preserve">              1.2.1.6.02.1.0 - Contribuição para Fundos de Assistência Médica - 
              Bombeiros Militares </t>
  </si>
  <si>
    <t xml:space="preserve">              1.2.1.6.02.2.0 - Contribuição para Fundos de Assistência Médica - 
              Bombeiros Militares - Parcelamentos </t>
  </si>
  <si>
    <t xml:space="preserve">            1.2.1.6.03.0.0 - Contribuição para Fundos de Assistência Médica - 
            Servidores Civis </t>
  </si>
  <si>
    <t xml:space="preserve">              1.2.1.6.03.1.0 - Contribuição para Fundos de Assistência Médica - 
              Servidores Civis </t>
  </si>
  <si>
    <t xml:space="preserve">              1.2.1.6.03.2.0 - Contribuição para Fundos de Assistência Médica - 
              Servidores Civis - Parcelamentos </t>
  </si>
  <si>
    <t xml:space="preserve">            1.2.1.6.05.0.0 - Contribuição para Fundos de Assistência 
            Médico-Hospitalar e Social – Forças Armadas </t>
  </si>
  <si>
    <t xml:space="preserve">              1.2.1.6.05.1.0 - Contribuição para Fundos de Assistência 
              Médico-Hospitalar e Social – Forças Armadas </t>
  </si>
  <si>
    <t xml:space="preserve">              1.2.1.6.05.2.0 - Contribuição para Fundos de Assistência 
              Médico-Hospitalar e Social – Forças Armadas - Parcelamentos </t>
  </si>
  <si>
    <t xml:space="preserve">            1.2.1.6.99.0.0 - Contribuição para Fundos de Assistência Médica - 
            Outros Beneficiários </t>
  </si>
  <si>
    <t xml:space="preserve">              1.2.1.6.99.1.0 - Contribuição para Fundos de Assistência Médica - 
              Outros Beneficiários </t>
  </si>
  <si>
    <t xml:space="preserve">              1.2.1.6.99.2.0 - Contribuição para Fundos de Assistência Médica - 
              Outros Beneficiários - Parcelamentos </t>
  </si>
  <si>
    <t xml:space="preserve">          1.2.1.7.00.0.0 - Contribuições sobre Concursos de Prognósticos e 
          Sorteios </t>
  </si>
  <si>
    <t xml:space="preserve">            1.2.1.7.01.0.0 - Contribuição sobre a Loteria Federal </t>
  </si>
  <si>
    <t xml:space="preserve">              1.2.1.7.01.1.0 - Contribuição sobre a Loteria Federal </t>
  </si>
  <si>
    <t xml:space="preserve">              1.2.1.7.01.2.0 - Contribuição sobre a Loteria Federal - Parcelamentos </t>
  </si>
  <si>
    <t xml:space="preserve">            1.2.1.7.02.0.0 - Contribuição sobre Loterias Esportivas </t>
  </si>
  <si>
    <t xml:space="preserve">              1.2.1.7.02.1.0 - Contribuição sobre Loterias Esportivas </t>
  </si>
  <si>
    <t xml:space="preserve">              1.2.1.7.02.2.0 - Contribuição sobre Loterias Esportivas - 
              Parcelamentos </t>
  </si>
  <si>
    <t xml:space="preserve">            1.2.1.7.03.0.0 - Contribuição sobre Concursos Especiais de Loterias 
            Esportivas </t>
  </si>
  <si>
    <t xml:space="preserve">              1.2.1.7.03.1.0 - Contribuição sobre Concursos Especiais de Loterias 
              Esportivas </t>
  </si>
  <si>
    <t xml:space="preserve">              1.2.1.7.03.2.0 - Contribuição sobre Concursos Especiais de Loterias 
              Esportivas - Parcelamentos </t>
  </si>
  <si>
    <t xml:space="preserve">            1.2.1.7.04.0.0 - Contribuição sobre Loterias de Números </t>
  </si>
  <si>
    <t xml:space="preserve">              1.2.1.7.04.1.0 - Contribuição sobre Loterias de Números </t>
  </si>
  <si>
    <t xml:space="preserve">              1.2.1.7.04.2.0 - Contribuição sobre Loterias de Números - 
              Parcelamentos </t>
  </si>
  <si>
    <t xml:space="preserve">            1.2.1.7.05.0.0 - Contribuição sobre a Loteria Instantânea </t>
  </si>
  <si>
    <t xml:space="preserve">              1.2.1.7.05.1.0 - Contribuição sobre a Loteria Instantânea </t>
  </si>
  <si>
    <t xml:space="preserve">              1.2.1.7.05.2.0 - Contribuição sobre a Loteria Instantânea - 
              Parcelamentos </t>
  </si>
  <si>
    <t xml:space="preserve">            1.2.1.7.06.0.0 - Contribuição sobre Concursos de Prognósticos - 
            Modalidade Futebol </t>
  </si>
  <si>
    <t xml:space="preserve">              1.2.1.7.06.1.0 - Contribuição sobre Concursos de Prognósticos - 
              Modalidade Futebol </t>
  </si>
  <si>
    <t xml:space="preserve">              1.2.1.7.06.2.0 - Contribuição sobre Concursos de Prognósticos - 
              Modalidade Futebol - Parcelamentos </t>
  </si>
  <si>
    <t xml:space="preserve">            1.2.1.7.07.0.0 - Contribuição sobre Loteria de Apostas de Quota Fixa </t>
  </si>
  <si>
    <t xml:space="preserve">              1.2.1.7.07.1.0 - Contribuição sobre Loteria de Apostas de Quota Fixa </t>
  </si>
  <si>
    <t xml:space="preserve">              1.2.1.7.07.2.0 - Contribuição sobre Loteria de Apostas de Quota Fixa 
              - Parcelamentos </t>
  </si>
  <si>
    <t xml:space="preserve">          1.2.1.9.00.0.0 - Outras Contribuições Sociais </t>
  </si>
  <si>
    <t xml:space="preserve">            1.2.1.9.01.0.0 - Contribuição sobre Sorteios Realizados por Entidades 
            Filantrópicas </t>
  </si>
  <si>
    <t xml:space="preserve">              1.2.1.9.01.1.0 - Contribuição sobre Sorteios Realizados por Entidades 
              Filantrópicas </t>
  </si>
  <si>
    <t xml:space="preserve">              1.2.1.9.01.2.0 - Contribuição sobre Sorteios Realizados por Entidades 
              Filantrópicas - Parcelamentos </t>
  </si>
  <si>
    <t xml:space="preserve">            1.2.1.9.02.0.0 - Cota-Parte da Contribuição Sindical </t>
  </si>
  <si>
    <t xml:space="preserve">              1.2.1.9.02.1.0 - Cota-Parte da Contribuição Sindical </t>
  </si>
  <si>
    <t xml:space="preserve">              1.2.1.9.02.2.0 - Cota-Parte da Contribuição Sindical - Parcelamentos </t>
  </si>
  <si>
    <t xml:space="preserve">            1.2.1.9.03.0.0 - Contribuições Referentes ao Fundo de Garantia do 
            Tempo de Serviço - FGTS </t>
  </si>
  <si>
    <t xml:space="preserve">              1.2.1.9.03.1.0 - Contribuição Relativa à Despedida de Empregado sem 
              Justa Causa </t>
  </si>
  <si>
    <t xml:space="preserve">              1.2.1.9.03.2.0 - Contribuição sobre a Remuneração Devida ao 
              Trabalhador </t>
  </si>
  <si>
    <t xml:space="preserve">              1.2.1.9.03.3.0 - Contribuições Referentes ao Fundo de Garantia do 
              Tempo de Serviço - FGTS - Parcelamentos </t>
  </si>
  <si>
    <t xml:space="preserve">            1.2.1.9.04.0.0 - Contribuição Social do Salário-Educação </t>
  </si>
  <si>
    <t xml:space="preserve">              1.2.1.9.04.1.0 - Contribuição Social do Salário-Educação </t>
  </si>
  <si>
    <t xml:space="preserve">              1.2.1.9.04.2.0 - Contribuição Social do Salário-Educação - 
              Parcelamentos </t>
  </si>
  <si>
    <t xml:space="preserve">            1.2.1.9.05.0.0 - Contribuição para o Ensino Aeroviário </t>
  </si>
  <si>
    <t xml:space="preserve">              1.2.1.9.05.1.0 - Contribuição para o Ensino Aeroviário </t>
  </si>
  <si>
    <t xml:space="preserve">              1.2.1.9.05.2.0 - Contribuição para o Ensino Aeroviário - 
              Parcelamentos </t>
  </si>
  <si>
    <t xml:space="preserve">            1.2.1.9.06.0.0 - Contribuição para o Desenvolvimento do Ensino 
            Profissional Marítimo </t>
  </si>
  <si>
    <t xml:space="preserve">              1.2.1.9.06.1.0 - Contribuição para o Desenvolvimento do Ensino 
              Profissional Marítimo </t>
  </si>
  <si>
    <t xml:space="preserve">              1.2.1.9.06.2.0 - Contribuição para o Desenvolvimento do Ensino 
              Profissional Marítimo - Parcelamentos </t>
  </si>
  <si>
    <t xml:space="preserve">            1.2.1.9.07.0.0 - Contribuição sobre a Arrecadação dos Fundos de 
            Investimentos Regionais </t>
  </si>
  <si>
    <t xml:space="preserve">              1.2.1.9.07.1.0 - Contribuição sobre a Arrecadação dos Fundos de 
              Investimentos Regionais </t>
  </si>
  <si>
    <t xml:space="preserve">              1.2.1.9.07.2.0 - Contribuição sobre a Arrecadação dos Fundos de 
              Investimentos Regionais - Parcelamentos </t>
  </si>
  <si>
    <t xml:space="preserve">            1.2.1.9.10.0.0 - Contribuição sobre Movimentação ou Transmissão de 
            Valores e de Créditos e Direitos de Natureza Financeira </t>
  </si>
  <si>
    <t xml:space="preserve">              1.2.1.9.10.1.0 - Contribuição sobre Movimentação ou Transmissão de 
              Valores e de Créditos e Direitos de Natureza Financeira </t>
  </si>
  <si>
    <t xml:space="preserve">              1.2.1.9.10.2.0 - Contribuição sobre Movimentação ou Transmissão de 
              Valores e de Créditos e Direitos de Natureza Financeira - 
              Parcelamentos </t>
  </si>
  <si>
    <t xml:space="preserve">            1.2.1.9.50.0.0 - Outras Contribuições Previdenciárias </t>
  </si>
  <si>
    <t xml:space="preserve">              1.2.1.9.50.1.0 - Contribuições Previdenciárias de Benefícios Mantidos 
              pelo Tesouro </t>
  </si>
  <si>
    <t xml:space="preserve">              1.2.1.9.50.9.0 - Demais Contribuições Previdenciárias </t>
  </si>
  <si>
    <t xml:space="preserve">            1.2.1.9.99.0.0 - Demais Contribuições Sociais </t>
  </si>
  <si>
    <t xml:space="preserve">              1.2.1.9.99.1.0 - Demais Contribuições Sociais Não Arrecadadas e Não 
              Projetadas pela RFB </t>
  </si>
  <si>
    <t xml:space="preserve">              1.2.1.9.99.2.0 - Demais Contribuições Sociais Não Arrecadadas e Não 
              Projetadas pela RFB - Parcelamentos </t>
  </si>
  <si>
    <t xml:space="preserve">              1.2.1.9.99.3.0 - Demais Contribuições Sociais - Arrecadadas e 
              Projetadas pela RFB </t>
  </si>
  <si>
    <t xml:space="preserve">              1.2.1.9.99.4.0 - Demais Contribuições Sociais - Arrecadadas e 
              Projetadas pela RFB - Parcelamentos </t>
  </si>
  <si>
    <t xml:space="preserve">        1.2.2.0.00.0.0 - Contribuições Econômicas </t>
  </si>
  <si>
    <t xml:space="preserve">          1.2.2.1.00.0.0 - Contribuições Econômicas </t>
  </si>
  <si>
    <t xml:space="preserve">            1.2.2.1.01.0.0 - Contribuições para o Programa de Integração Nacional 
            - PIN e para o Programa de Redistribuição de Terras e de Estímulo à 
            Agroindústria do Norte e do Nordeste - PROTERRA </t>
  </si>
  <si>
    <t xml:space="preserve">              1.2.2.1.01.1.0 - Contribuição para o Programa de Integração Nacional 
              - PIN </t>
  </si>
  <si>
    <t xml:space="preserve">              1.2.2.1.01.2.0 - Contribuição para o Programa de Redistribuição de 
              Terras e de Estímulo à Agroindústria do Norte e do Nordeste - 
              PROTERRA </t>
  </si>
  <si>
    <t xml:space="preserve">            1.2.2.1.02.0.0 - Contribuição de Lojas Francas, Entrepostos Aduaneiros 
            e Depósitos Alfandegários </t>
  </si>
  <si>
    <t xml:space="preserve">            1.2.2.1.03.0.0 - Contribuição sobre Apostas em Competições Hípicas </t>
  </si>
  <si>
    <t xml:space="preserve">            1.2.2.1.04.0.0 - Contribuição para o Desenvolvimento da Indústria 
            Cinematográfica Nacional - CONDECINE </t>
  </si>
  <si>
    <t xml:space="preserve">            1.2.2.1.05.0.0 - Cota-Parte do Adicional ao Frete para a Renovação da 
            Marinha Mercante - AFRMM </t>
  </si>
  <si>
    <t xml:space="preserve">            1.2.2.1.06.0.0 - Contribuição sobre as Receitas de Concessionárias e 
            Permissionárias de Energia Elétrica </t>
  </si>
  <si>
    <t xml:space="preserve">            1.2.2.1.07.0.0 - Contribuição pela Licença de Uso, Aquisição ou 
            Transferência de Tecnologia - CIDE - Remessas ao Exterior </t>
  </si>
  <si>
    <t xml:space="preserve">            1.2.2.1.08.0.0 - Contribuição Relativa às Atividades de Importação e 
            Comercialização de Petróleo e seus Derivados, Gás Natural e Álcool 
            Carburante - CIDE Combustíveis </t>
  </si>
  <si>
    <t xml:space="preserve">              1.2.2.1.08.1.0 - Contribuição de Intervenção no Domínio Econômico - 
              CIDE-Combustíveis - Importação </t>
  </si>
  <si>
    <t xml:space="preserve">              1.2.2.1.08.2.0 - Contribuição de Intervenção no Domínio Econômico - 
              CIDE-Combustíveis - Comercialização </t>
  </si>
  <si>
    <t xml:space="preserve">            1.2.2.1.09.0.0 - Contribuição sobre a Receita das Empresas Prestadoras 
            de Serviços de Telecomunicações </t>
  </si>
  <si>
    <t xml:space="preserve">              1.2.2.1.09.1.0 - Contribuição sobre a Receita Operacional Bruta 
              Decorrente de Prestação de Serviços de Telecomunicações </t>
  </si>
  <si>
    <t xml:space="preserve">              1.2.2.1.09.2.0 - Contribuição sobre a Receita Bruta das Empresas 
              Prestadoras de Serviços de Telecomunicações </t>
  </si>
  <si>
    <t xml:space="preserve">            1.2.2.1.10.0.0 - Contribuição para o Fomento da Radiodifusão Pública </t>
  </si>
  <si>
    <t xml:space="preserve">            1.2.2.1.11.0.0 - Contribuição sobre o Faturamento das Empresas de 
            Informática </t>
  </si>
  <si>
    <t xml:space="preserve">            1.2.2.1.12.0.0 - Contribuições Relativas às Atividades Rurais e 
            Industriais Rurais </t>
  </si>
  <si>
    <t xml:space="preserve">            1.2.2.1.13.0.0 - Adicional à Contribuição Previdenciária sobre a Folha 
            - CIDE Reforma Agrária </t>
  </si>
  <si>
    <t xml:space="preserve">            1.2.2.1.50.0.0 - Contribuições Econômicas sobre Commodities </t>
  </si>
  <si>
    <t xml:space="preserve">            1.2.2.1.99.0.0 - Outras Contribuições Econômicas </t>
  </si>
  <si>
    <t xml:space="preserve">        1.2.3.0.00.0.0 - Contribuições para Entidades Privadas de Serviço Social 
        e de Formação Profissional </t>
  </si>
  <si>
    <t xml:space="preserve">        1.2.4.0.00.0.0 - Contribuição para o Custeio do Serviço de Iluminação 
        Pública </t>
  </si>
  <si>
    <t xml:space="preserve">      1.3.0.0.00.0.0 - Receita Patrimonial </t>
  </si>
  <si>
    <t xml:space="preserve">        1.3.1.0.00.0.0 - Exploração do Patrimônio Imobiliário do Estado </t>
  </si>
  <si>
    <t xml:space="preserve">          1.3.1.1.00.0.0 - Exploração do Patrimônio Imobiliário do Estado </t>
  </si>
  <si>
    <t xml:space="preserve">            1.3.1.1.01.0.0 - Aluguéis, Arrendamentos, Foros, Laudêmios, Tarifas de 
            Ocupação </t>
  </si>
  <si>
    <t xml:space="preserve">              1.3.1.1.01.1.0 - Aluguéis e Arrendamentos </t>
  </si>
  <si>
    <t xml:space="preserve">              1.3.1.1.01.2.0 - Foros, Laudêmios e Tarifas de Ocupação </t>
  </si>
  <si>
    <t xml:space="preserve">            1.3.1.1.02.0.0 - Concessão, Permissão, Autorização ou Cessão do 
            Direito de Uso de Bens Imóveis Públicos </t>
  </si>
  <si>
    <t xml:space="preserve">            1.3.1.1.99.0.0 - Outras Receitas Imobiliárias </t>
  </si>
  <si>
    <t xml:space="preserve">        1.3.2.0.00.0.0 - Valores Mobiliários </t>
  </si>
  <si>
    <t xml:space="preserve">          1.3.2.1.00.0.0 - Juros e Correções Monetárias </t>
  </si>
  <si>
    <t xml:space="preserve">            1.3.2.1.01.0.0 - Remuneração de Depósitos Bancários </t>
  </si>
  <si>
    <t xml:space="preserve">            1.3.2.1.02.0.0 - Remuneração de Depósitos Especiais </t>
  </si>
  <si>
    <t xml:space="preserve">            1.3.2.1.03.0.0 - Remuneração de Saldos de Recursos Não-Desembolsados </t>
  </si>
  <si>
    <t xml:space="preserve">            1.3.2.1.04.0.0 - Remuneração dos Recursos do Regime Próprio de 
            Previdência Social - RPPS </t>
  </si>
  <si>
    <t xml:space="preserve">            1.3.2.1.05.0.0 - Juros de Títulos de Renda </t>
  </si>
  <si>
    <t xml:space="preserve">            1.3.2.1.06.0.0 - Juros sobre o Capital Próprio </t>
  </si>
  <si>
    <t xml:space="preserve">          1.3.2.2.00.0.0 - Dividendos </t>
  </si>
  <si>
    <t xml:space="preserve">          1.3.2.3.00.0.0 - Participações </t>
  </si>
  <si>
    <t xml:space="preserve">          1.3.2.9.00.0.0 - Outros Valores Mobiliários </t>
  </si>
  <si>
    <t xml:space="preserve">        1.3.3.0.00.0.0 - Delegação de Serviços Públicos Mediante Concessão, 
        Permissão, Autorização ou Licença </t>
  </si>
  <si>
    <t xml:space="preserve">          1.3.3.1.00.0.0 - Delegação para a Prestação dos Serviços de Transporte </t>
  </si>
  <si>
    <t xml:space="preserve">            1.3.3.1.01.0.0 - Delegação para a Prestação dos Serviços de Transporte 
            Rodoviário </t>
  </si>
  <si>
    <t xml:space="preserve">            1.3.3.1.02.0.0 - Delegação para a Prestação dos Serviços de Transporte 
            Ferroviário </t>
  </si>
  <si>
    <t xml:space="preserve">            1.3.3.1.03.0.0 - Delegação para a Prestação dos Serviços de Transporte 
            Metroviário </t>
  </si>
  <si>
    <t xml:space="preserve">            1.3.3.1.04.0.0 - Delegação para a Prestação dos Serviços de Transporte 
            Aquaviário </t>
  </si>
  <si>
    <t xml:space="preserve">            1.3.3.1.05.0.0 - Delegação para a Prestação dos Serviços de Transporte 
            Aeroviário </t>
  </si>
  <si>
    <t xml:space="preserve">          1.3.3.2.00.0.0 - Delegação dos Serviços de Infraestrutura </t>
  </si>
  <si>
    <t xml:space="preserve">            1.3.3.2.01.0.0 - Delegação para Exploração da Infraestrutura de 
            Transporte Rodoviário </t>
  </si>
  <si>
    <t xml:space="preserve">              1.3.3.2.01.1.0 - Delegação para Exploração da Infraestrutura de 
              Transporte Rodoviário para o Setor Privado </t>
  </si>
  <si>
    <t xml:space="preserve">              1.3.3.2.01.2.0 - Delegação para Exploração da Infraestrutura de 
              Transporte Rodoviário para os Estados, Distrito Federal e Municípios </t>
  </si>
  <si>
    <t xml:space="preserve">            1.3.3.2.02.0.0 - Delegação para Exploração da Infraestrutura de 
            Transporte Ferroviário </t>
  </si>
  <si>
    <t xml:space="preserve">            1.3.3.2.03.0.0 - Delegação para Exploração da Infraestrutura de 
            Transporte Aquaviário </t>
  </si>
  <si>
    <t xml:space="preserve">            1.3.3.2.04.0.0 - Delegação para Exploração da Infraestrutura 
            Aeroportuária </t>
  </si>
  <si>
    <t xml:space="preserve">          1.3.3.3.00.0.0 - Delegação dos Serviços de Telecomunicação </t>
  </si>
  <si>
    <t xml:space="preserve">            1.3.3.3.01.0.0 - Delegação dos Serviços de Telecomunicação - Poder 
            Concedente no Regime Público </t>
  </si>
  <si>
    <t xml:space="preserve">            1.3.3.3.02.0.0 - Delegação dos Serviços de Telecomunicação - Atividade 
            Ordenadora no Regime Privado </t>
  </si>
  <si>
    <t xml:space="preserve">            1.3.3.3.03.0.0 - Delegação dos Serviços de Radiodifusão Sonora e de 
            Sons e Imagens </t>
  </si>
  <si>
    <t xml:space="preserve">            1.3.3.3.04.0.0 - Cessão do Direito de Uso de Radiofrequência </t>
  </si>
  <si>
    <t xml:space="preserve">            1.3.3.3.05.0.0 - Cessão do Direito de Exploração de Satélite 
            Brasileiro </t>
  </si>
  <si>
    <t xml:space="preserve">            1.3.3.3.06.0.0 - Transferência da Delegação dos Serviços de 
            Telecomunicações ou do Direito de Uso de Radiofrequência </t>
  </si>
  <si>
    <t xml:space="preserve">            1.3.3.3.07.0.0 - Concessão de Licenças e Autorizações da Agência 
            Espacial Brasileira </t>
  </si>
  <si>
    <t xml:space="preserve">            1.3.3.3.99.0.0 - Outras Delegações dos Serviços de Telecomunicação </t>
  </si>
  <si>
    <t xml:space="preserve">          1.3.3.4.00.0.0 - Concessão para Prestação de Serviços de Energia 
          Elétrica </t>
  </si>
  <si>
    <t xml:space="preserve">            1.3.3.4.01.0.0 - Concessão dos Serviços de Geração, Transmissão ou 
            Distribuição de Energia Elétrica </t>
  </si>
  <si>
    <t xml:space="preserve">          1.3.3.5.00.0.0 - Delegação dos Serviços de Saneamento Básico </t>
  </si>
  <si>
    <t xml:space="preserve">            1.3.3.5.50.0.0 - Delegação dos Serviços de Abastecimento de Água 
            Potável </t>
  </si>
  <si>
    <t xml:space="preserve">            1.3.3.5.51.0.0 - Delegação dos Serviços de Esgotamento Sanitário </t>
  </si>
  <si>
    <t xml:space="preserve">            1.3.3.5.52.0.0 - Delegação dos Serviços de Limpeza Urbana e Manejo de 
            Resíduos Sólidos </t>
  </si>
  <si>
    <t xml:space="preserve">            1.3.3.5.53.0.0 - Delegação dos Serviços de Drenagem e Manejo das Águas 
            Pluviais Urbanas </t>
  </si>
  <si>
    <t xml:space="preserve">          1.3.3.9.00.0.0 - Demais Delegações de Serviços Públicos </t>
  </si>
  <si>
    <t xml:space="preserve">            1.3.3.9.01.0.0 - Outorga de Loteria de Aposta de Quota Fixa </t>
  </si>
  <si>
    <t xml:space="preserve">            1.3.3.9.02.0.0 - Outorga de Loteria Instantânea Exclusiva – LOTEX </t>
  </si>
  <si>
    <t xml:space="preserve">            1.3.3.9.99.0.0 - Outras Delegações de Serviços Públicos </t>
  </si>
  <si>
    <t xml:space="preserve">        1.3.4.0.00.0.0 - Exploração de Recursos Naturais </t>
  </si>
  <si>
    <t xml:space="preserve">          1.3.4.1.00.0.0 - Petróleo - Regime de Concessão </t>
  </si>
  <si>
    <t xml:space="preserve">            1.3.4.1.01.0.0 - Outorga de Exploração e Produção de Petróleo e Gás 
            Natural - Regime de Concessão </t>
  </si>
  <si>
    <t xml:space="preserve">              1.3.4.1.01.1.0 - Bônus de Assinatura do Contrato de Concessão </t>
  </si>
  <si>
    <t xml:space="preserve">              1.3.4.1.01.2.0 - Pagamento pela Retenção de Área para Exploração ou 
              Produção </t>
  </si>
  <si>
    <t xml:space="preserve">            1.3.4.1.02.0.0 - Royalties Mínimos pela Produção de Petróleo - 
            Contrato de Concessão </t>
  </si>
  <si>
    <t xml:space="preserve">              1.3.4.1.02.1.0 - Royalties Mínimos pela Produção de Petróleo em Terra 
              (Qualquer Situação) - Contrato de Concessão </t>
  </si>
  <si>
    <t xml:space="preserve">              1.3.4.1.02.2.0 - Royalties Mínimos pela Produção de Petróleo em 
              Plataforma - Contrato de Concessão - Declaração de Comercialidade 
              antes de 3/12/2012 - Área e Camada Pré-Sal </t>
  </si>
  <si>
    <t xml:space="preserve">              1.3.4.1.02.3.0 - Royalties Mínimos pela Produção de Petróleo em 
              Plataforma - Contrato de Concessão - Declaração de Comercialidade 
              antes de 3/12/2012 - Demais Situações </t>
  </si>
  <si>
    <t xml:space="preserve">              1.3.4.1.02.4.0 - Royalties Mínimos pela Produção de Petróleo em 
              Plataforma - Contrato de Concessão - Declaração de Comercialidade a 
              partir de 3/12/2012 - Qualquer Situação </t>
  </si>
  <si>
    <t xml:space="preserve">            1.3.4.1.03.0.0 - Royalties Excedentes pela Produção de Petróleo - 
            Contrato de Concessão </t>
  </si>
  <si>
    <t xml:space="preserve">              1.3.4.1.03.1.0 - Royalties Excedentes pela Produção de Petróleo em 
              Terra (Qualquer Situação) - Contrato de Concessão </t>
  </si>
  <si>
    <t xml:space="preserve">              1.3.4.1.03.2.0 - Royalties Excedentes pela Produção de Petróleo em 
              Plataforma - Contrato de Concessão - Declaração de Comercialidade 
              antes de 3/12/2012 - Área e Camada Pré-Sal </t>
  </si>
  <si>
    <t xml:space="preserve">              1.3.4.1.03.3.0 - Royalties Excedentes pela Produção de Petróleo em 
              Plataforma - Contrato de Concessão - Declaração de Comercialidade 
              antes de 3/12/2012 - Demais Situações </t>
  </si>
  <si>
    <t xml:space="preserve">              1.3.4.1.03.4.0 - Royalties Excedentes pela Produção de Petróleo em 
              Plataforma - Contrato de Concessão - Declaração de Comercialidade a 
              partir de 3/12/2012 - Qualquer Situação </t>
  </si>
  <si>
    <t xml:space="preserve">            1.3.4.1.04.0.0 - Participação Especial pela Produção de Petróleo - 
            Contrato de Concessão </t>
  </si>
  <si>
    <t xml:space="preserve">              1.3.4.1.04.1.0 - Participação Especial pela Produção de Petróleo em 
              Terra (Qualquer Situação) - Contrato de Concessão </t>
  </si>
  <si>
    <t xml:space="preserve">              1.3.4.1.04.2.0 - Participação Especial pela Produção de Petróleo em 
              Plataforma - Contrato de Concessão - Declaração de Comercialidade 
              antes de 3/12/2012 - Área e Camada Pré-Sal </t>
  </si>
  <si>
    <t xml:space="preserve">              1.3.4.1.04.3.0 - Participação Especial pela Produção de Petróleo em 
              Plataforma - Contrato de Concessão - Declaração de Comercialidade 
              antes de 3/12/2012 - Demais Situações </t>
  </si>
  <si>
    <t xml:space="preserve">              1.3.4.1.04.4.0 - Participação Especial pela Produção de Petróleo em 
              Plataforma - Contrato de Concessão - Declaração de Comercialidade a 
              partir de 3/12/2012 - Qualquer Situação </t>
  </si>
  <si>
    <t xml:space="preserve">            1.3.4.1.05.0.0 - Participação do Proprietário da Terra – Contrato de 
            Concessão </t>
  </si>
  <si>
    <t xml:space="preserve">          1.3.4.2.00.0.0 - Petróleo - Regime de Cessão Onerosa </t>
  </si>
  <si>
    <t xml:space="preserve">            1.3.4.2.02.0.0 - Royalties Mínimos pela Produção de Petróleo - Cessão 
            Onerosa - Declaração de Comercialidade a partir de 3/12/2012 </t>
  </si>
  <si>
    <t xml:space="preserve">              1.3.4.2.02.1.0 - Royalties Mínimos pela Produção de Petróleo em Terra 
              - Cessão Onerosa - Declaração de Comercialidade a partir de 3/12/2012 </t>
  </si>
  <si>
    <t xml:space="preserve">              1.3.4.2.02.4.0 - Royalties Mínimos pela Produção de Petróleo em 
              Plataforma - Cessão Onerosa - Declaração de Comercialidade a partir 
              de 3/12/2012 </t>
  </si>
  <si>
    <t xml:space="preserve">            1.3.4.2.03.0.0 - Royalties Excedentes pela Produção de Petróleo - 
            Cessão Onerosa - Declaração de Comercialidade a partir de 3/12/2012 </t>
  </si>
  <si>
    <t xml:space="preserve">              1.3.4.2.03.1.0 - Royalties Excedentes pela Produção de Petróleo em 
              Terra - Cessão Onerosa - Declaração de Comercialidade a partir de 
              3/12/2012 </t>
  </si>
  <si>
    <t xml:space="preserve">              1.3.4.2.03.4.0 - Royalties Excedentes pela Produção de Petróleo em 
              Plataforma - Cessão Onerosa - Declaração de Comercialidade a partir 
              de 3/12/2012 </t>
  </si>
  <si>
    <t xml:space="preserve">          1.3.4.3.00.0.0 - Petróleo - Regime de Partilha de Produção </t>
  </si>
  <si>
    <t xml:space="preserve">            1.3.4.3.01.0.0 - Outorga dos Serviços de Exploração e Produção de 
            Petróleo e Gás Natural - Regime de Partilha de Produção </t>
  </si>
  <si>
    <t xml:space="preserve">              1.3.4.3.01.1.0 - Bônus de Assinatura de Contrato de Partilha de 
              Produção - Parcela da União </t>
  </si>
  <si>
    <t xml:space="preserve">              1.3.4.3.01.2.0 - Bônus de Assinatura de Contrato de Partilha de 
              Produção - Parcela do Fundo Social </t>
  </si>
  <si>
    <t xml:space="preserve">              1.3.4.3.01.3.0 - Bônus de Assinatura de Contrato de Partilha de 
              Produção - Parcela da Empresa Gestora do Contrato </t>
  </si>
  <si>
    <t xml:space="preserve">              1.3.4.3.01.4.0 - Bônus de Assinatura de Contrato de Partilha de 
              Produção - Parcela de Estados e Municípios </t>
  </si>
  <si>
    <t xml:space="preserve">            1.3.4.3.02.0.0 - Royalties pela Produção de Petróleo - Partilha de 
            Produção - Declaração de Comercialidade a partir de 3/12/2012 </t>
  </si>
  <si>
    <t xml:space="preserve">              1.3.4.3.02.1.0 - Royalties pela Produção de Petróleo em Terra - 
              Partilha de Produção - Declaração de Comercialidade a partir de 
              3/12/2012 </t>
  </si>
  <si>
    <t xml:space="preserve">              1.3.4.3.02.4.0 - Royalties pela Produção de Petróleo em Plataforma - 
              Partilha de Produção - Declaração de Comercialidade a partir de 
              3/12/2012 </t>
  </si>
  <si>
    <t xml:space="preserve">          1.3.4.4.00.0.0 - Exploração de Recursos Minerais </t>
  </si>
  <si>
    <t xml:space="preserve">            1.3.4.4.01.0.0 - Outorga de Direitos de Exploração e Pesquisa Mineral </t>
  </si>
  <si>
    <t xml:space="preserve">            1.3.4.4.02.0.0 - Compensação Financeira pela Exploração de Recursos 
            Minerais </t>
  </si>
  <si>
    <t xml:space="preserve">          1.3.4.5.00.0.0 - Exploração de Recursos Hídricos </t>
  </si>
  <si>
    <t xml:space="preserve">            1.3.4.5.01.0.0 - Outorga de Direitos de Uso de Recursos Hídricos </t>
  </si>
  <si>
    <t xml:space="preserve">            1.3.4.5.02.0.0 - Concessão de Uso do Potencial de Energia Hidráulica </t>
  </si>
  <si>
    <t xml:space="preserve">            1.3.4.5.03.0.0 - Compensação Financeira pela Exploração de Recursos 
            Hídricos </t>
  </si>
  <si>
    <t xml:space="preserve">              1.3.4.5.03.1.0 - Utilização de Recursos Hídricos - Itaipu </t>
  </si>
  <si>
    <t xml:space="preserve">              1.3.4.5.03.2.0 - Utilização de Recursos Hídricos - Demais Empresas </t>
  </si>
  <si>
    <t xml:space="preserve">              1.3.4.5.03.3.0 - Utilização de Recursos Hídricos - Demais Empresas - 
              Prorrogação de Outorga </t>
  </si>
  <si>
    <t xml:space="preserve">          1.3.4.6.00.0.0 - Exploração de Recursos Florestais </t>
  </si>
  <si>
    <t xml:space="preserve">            1.3.4.6.01.0.0 - Concessão de Florestas Nacionais </t>
  </si>
  <si>
    <t xml:space="preserve">              1.3.4.6.01.1.0 - Concessão de Florestas Nacionais - Valor Mínimo </t>
  </si>
  <si>
    <t xml:space="preserve">              1.3.4.6.01.2.0 - Concessão de Florestas Nacionais - Demais Valores </t>
  </si>
  <si>
    <t xml:space="preserve">            1.3.4.6.02.0.0 - Concessão de Florestas Não Catalogadas como 
            “Florestas Nacionais” </t>
  </si>
  <si>
    <t xml:space="preserve">              1.3.4.6.02.1.0 - Concessão de Florestas Não Catalogadas como 
              “Florestas Nacionais” - Valor Mínimo </t>
  </si>
  <si>
    <t xml:space="preserve">              1.3.4.6.02.2.0 - Concessão de Florestas Não Catalogadas como 
              “Florestas Nacionais” - Demais Valores </t>
  </si>
  <si>
    <t xml:space="preserve">            1.3.4.6.03.0.0 - Custos de Edital de Concessão Florestal </t>
  </si>
  <si>
    <t xml:space="preserve">            1.3.4.6.04.0.0 - Contratos de Transição de Concessão Florestal </t>
  </si>
  <si>
    <t xml:space="preserve">            1.3.4.6.99.0.0 - Demais Receitas de Exploração de Recursos Florestais </t>
  </si>
  <si>
    <t xml:space="preserve">          1.3.4.9.00.0.0 - Exploração de Outros Recursos Naturais </t>
  </si>
  <si>
    <t xml:space="preserve">            1.3.4.9.01.0.0 - Compensações Ambientais </t>
  </si>
  <si>
    <t xml:space="preserve">            1.3.4.9.99.0.0 - Outras Delegações para Exploração de Recursos 
            Naturais </t>
  </si>
  <si>
    <t xml:space="preserve">        1.3.5.0.00.0.0 - Exploração do Patrimônio Intangível </t>
  </si>
  <si>
    <t xml:space="preserve">          1.3.5.1.00.0.0 - Exploração do Patrimônio Intangível </t>
  </si>
  <si>
    <t xml:space="preserve">            1.3.5.1.01.0.0 - Outorga de Direito de Uso ou de Exploração de Criação 
            Protegida - Instituição Científica e Tecnológica </t>
  </si>
  <si>
    <t xml:space="preserve">            1.3.5.1.02.0.0 - Direito de Uso da Imagem e de Reprodução dos Bens do 
            Acervo Patrimonial </t>
  </si>
  <si>
    <t xml:space="preserve">            1.3.5.1.03.0.0 - Royalties pela Exploração do Patrimônio Genético ou 
            Conhecimento Tradicional Associado </t>
  </si>
  <si>
    <t xml:space="preserve">            1.3.5.1.04.0.0 - Royalties pela Comercialização de Produtos 
            Resultantes de Criação Protegida </t>
  </si>
  <si>
    <t xml:space="preserve">        1.3.6.0.00.0.0 - Cessão de Direitos </t>
  </si>
  <si>
    <t xml:space="preserve">          1.3.6.1.00.0.0 - Cessão de Direitos </t>
  </si>
  <si>
    <t xml:space="preserve">            1.3.6.1.01.0.0 - Cessão do Direito de Operacionalização de Pagamentos </t>
  </si>
  <si>
    <t xml:space="preserve">              1.3.6.1.01.1.0 - Cessão do Direito de Operacionalização de Pagamentos 
              - Poderes Executivo e Legislativo </t>
  </si>
  <si>
    <t xml:space="preserve">              1.3.6.1.01.2.0 - Cessão do Direito de Operacionalização de Pagamentos 
              - Poder Judiciário </t>
  </si>
  <si>
    <t xml:space="preserve">        1.3.9.0.00.0.0 - Demais Receitas Patrimoniais </t>
  </si>
  <si>
    <t xml:space="preserve">      1.4.0.0.00.0.0 - Receita Agropecuária </t>
  </si>
  <si>
    <t xml:space="preserve">      1.5.0.0.00.0.0 - Receita Industrial </t>
  </si>
  <si>
    <t xml:space="preserve">      1.6.0.0.00.0.0 - Receita de Serviços </t>
  </si>
  <si>
    <t xml:space="preserve">        1.6.1.0.00.0.0 - Serviços Administrativos e Comerciais Gerais </t>
  </si>
  <si>
    <t xml:space="preserve">          1.6.1.1.00.0.0 - Serviços Administrativos e Comerciais Gerais </t>
  </si>
  <si>
    <t xml:space="preserve">            1.6.1.1.01.0.0 - Serviços Administrativos e Comerciais Gerais 
            Prestados por Entidades e Órgãos Públicos em Geral </t>
  </si>
  <si>
    <t xml:space="preserve">            1.6.1.1.02.0.0 - Inscrição em Concursos e Processos Seletivos </t>
  </si>
  <si>
    <t xml:space="preserve">            1.6.1.1.03.0.0 - Serviços de Registro, Certificação e Fiscalização </t>
  </si>
  <si>
    <t xml:space="preserve">            1.6.1.1.04.0.0 - Serviços de Informação e Tecnologia </t>
  </si>
  <si>
    <t xml:space="preserve">            1.6.1.1.05.0.0 - Serviços Técnicos e Aprovação de Laudos de 
            Telecomunicações </t>
  </si>
  <si>
    <t xml:space="preserve">            1.6.1.1.50.0.0 - Serviços de Administração Previdenciária </t>
  </si>
  <si>
    <t xml:space="preserve">        1.6.2.0.00.0.0 - Serviços e Atividades Referentes à Navegação e ao 
        Transporte </t>
  </si>
  <si>
    <t xml:space="preserve">          1.6.2.1.00.0.0 - Serviços e Atividades Referentes à Navegação e ao 
          Transporte </t>
  </si>
  <si>
    <t xml:space="preserve">            1.6.2.1.01.0.0 - Serviços de Navegação </t>
  </si>
  <si>
    <t xml:space="preserve">              1.6.2.1.01.1.0 - Serviços de Navegação Aérea </t>
  </si>
  <si>
    <t xml:space="preserve">              1.6.2.1.01.2.0 - Serviços de Navegação Naval </t>
  </si>
  <si>
    <t xml:space="preserve">            1.6.2.1.02.0.0 - Serviços de Transporte de Passageiros ou Mercadorias </t>
  </si>
  <si>
    <t xml:space="preserve">            1.6.2.1.03.0.0 - Serviços Portuários </t>
  </si>
  <si>
    <t xml:space="preserve">            1.6.2.1.04.0.0 - Serviços Aeroportuários </t>
  </si>
  <si>
    <t xml:space="preserve">              1.6.2.1.04.1.0 - Tarifa Aeroportuária </t>
  </si>
  <si>
    <t xml:space="preserve">              1.6.2.1.04.2.0 - Adicional sobre Tarifa Aeroportuária </t>
  </si>
  <si>
    <t xml:space="preserve">              1.6.2.1.04.3.0 - Parcela da Tarifa de Embarque Internacional </t>
  </si>
  <si>
    <t xml:space="preserve">        1.6.3.0.00.0.0 - Serviços e Atividades Referentes à Saúde </t>
  </si>
  <si>
    <t xml:space="preserve">          1.6.3.1.00.0.0 - Serviços de Atendimento à Saúde </t>
  </si>
  <si>
    <t xml:space="preserve">            1.6.3.1.01.0.0 - Serviços de Atendimento à Saúde em Unidades do 
            Governo Federal </t>
  </si>
  <si>
    <t xml:space="preserve">            1.6.3.1.50.0.0 - Serviços Hospitalares </t>
  </si>
  <si>
    <t xml:space="preserve">            1.6.3.1.51.0.0 - Serviços de Registro, Análise e Controle da Saúde </t>
  </si>
  <si>
    <t xml:space="preserve">            1.6.3.1.52.0.0 - Serviços Radiológicos e Laboratoriais </t>
  </si>
  <si>
    <t xml:space="preserve">            1.6.3.1.53.0.0 - Serviços Ambulatoriais </t>
  </si>
  <si>
    <t xml:space="preserve">            1.6.3.1.99.0.0 - Outros Serviços de Atendimento à Saúde </t>
  </si>
  <si>
    <t xml:space="preserve">          1.6.3.2.00.0.0 - Serviços de Assistência à Saúde de Servidores Civis e 
          Militares </t>
  </si>
  <si>
    <t xml:space="preserve">            1.6.3.2.01.0.0 -Serviços de Assistência à Saúde Suplementar de 
            Servidores Civis </t>
  </si>
  <si>
    <t xml:space="preserve">            1.6.3.2.50.0.0 - Serviços de Assistência à Saúde Suplementar dos 
            Militares </t>
  </si>
  <si>
    <t xml:space="preserve">        1.6.4.0.00.0.0 - Serviços e Atividades Financeiras </t>
  </si>
  <si>
    <t xml:space="preserve">          1.6.4.1.00.0.0 - Serviços e Atividades Financeiras </t>
  </si>
  <si>
    <t xml:space="preserve">            1.6.4.1.01.0.0 - Retorno de Operações, Juros e Encargos Financeiros </t>
  </si>
  <si>
    <t xml:space="preserve">            1.6.4.1.02.0.0 - Concessão de Avais, Garantias e Seguros </t>
  </si>
  <si>
    <t xml:space="preserve">            1.6.4.1.03.0.0 - Remuneração sobre Repasse para Programas de 
            Desenvolvimento Econômico </t>
  </si>
  <si>
    <t xml:space="preserve">        1.6.9.0.00.0.0 - Outros Serviços </t>
  </si>
  <si>
    <t xml:space="preserve">      1.7.0.0.00.0.0 - Transferências Correntes </t>
  </si>
  <si>
    <t xml:space="preserve">        1.7.1.0.00.0.0 - Transferências da União e de suas Entidades </t>
  </si>
  <si>
    <t xml:space="preserve">          1.7.1.1.00.0.0 - Transferências Decorrentes de Participação na Receita 
          da União </t>
  </si>
  <si>
    <t xml:space="preserve">            1.7.1.1.50.0.0 - Cota-Parte do Fundo de Participação dos Estados e do 
            Distrito Federal - FPE </t>
  </si>
  <si>
    <t xml:space="preserve">            1.7.1.1.51.0.0 -Cota-Parte do Fundo de Participação dos Municípios - 
            FPM </t>
  </si>
  <si>
    <t xml:space="preserve">              1.7.1.1.51.1.0 - Cota-Parte do Fundo de Participação dos Municípios - 
              Cota Mensal </t>
  </si>
  <si>
    <t xml:space="preserve">              1.7.1.1.51.2.0 - Cota-Parte do Fundo de Participação dos Municípios - 
              Cotas Extraordinárias </t>
  </si>
  <si>
    <t xml:space="preserve">            1.7.1.1.52.0.0 - Cota-Parte do Imposto Sobre a Propriedade Territorial 
            Rural </t>
  </si>
  <si>
    <t xml:space="preserve">            1.7.1.1.53.0.0 - Cota-Parte do Imposto Sobre Produtos Industrializados 
            – Estados Exportadores de Produtos Industrializados </t>
  </si>
  <si>
    <t xml:space="preserve">            1.7.1.1.54.0.0 - Cota-Parte da Contribuição de Intervenção no Domínio 
            Econômico </t>
  </si>
  <si>
    <t xml:space="preserve">            1.7.1.1.55.0.0 - Cota-Parte do Imposto Sobre Operações de Crédito, 
            Câmbio e Seguro, ou Relativas a Títulos ou Valores Mobiliários – 
            Comercialização do Ouro </t>
  </si>
  <si>
    <t xml:space="preserve">            1.7.1.1.56.0.0 - Repasse da União para Foros, Laudêmios e Tarifas de 
            Ocupação </t>
  </si>
  <si>
    <t xml:space="preserve">            1.7.1.1.98.0.0 - Transferências Decorrentes de Participação em Outras 
            Receitas de Impostos da União </t>
  </si>
  <si>
    <t xml:space="preserve">          1.7.1.2.00.0.0 -Transferências das Compensações Financeiras pela 
          Exploração de Recursos Naturais </t>
  </si>
  <si>
    <t xml:space="preserve">            1.7.1.2.50.0.0 - Cota-parte da Compensação Financeira pela Exploração 
            de Recursos Hídricos </t>
  </si>
  <si>
    <t xml:space="preserve">            1.7.1.2.51.0.0 -Cota-parte da Compensação Financeira pela Exploração 
            de Recursos Minerais - CFEM </t>
  </si>
  <si>
    <t xml:space="preserve">            1.7.1.2.52.0.0 - Cota-parte da Compensação Financeira pela Produção de 
            Petróleo </t>
  </si>
  <si>
    <t xml:space="preserve">              1.7.1.2.52.1.0 - Cota-parte da Compensação Financeira pela Produção 
              de Petróleo – Lei nº 7.990/89 </t>
  </si>
  <si>
    <t xml:space="preserve">              1.7.1.2.52.2.0 - Cota-parte pelo Excedente da Produção do Petróleo – 
              Lei nº 9.478/97, artigo 49, I e II </t>
  </si>
  <si>
    <t xml:space="preserve">              1.7.1.2.52.3.0 - Cota-parte pela Participação Especial – Lei nº 
              9.478/97, artigo 50 </t>
  </si>
  <si>
    <t xml:space="preserve">              1.7.1.2.52.4.0 - Cota-Parte do Fundo Especial do Petróleo – FEP </t>
  </si>
  <si>
    <t xml:space="preserve">            1.7.1.2.53.0.0 - Cota-parte do bônus de assinatura de contrato de 
            partilha de produção </t>
  </si>
  <si>
    <t xml:space="preserve">            1.7.1.2.99.0.0 - Outras Transferências decorrentes de Compensação 
            Financeira pela Exploração de Recursos Naturais  </t>
  </si>
  <si>
    <t xml:space="preserve">          1.7.1.3.00.0.0 -Transferências de Recursos do Sistema Único de Saúde – 
          SUS  </t>
  </si>
  <si>
    <t xml:space="preserve">            1.7.1.3.50.0.0 - Transferências de Recursos do Sistema Único de Saúde 
            – SUS – Repasses Fundo a Fundo - Bloco de Manutenção das Ações e 
            Serviços Públicos de Saúde </t>
  </si>
  <si>
    <t xml:space="preserve">              1.7.1.3.50.1.0 - Transferências de Recursos do Bloco de Manutenção 
              das Ações e Serviços Públicos de Saúde – Atenção Primária </t>
  </si>
  <si>
    <t xml:space="preserve">              1.7.1.3.50.2.0 - Transferências de Recursos do Bloco de Manutenção 
              das Ações e Serviços Públicos de Saúde – Atenção Especializada </t>
  </si>
  <si>
    <t xml:space="preserve">              1.7.1.3.50.3.0 - Transferências de Recursos do Bloco de Manutenção 
              das Ações e Serviços Públicos de Saúde – Vigilância em Saúde </t>
  </si>
  <si>
    <t xml:space="preserve">              1.7.1.3.50.4.0 -Transferências de Recursos do Bloco de Manutenção das 
              Ações e Serviços Públicos de Saúde – Assistência Farmacêutica </t>
  </si>
  <si>
    <t xml:space="preserve">              1.7.1.3.50.5.0 - Transferências de Recursos do Bloco de Manutenção 
              das Ações e Serviços Públicos de Saúde – Gestão do SUS </t>
  </si>
  <si>
    <t xml:space="preserve">              1.7.1.3.50.9.0 - Transferências de Recursos do Bloco de Manutenção 
              das Ações e Serviços Públicos de Saúde – Outros Programas </t>
  </si>
  <si>
    <t xml:space="preserve">            1.7.1.3.51.0.0 - Transferências de Recursos do Sistema Único de Saúde 
            – SUS - Repasses Fundo a Fundo - Bloco de Estruturação da Rede de 
            Serviços Públicos de Saúde </t>
  </si>
  <si>
    <t xml:space="preserve">              1.7.1.3.51.1.0 - Transferências de Recursos do Bloco de Estruturação 
              da Rede de Serviços Públicos de Saúde - Atenção Primária </t>
  </si>
  <si>
    <t xml:space="preserve">              1.7.1.3.51.2.0 - Transferências de Recursos do Bloco de Estruturação 
              da Rede de Serviços Públicos de Saúde - Atenção Especializada </t>
  </si>
  <si>
    <t xml:space="preserve">              1.7.1.3.51.3.0 - Transferências de Recursos do Bloco de Estruturação 
              da Rede de Serviços Públicos de Saúde - Vigilância em Saúde </t>
  </si>
  <si>
    <t xml:space="preserve">              1.7.1.3.51.4.0 -Transferências de Recursos do Bloco de Estruturação 
              da Rede de Serviços Públicos de Saúde - Assistência Farmacêutica </t>
  </si>
  <si>
    <t xml:space="preserve">              1.7.1.3.51.5.0 - Transferências de Recursos do Bloco de Estruturação 
              da Rede de Serviços Públicos de Saúde - Gestão do SUS </t>
  </si>
  <si>
    <t xml:space="preserve">              1.7.1.3.51.9.0 - Transferências de Recursos do Bloco de Estruturação 
              da Rede de Serviços Públicos de Saúde - Outros Programas </t>
  </si>
  <si>
    <t xml:space="preserve">            1.7.1.3.99.0.0 - Outras Transferências de Recursos do Sistema Único de 
            Saúde - SUS </t>
  </si>
  <si>
    <t xml:space="preserve">          1.7.1.4.00.0.0 -Transferências de Recursos do Fundo Nacional do 
          Desenvolvimento da Educação – FNDE   </t>
  </si>
  <si>
    <t xml:space="preserve">            1.7.1.4.50.0.0 - Transferências do Salário-Educação </t>
  </si>
  <si>
    <t xml:space="preserve">            1.7.1.4.51.0.0 - Transferências Diretas do FNDE referentes ao Programa 
            Dinheiro Direto na Escola – PDDE </t>
  </si>
  <si>
    <t xml:space="preserve">            1.7.1.4.52.0.0 - Transferências referentes ao Programa Nacional de 
            Alimentação Escolar – PNAE </t>
  </si>
  <si>
    <t xml:space="preserve">            1.7.1.4.53.0.0 - Transferências referentes ao Programa Nacional de 
            Apoio ao Transporte do Escolar – PNATE </t>
  </si>
  <si>
    <t xml:space="preserve">            1.7.1.4.54.0.0 - Transferências referentes ao Programa Nacional de 
            Inclusão de Jovens - Projovem </t>
  </si>
  <si>
    <t xml:space="preserve">              1.7.1.4.54.1.0 - Transferências referentes ao Programa Nacional de 
              Inclusão de Jovens - Projovem Urbano </t>
  </si>
  <si>
    <t xml:space="preserve">              1.7.1.4.54.2.0 - Transferências referentes ao Programa Nacional de 
              Inclusão de Jovens - Projovem Campo </t>
  </si>
  <si>
    <t xml:space="preserve">            1.7.1.4.55.0.0 - Transferências referentes ao Programa Brasil 
            Alfabetizado - PBA </t>
  </si>
  <si>
    <t xml:space="preserve">            1.7.1.4.56.0.0 -Transferências referentes ao Programa de Apoio aos 
            Sistemas de Ensino para Atendimento à Educação de Jovens e Adultos - 
            PEJA </t>
  </si>
  <si>
    <t xml:space="preserve">            1.7.1.4.57.0.0 - Transferências referentes ao Programa Nacional de 
            Saúde do Escolar - PNSE </t>
  </si>
  <si>
    <t xml:space="preserve">            1.7.1.4.58.0.0 - Transferências referentes ao Programa de Apoio a 
            Aquisição de Equipamentos para a Rede Pública de Ensino Fundamental </t>
  </si>
  <si>
    <t xml:space="preserve">            1.7.1.4.59.0.0 - Transferências referentes ao Programa de Apoio à 
            Reestruturação da Rede Física Pública da Educação Básica  - 
            REESTFÍSICA </t>
  </si>
  <si>
    <t xml:space="preserve">            1.7.1.4.99.0.0 - Outras Transferências Diretas do Fundo Nacional do 
            Desenvolvimento da Educação - FNDE </t>
  </si>
  <si>
    <t xml:space="preserve">          1.7.1.5.00.0.0 - Transferências de Recursos de Complementação da União 
          ao Fundo de Manutenção e Desenvolvimento da Educação Básica e de 
          Valorização dos Profissionais da Educação – FUNDEB  </t>
  </si>
  <si>
    <t xml:space="preserve">          1.7.1.6.00.0.0 - Transferências de Recursos do Fundo Nacional de 
          Assistência Social – FNAS </t>
  </si>
  <si>
    <t xml:space="preserve">          1.7.1.7.00.0.0 - Transferências de Convênios da União e de Suas 
          Entidades </t>
  </si>
  <si>
    <t xml:space="preserve">            1.7.1.7.50.0.0 - Transferências de Convênios da União para o Sistema 
            Único de Saúde – SUS </t>
  </si>
  <si>
    <t xml:space="preserve">            1.7.1.7.51.0.0 - Transferências de Convênios da União Destinadas a 
            Programas de Educação </t>
  </si>
  <si>
    <t xml:space="preserve">            1.7.1.7.52.0.0 - Transferências de Convênios da União Destinadas a 
            Programas de Assistência Social </t>
  </si>
  <si>
    <t xml:space="preserve">            1.7.1.7.53.0.0 - Transferências de Convênios da União Destinadas a 
            Programas de Combate à Fome </t>
  </si>
  <si>
    <t xml:space="preserve">            1.7.1.7.54.0.0 - Transferências de Convênios da União Destinadas a 
            Programas de Saneamento Básico </t>
  </si>
  <si>
    <t xml:space="preserve">            1.7.1.7.99.0.0 - Outras Transferências de Convênios da União e de Suas 
            Entidades </t>
  </si>
  <si>
    <t xml:space="preserve">          1.7.1.9.00.0.0 - Outras Transferências de Recursos da União e de suas 
          Entidades </t>
  </si>
  <si>
    <t xml:space="preserve">            1.7.1.9.52.0.0 - Transferências da União a Consórcios Públicos </t>
  </si>
  <si>
    <t xml:space="preserve">            1.7.1.9.53.0.0 - Transferências de Recursos do Fundo Penitenciário 
            Nacional - FUNPEN </t>
  </si>
  <si>
    <t xml:space="preserve">            1.7.1.9.54.0.0 -Transferências de Recursos do Fundo Nacional de 
            Segurança Pública - FNSP </t>
  </si>
  <si>
    <t xml:space="preserve">            1.7.1.9.55.0.0 - Outras Transferências para Segurança Pública </t>
  </si>
  <si>
    <t xml:space="preserve">            1.7.1.9.56.0.0 - Transferências Decorrentes de Decisão Judicial 
            (precatórios) Relativas ao Fundo de Manutenção e Desenvolvimento do 
            Ensino Fundamental e de Valorização do Magistério – FUNDEF </t>
  </si>
  <si>
    <t xml:space="preserve">            1.7.1.9.57.0.0 - Transferência Especial da União </t>
  </si>
  <si>
    <t xml:space="preserve">            1.7.1.9.58.0.0 - Transferência Obrigatória Decorrente da Lei 
            Complementar nº 176/2020 </t>
  </si>
  <si>
    <t xml:space="preserve">            1.7.1.9.59.0.0 - Transferência de Recursos do Fundo de Amparo ao 
            Trabalhador - FAT </t>
  </si>
  <si>
    <t xml:space="preserve">            1.7.1.9.60.0.0 - Transferências da Política Nacional Aldir Blanc de 
            Fomento à Cultura - Lei nº 14.399/2022 </t>
  </si>
  <si>
    <t xml:space="preserve">            1.7.1.9.61.0.0 - Auxílio Financeiro - Outorga Crédito Tributário ICMS 
            - Art. 5º, Inciso V, EC nº 123/2022 </t>
  </si>
  <si>
    <t xml:space="preserve">            1.7.1.9.62.0.0 - Transferência da Compensação Financeira das Perdas 
            com Arrecadação de ICMS- Art. 3º, §4º, LC 194/2022 </t>
  </si>
  <si>
    <t xml:space="preserve">            1.7.1.9.63.0.0 - Transferência da Compensação Financeira das Perdas 
            com Arrecadação de ICMS referente à apropriação da parcela da CFEM 
            devida à União - Art. 3º, §5º, LC 194/2022 </t>
  </si>
  <si>
    <t xml:space="preserve">            1.7.1.9.99.0.0 - Outras Transferências de Recursos da União e de suas 
            Entidades </t>
  </si>
  <si>
    <t xml:space="preserve">        1.7.2.0.00.0.0 - Transferências dos Estados e do Distrito Federal e de 
        suas Entidades </t>
  </si>
  <si>
    <t xml:space="preserve">          1.7.2.1.00.0.0 - Participação na Receita dos Estados e Distrito Federal </t>
  </si>
  <si>
    <t xml:space="preserve">            1.7.2.1.50.0.0 - Cota-Parte do ICMS </t>
  </si>
  <si>
    <t xml:space="preserve">            1.7.2.1.51.0.0 - Cota-Parte do IPVA </t>
  </si>
  <si>
    <t xml:space="preserve">            1.7.2.1.52.0.0 - Cota-Parte do IPI - Municípios </t>
  </si>
  <si>
    <t xml:space="preserve">            1.7.2.1.53.0.0 - Cota-Parte da Contribuição de Intervenção no Domínio 
            Econômico </t>
  </si>
  <si>
    <t xml:space="preserve">            1.7.2.1.98.0.0 -Transferências Decorrentes de Participação em Outras 
            Receitas de Impostos dos Estados e do Distrito Federal </t>
  </si>
  <si>
    <t xml:space="preserve">          1.7.2.2.00.0.0 - Transferências das Compensações Financeiras pela 
          Exploração de Recursos Naturais </t>
  </si>
  <si>
    <t xml:space="preserve">            1.7.2.2.50.0.0 - Cota-parte da Compensação Financeira de Recursos 
            Hídricos </t>
  </si>
  <si>
    <t xml:space="preserve">            1.7.2.2.51.0.0 - Cota-parte da Compensação Financeira de Recursos 
            Minerais - CFEM </t>
  </si>
  <si>
    <t xml:space="preserve">            1.7.2.2.52.0.0 - Cota-parte Royalties – Compensação Financeira pela 
            Produção do Petróleo </t>
  </si>
  <si>
    <t xml:space="preserve">            1.7.2.2.53.0.0 - Outras Transferências Decorrentes de Compensações 
            Financeiras </t>
  </si>
  <si>
    <t xml:space="preserve">          1.7.2.3.00.0.0 - Transferências de Recursos do Sistema Único de Saúde – 
          SUS </t>
  </si>
  <si>
    <t xml:space="preserve">          1.7.2.4.00.0.0 - Transferências de Convênios dos Estados e DF e de Suas 
          Entidades </t>
  </si>
  <si>
    <t xml:space="preserve">            1.7.2.4.01.0.0 - Transferências de Convênios dos Estados e DF e de 
            Suas Entidades para Órgãos e Entidades da União </t>
  </si>
  <si>
    <t xml:space="preserve">            1.7.2.4.50.0.0 - Transferências de Convênios dos Estados e DF para o 
            Sistema Único de Saúde – SUS </t>
  </si>
  <si>
    <t xml:space="preserve">            1.7.2.4.51.0.0 -Transferências de Convênios dos Estados Destinadas a 
            Programas de Educação </t>
  </si>
  <si>
    <t xml:space="preserve">            1.7.2.4.99.0.0 - Outras Transferências de Convênios dos Estados e DF e 
            de Suas Entidades </t>
  </si>
  <si>
    <t xml:space="preserve">          1.7.2.9.00.0.0 - Outras Transferências dos Estados e Distrito Federal </t>
  </si>
  <si>
    <t xml:space="preserve">            1.7.2.9.50.0.0 - Transferências de Estados a Consórcios Públicos </t>
  </si>
  <si>
    <t xml:space="preserve">            1.7.2.9.51.0.0 - Transferências de Estados destinadas à Assistência 
            Social </t>
  </si>
  <si>
    <t xml:space="preserve">            1.7.2.9.52.0.0 - Transferências de Recursos Destinados a Programas de 
            Educação </t>
  </si>
  <si>
    <t xml:space="preserve">            1.7.2.9.53.0.0 - Cota-Parte da Transferência da Compensação Financeira 
            das Perdas com Arrecadação de ICMS - LC nº 194/2022 </t>
  </si>
  <si>
    <t xml:space="preserve">            1.7.2.9.99.0.0 - Outras Transferências dos Estados e DF </t>
  </si>
  <si>
    <t xml:space="preserve">        1.7.3.0.00.0.0 - Transferências dos Municípios e de suas Entidades </t>
  </si>
  <si>
    <t xml:space="preserve">          1.7.3.1.00.0.0 - Transferências de Recursos do Sistema Único de Saúde – 
          SUS </t>
  </si>
  <si>
    <t xml:space="preserve">            1.7.3.1.50.0.0 - Transferências de Recursos do Sistema Único de Saúde 
            – SUS </t>
  </si>
  <si>
    <t xml:space="preserve">          1.7.3.2.00.0.0 - Transferências de Convênios dos Municípios e de Suas 
          Entidades </t>
  </si>
  <si>
    <t xml:space="preserve">            1.7.3.2.01.0.0 - Transferências de Convênios dos Municípios e de Suas 
            Entidades para Órgãos e Entidades da União </t>
  </si>
  <si>
    <t xml:space="preserve">            1.7.3.2.50.0.0 - Transferências de Convênios dos Municípios para o 
            Sistema Único de Saúde – SUS </t>
  </si>
  <si>
    <t xml:space="preserve">            1.7.3.2.51.0.0 - Transferências de Convênios dos Municípios destinadas 
            a Programas de Educação </t>
  </si>
  <si>
    <t xml:space="preserve">            1.7.3.2.99.0.0 - Outras Transferências de Convênios dos Municípios e 
            de Suas Entidades </t>
  </si>
  <si>
    <t xml:space="preserve">          1.7.3.9.00.0.0 - Outras Transferências dos Municípios </t>
  </si>
  <si>
    <t xml:space="preserve">            1.7.3.9.50.0.0 - Transferências de Municípios a Consórcios Públicos </t>
  </si>
  <si>
    <t xml:space="preserve">            1.7.3.9.99.0.0 - Outras Transferências dos Municípios </t>
  </si>
  <si>
    <t xml:space="preserve">        1.7.4.0.00.0.0 - Transferências de Instituições Privadas </t>
  </si>
  <si>
    <t xml:space="preserve">          1.7.4.1.00.0.0 - Transferências de Instituições Privadas </t>
  </si>
  <si>
    <t xml:space="preserve">            1.7.4.1.01.0.0 - Transferências de Instituições Privadas para Órgãos e 
            Entidades da União </t>
  </si>
  <si>
    <t xml:space="preserve">            1.7.4.1.50.0.0 - Transferências de Convênios de Instituições Privadas 
            para Programas de Saúde </t>
  </si>
  <si>
    <t xml:space="preserve">            1.7.4.1.51.0.0 - Transferências de Convênios de Instituições Privadas 
            para Programas de Educação </t>
  </si>
  <si>
    <t xml:space="preserve">            1.7.4.1.99.0.0 - Outras Transferências de Instituições Privadas </t>
  </si>
  <si>
    <t xml:space="preserve">        1.7.5.0.00.0.0 - Transferências de Outras Instituições Públicas </t>
  </si>
  <si>
    <t xml:space="preserve">          1.7.5.1.00.0.0 - Transferências de Recursos do Fundo de Manutenção e 
          Desenvolvimento da Educação Básica e de Valorização dos Profissionais 
          da Educação - FUNDEB </t>
  </si>
  <si>
    <t xml:space="preserve">          1.7.5.9.00.0.0 - Demais Transferências de Outras Instituições Públicas </t>
  </si>
  <si>
    <t xml:space="preserve">        1.7.6.0.00.0.0 - Transferências do Exterior </t>
  </si>
  <si>
    <t xml:space="preserve">          1.7.6.1.00.0.0 - Transferências do Exterior </t>
  </si>
  <si>
    <t xml:space="preserve">            1.7.6.1.01.0.0 - Transferências do Exterior para Órgãos e Entidades da 
            União </t>
  </si>
  <si>
    <t xml:space="preserve">            1.7.6.1.50.0.0 - Transferências de Convênios do Exterior - Programas 
            de Saúde </t>
  </si>
  <si>
    <t xml:space="preserve">            1.7.6.1.51.0.0 - Transferências de Convênios do Exterior - Programas 
            de Educação </t>
  </si>
  <si>
    <t xml:space="preserve">            1.7.6.1.99.0.0 - Outras Transferências do Exterior </t>
  </si>
  <si>
    <t xml:space="preserve">        1.7.9.0.00.0.0 - Demais Transferências Correntes </t>
  </si>
  <si>
    <t xml:space="preserve">          1.7.9.1.00.0.0 - Transferências de Pessoas Físicas </t>
  </si>
  <si>
    <t xml:space="preserve">            1.7.9.1.01.0.0 - Transferências de Pessoas Físicas para Órgãos e 
            Entidades da União </t>
  </si>
  <si>
    <t xml:space="preserve">            1.7.9.1.50.0.0 - Transferências de Pessoas Físicas - Programas de 
            Saúde </t>
  </si>
  <si>
    <t xml:space="preserve">            1.7.9.1.51.0.0 - Transferências de Pessoas Físicas - - Programas de 
            Educação </t>
  </si>
  <si>
    <t xml:space="preserve">            1.7.9.1.99.0.0 - Outras Transferências de Pessoas Físicas </t>
  </si>
  <si>
    <t xml:space="preserve">          1.7.9.2.00.0.0 - Transferências Provenientes de Depósitos Não 
          Identificados </t>
  </si>
  <si>
    <t xml:space="preserve">          1.7.9.9.00.0.0 - Outras Transferências Correntes </t>
  </si>
  <si>
    <t xml:space="preserve">      1.9.0.0.00.0.0 - Outras Receitas Correntes </t>
  </si>
  <si>
    <t xml:space="preserve">        1.9.1.0.00.0.0 - Multas Administrativas, Contratuais e Judiciais </t>
  </si>
  <si>
    <t xml:space="preserve">          1.9.1.1.00.0.0 - Multas Administrativas, Contratuais e Judiciais </t>
  </si>
  <si>
    <t xml:space="preserve">            1.9.1.1.01.0.0 - Multas Previstas em Legislação Específica </t>
  </si>
  <si>
    <t xml:space="preserve">            1.9.1.1.02.0.0 - Multas Previstas na Lei Geral das Telecomunicações </t>
  </si>
  <si>
    <t xml:space="preserve">            1.9.1.1.03.0.0 - Multas Previstas na Legislação do Seguro-Desemprego e 
            Abono Salarial </t>
  </si>
  <si>
    <t xml:space="preserve">            1.9.1.1.04.0.0 - Multas Previstas na Legislação sobre Defesa dos 
            Direitos Difusos </t>
  </si>
  <si>
    <t xml:space="preserve">            1.9.1.1.05.0.0 - Multas Previstas em Lei por Infrações no Setor de 
            Energia Elétrica </t>
  </si>
  <si>
    <t xml:space="preserve">            1.9.1.1.06.0.0 - Multas por Danos Ambientais </t>
  </si>
  <si>
    <t xml:space="preserve">              1.9.1.1.06.1.0 - Multas Administrativas por Danos Ambientais </t>
  </si>
  <si>
    <t xml:space="preserve">              1.9.1.1.06.2.0 - Multas Judiciais por Danos Ambientais </t>
  </si>
  <si>
    <t xml:space="preserve">            1.9.1.1.07.0.0 - Multas Aplicadas pelos Tribunais de Contas </t>
  </si>
  <si>
    <t xml:space="preserve">            1.9.1.1.08.0.0 - Multas Decorrentes de Sentenças Judiciais </t>
  </si>
  <si>
    <t xml:space="preserve">            1.9.1.1.09.0.0 - Multas e Juros Previstos em Contratos </t>
  </si>
  <si>
    <t xml:space="preserve">            1.9.1.1.10.0.0 - Multas Previstas na Legislação sobre Regime de 
            Previdência Privada Complementar </t>
  </si>
  <si>
    <t xml:space="preserve">            1.9.1.1.11.0.0 - Multa por Descumprimento de Obrigação Previdenciária 
            Acessória </t>
  </si>
  <si>
    <t xml:space="preserve">            1.9.1.1.12.0.0 - Multas Previstas na Legislação Antidrogas </t>
  </si>
  <si>
    <t xml:space="preserve">            1.9.1.1.13.0.0 - Multas Previstas na Legislação Anticorrupção. </t>
  </si>
  <si>
    <t xml:space="preserve">              1.9.1.1.13.1.0 - Multas da Legislação Anticorrupção Oriundas de 
              Processos Administrativos de Responsabilização. </t>
  </si>
  <si>
    <t xml:space="preserve">              1.9.1.1.13.2.0 - Multas da Legislação Anticorrupção Oriundas de 
              Acordos de Leniência </t>
  </si>
  <si>
    <t xml:space="preserve">            1.9.1.1.14.0.0 - Multas Previstas no Código de Trânsito Brasileiro - 
            CTB </t>
  </si>
  <si>
    <t xml:space="preserve">            1.9.1.1.15.0.0 - Multas Auferidas pela União junto a Operadoras 
            Ferroviárias </t>
  </si>
  <si>
    <t xml:space="preserve">        1.9.2.0.00.0.0 - Indenizações, Restituições e Ressarcimentos </t>
  </si>
  <si>
    <t xml:space="preserve">          1.9.2.1.00.0.0 - Indenizações </t>
  </si>
  <si>
    <t xml:space="preserve">            1.9.2.1.01.0.0 - Indenizações por Danos Causados ao Patrimônio Público </t>
  </si>
  <si>
    <t xml:space="preserve">            1.9.2.1.02.0.0 - Indenização por Posse ou Ocupação Ilícita de Bens 
            Públicos </t>
  </si>
  <si>
    <t xml:space="preserve">            1.9.2.1.03.0.0 - Indenização por Sinistro </t>
  </si>
  <si>
    <t xml:space="preserve">            1.9.2.1.04.0.0 - Indenização pela Assistência Médico-Hospitalar </t>
  </si>
  <si>
    <t xml:space="preserve">            1.9.2.1.05.0.0 - Indenizações por Desastre Oriundas de Acordos 
            Judiciais ou Extrajudiciais </t>
  </si>
  <si>
    <t xml:space="preserve">            1.9.2.1.06.0.0 - Indenizações Auferidas pela União Junto a Operadoras 
            Ferroviárias </t>
  </si>
  <si>
    <t xml:space="preserve">            1.9.2.1.99.0.0 - Outras Indenizações </t>
  </si>
  <si>
    <t xml:space="preserve">          1.9.2.2.00.0.0 - Restituições </t>
  </si>
  <si>
    <t xml:space="preserve">            1.9.2.2.01.0.0 - Restituição de Convênios </t>
  </si>
  <si>
    <t xml:space="preserve">              1.9.2.2.01.1.0 - Restituição de Convênios - Primárias </t>
  </si>
  <si>
    <t xml:space="preserve">              1.9.2.2.01.2.0 - Restituição de Convênios - Financeiras </t>
  </si>
  <si>
    <t xml:space="preserve">            1.9.2.2.02.0.0 - Restituição de Benefícios Não Desembolsados </t>
  </si>
  <si>
    <t xml:space="preserve">            1.9.2.2.03.0.0 - Restituição de Benefícios Previdenciários </t>
  </si>
  <si>
    <t xml:space="preserve">            1.9.2.2.04.0.0 - Restituição de Benefícios Assistenciais </t>
  </si>
  <si>
    <t xml:space="preserve">            1.9.2.2.05.0.0 - Restituição de Contribuições Previdenciárias 
            Complementares </t>
  </si>
  <si>
    <t xml:space="preserve">            1.9.2.2.06.0.0 - Restituição de Despesas de Exercícios Anteriores </t>
  </si>
  <si>
    <t xml:space="preserve">              1.9.2.2.06.1.0 - Restituição de Despesas de Exercícios Anteriores </t>
  </si>
  <si>
    <t xml:space="preserve">              1.9.2.2.06.3.0 - Restituição de Despesas Primárias de Exercícios 
              Anteriores </t>
  </si>
  <si>
    <t xml:space="preserve">              1.9.2.2.06.4.0 - Restituição de Despesas Financeiras de Exercícios 
              Anteriores </t>
  </si>
  <si>
    <t xml:space="preserve">            1.9.2.2.07.0.0 - Restituição de Parcelas do Seguro Desemprego 
            Recebidas Indevidamente </t>
  </si>
  <si>
    <t xml:space="preserve">            1.9.2.2.08.0.0 - Restituição de Garantias Prestadas </t>
  </si>
  <si>
    <t xml:space="preserve">            1.9.2.2.09.0.0 - Restituição de Recursos de Fomento e de Subvenções 
            Financeiras </t>
  </si>
  <si>
    <t xml:space="preserve">            1.9.2.2.10.0.0 - Restituição Decorrente da Não Aplicação de Incentivos 
            Fiscais </t>
  </si>
  <si>
    <t xml:space="preserve">              1.9.2.2.10.1.0 - Restituição Decorrente da Não Aplicação de 
              Incentivos Fiscais Relativos à Lei Rouanet </t>
  </si>
  <si>
    <t xml:space="preserve">              1.9.2.2.10.2.0 - Restituição Decorrente da Não Aplicação de 
              Incentivos Fiscais Relativos à Lei do Audiovisual </t>
  </si>
  <si>
    <t xml:space="preserve">            1.9.2.2.11.0.0 - Restituição Decorrente da Aplicação Irregular de 
            Recursos Eleitorais </t>
  </si>
  <si>
    <t xml:space="preserve">            1.9.2.2.12.0.0 - Restituição de Depósitos de Setenças Judiciais não 
            Sacados </t>
  </si>
  <si>
    <t xml:space="preserve">            1.9.2.2.13.0.0 - Restituição de Contribuições para a Previdência 
            Complementar do Servidor Público </t>
  </si>
  <si>
    <t xml:space="preserve">            1.9.2.2.14.0.0 - Restituição de Recursos Transferidos </t>
  </si>
  <si>
    <t xml:space="preserve">            1.9.2.2.50.0.0 - Restituição de Recursos Recebidos do SUS </t>
  </si>
  <si>
    <t xml:space="preserve">            1.9.2.2.51.0.0 - Restituição de Recursos do FUNDEB </t>
  </si>
  <si>
    <t xml:space="preserve">            1.9.2.2.99.0.0 - Outras Restituições </t>
  </si>
  <si>
    <t xml:space="preserve">          1.9.2.3.00.0.0 - Ressarcimentos </t>
  </si>
  <si>
    <t xml:space="preserve">            1.9.2.3.01.0.0 - Ressarcimento por Operadoras de Seguros Privados de 
            Assistência a Saúde </t>
  </si>
  <si>
    <t xml:space="preserve">            1.9.2.3.02.0.0 - Ressarcimento de Custos </t>
  </si>
  <si>
    <t xml:space="preserve">            1.9.2.3.03.0.0 - Reversão de Garantias </t>
  </si>
  <si>
    <t xml:space="preserve">            1.9.2.3.04.0.0 - Ressarcimento ao Regime Geral de Previdência Social - 
            RGPS </t>
  </si>
  <si>
    <t xml:space="preserve">            1.9.2.3.05.0.0 - Ressarcimento por Danos Causados por Usurpação de 
            Recursos Minerais por Lavra Ilegal </t>
  </si>
  <si>
    <t xml:space="preserve">            1.9.2.3.99.0.0 - Outros Ressarcimentos </t>
  </si>
  <si>
    <t xml:space="preserve">        1.9.3.0.00.0.0 - Bens, Direitos e Valores Incorporados ao Patrimônio 
        Público </t>
  </si>
  <si>
    <t xml:space="preserve">          1.9.3.1.00.0.0 - Bens, Direitos e Valores Incorporados ao Patrimônio 
          Público </t>
  </si>
  <si>
    <t xml:space="preserve">            1.9.3.1.01.0.0 - Bens, Direitos e Valores Perdidos em Favor do Poder 
            Público em Crimes Comuns </t>
  </si>
  <si>
    <t xml:space="preserve">            1.9.3.1.02.0.0 - Apreensão de Bens, Mercadorias e Moedas por Infrações 
            à Legislação Aduaneira </t>
  </si>
  <si>
    <t xml:space="preserve">              1.9.3.1.02.1.0 - Alienação de Bens e Mercadorias Apreendidos por 
              Infrações à Legislação Aduaneira </t>
  </si>
  <si>
    <t xml:space="preserve">              1.9.3.1.02.2.0 - Valores em Moeda Apreendidos por Infrações à 
              Legislação Aduaneira </t>
  </si>
  <si>
    <t xml:space="preserve">            1.9.3.1.03.0.0 - Depósitos Abandonados (Dinheiro e/ou Objetos de 
            Valor) </t>
  </si>
  <si>
    <t xml:space="preserve">            1.9.3.1.04.0.0 - Prêmios Prescritos de Concursos de Prognósticos </t>
  </si>
  <si>
    <t xml:space="preserve">            1.9.3.1.05.0.0 - Receitas Reconhecidas por Força de Decisões Judiciais 
            e de Tribunais Administrativos </t>
  </si>
  <si>
    <t xml:space="preserve">            1.9.3.1.06.0.0 - Bens, Direitos e Valores Objeto de Renúncia 
            Voluntária em Acordo de Não Persecução Penal </t>
  </si>
  <si>
    <t xml:space="preserve">            1.9.3.1.07.0.0 - Bens, Direitos e Valores Perdidos em Favor da União 
            em Crimes de "Lavagem" ou Ocultação de Bens, Direitos e Valores </t>
  </si>
  <si>
    <t xml:space="preserve">            1.9.3.1.08.0.0 - Bens, Direitos e Valores Perdidos em Favor do Poder 
            Público em Crimes Associados ao Tráfico Ilícito de Entorpecentes ou 
            Drogas Afins </t>
  </si>
  <si>
    <t xml:space="preserve">            1.9.3.1.09.0.0 - Recursos dos Patrimônios Acumulados do PIS/PASEP não 
            Reclamados por Prazo Superior a 20 anos </t>
  </si>
  <si>
    <t xml:space="preserve">            1.9.3.1.10.0.0 - Prêmios Prescritos de Loteria de Apostas de Quota 
            Fixa </t>
  </si>
  <si>
    <t xml:space="preserve">            1.9.3.1.99.0.0 - Bens, Direitos e Valores Perdidos em Favor do Poder 
            Público por Demais Infrações ou Crimes Previstos em Legislação 
            Especial </t>
  </si>
  <si>
    <t xml:space="preserve">        1.9.4.0.00.0.0 - Multas e Juros de Mora das Receitas de Capital </t>
  </si>
  <si>
    <t xml:space="preserve">          1.9.4.1.00.0.0 - Multas e Juros de Mora das Alienações de Bens Móveis </t>
  </si>
  <si>
    <t xml:space="preserve">            1.9.4.1.01.0.0 - Multas e Juros de Mora de Títulos Mobiliários </t>
  </si>
  <si>
    <t xml:space="preserve">            1.9.4.1.02.0.0 - Multas e Juros de Mora de Alienação de Estoques </t>
  </si>
  <si>
    <t xml:space="preserve">              1.9.4.1.02.1.0 - Multas e Juros de Mora de Alienação de Estoques - 
              Política de Garantia de Preços Mínimos </t>
  </si>
  <si>
    <t xml:space="preserve">              1.9.4.1.02.2.0 - Multas e Juros de Mora de Alienação de Estoques - 
              Destinados a Programas Sociais </t>
  </si>
  <si>
    <t xml:space="preserve">              1.9.4.1.02.3.0 - Multas e Juros de Mora de Alienação de Estoques - 
              Programa de Aquisição de Alimentos </t>
  </si>
  <si>
    <t xml:space="preserve">              1.9.4.1.02.4.0 - Multas e Juros de Mora de Alienação de Estoques - 
              Funcafé </t>
  </si>
  <si>
    <t xml:space="preserve">            1.9.4.1.03.0.0 - Multas e Juros de Mora de Alienação de Bens Móveis e 
            Semoventes </t>
  </si>
  <si>
    <t xml:space="preserve">            1.9.4.1.99.0.0 - Outras Multas e Juros de Mora de Alienações de Bens 
            Móveis </t>
  </si>
  <si>
    <t xml:space="preserve">          1.9.4.2.00.0.0 - Multas e Juros de Mora das Alienações de Bens Imóveis </t>
  </si>
  <si>
    <t xml:space="preserve">            1.9.4.2.01.0.0 - Multas e Juros de Mora das Alienações de Bens Imóveis 
            em Geral </t>
  </si>
  <si>
    <t xml:space="preserve">            1.9.4.2.02.0.0 - Multas e Juros de Mora das Alienações de Bens Imóveis 
            - Programa de Administração Patrimonial Imobiliária </t>
  </si>
  <si>
    <t xml:space="preserve">            1.9.4.2.03.0.0 - Multas e Juros de Mora do Adicional sobre Alienações 
            de Bens Imóveis </t>
  </si>
  <si>
    <t xml:space="preserve">            1.9.4.2.99.0.0 - Outras Multas e Juros de Mora de Alienações de Bens 
            Imóveis </t>
  </si>
  <si>
    <t xml:space="preserve">          1.9.4.3.00.0.0 - Multas e Juros de Mora das Alienações de Bens 
          Intangíveis </t>
  </si>
  <si>
    <t xml:space="preserve">            1.9.4.3.01.0.0 - Multas e Juros da Alienação de Bens Intangíveis </t>
  </si>
  <si>
    <t xml:space="preserve">          1.9.4.4.00.0.0 - Multas e Juros de Mora das Amortizações de Empréstimos </t>
  </si>
  <si>
    <t xml:space="preserve">            1.9.4.4.01.0.0 - Multas e Juros de Amortização de Empréstimos - 
            BEA/BIB </t>
  </si>
  <si>
    <t xml:space="preserve">            1.9.4.4.02.0.0 - Multas e Juros de Mora de Amortização Proveniente da 
            Execução de Garantia - Operações de Crédito </t>
  </si>
  <si>
    <t xml:space="preserve">            1.9.4.4.03.0.0- Multas e Juros de Mora de Amortização de Empréstimos - 
            Estados e Municípios </t>
  </si>
  <si>
    <t xml:space="preserve">            1.9.4.4.04.0.0 - Multas e Juros de Mora de Amortização de Empréstimos 
            - Refinanciamento de Dívidas de Médio e Longo Prazo </t>
  </si>
  <si>
    <t xml:space="preserve">            1.9.4.4.05.0.0 - Multas e Juros de Mora de Amortização de Empréstimos 
            - Programa das Operações Oficiais de Crédito </t>
  </si>
  <si>
    <t xml:space="preserve">            1.9.4.4.06.0.0 - Multas e Juros de Mora de Amortização de Empréstimos 
            Contratuais </t>
  </si>
  <si>
    <t xml:space="preserve">            1.9.4.4.07.0.0 - Multas e Juros de Mora de Amortização de 
            Financiamentos </t>
  </si>
  <si>
    <t xml:space="preserve">              1.9.4.4.07.1.0 - Multas e Juros de Mora de Amortização de 
              Financiamentos em Geral </t>
  </si>
  <si>
    <t xml:space="preserve">              1.9.4.4.07.2.0 - Multas e Juros de Mora de Amortização de 
              Financiamento do Fundo de Financiamento ao Estudante do Ensino 
              Superior - FIES </t>
  </si>
  <si>
    <t xml:space="preserve">              1.9.4.4.07.3.0 - Multas e Juros de Mora de Amortização de 
              Financiamento Proveniente de Fundo Garantidor </t>
  </si>
  <si>
    <t xml:space="preserve">          1.9.4.9.00.0.0 - Multas e Juros de Mora de Outras Receitas de Capital </t>
  </si>
  <si>
    <t xml:space="preserve">            1.9.4.9.99.0.0 - Multas e Juros de Outras Receitas de Capital </t>
  </si>
  <si>
    <t xml:space="preserve">        1.9.9.0.00.0.0 - Demais Receitas Correntes </t>
  </si>
  <si>
    <t xml:space="preserve">          1.9.9.9.00.0.0 - Outras Receitas Correntes </t>
  </si>
  <si>
    <t xml:space="preserve">            1.9.9.9.01.0.0 - Aportes Periódicos para Amortização de Déficit 
            Atuarial do Regimes Próprios de Previdência e Sistema de Proteção 
            Social </t>
  </si>
  <si>
    <t xml:space="preserve">            1.9.9.9.02.0.0 - Aportes Periódicos para Compensações ao RGPS </t>
  </si>
  <si>
    <t xml:space="preserve">            1.9.9.9.03.0.0 - Compensações Financeiras entre os Regimes de 
            Previdência </t>
  </si>
  <si>
    <t xml:space="preserve">            1.9.9.9.04.0.0 - Contribuição ao Montepio Civil </t>
  </si>
  <si>
    <t xml:space="preserve">            1.9.9.9.05.0.0 - Barreiras Técnicas ao Comércio Exterior </t>
  </si>
  <si>
    <t xml:space="preserve">            1.9.9.9.06.0.0 - Contrapartida de Subvenções ou Subsídios </t>
  </si>
  <si>
    <t xml:space="preserve">            1.9.9.9.07.0.0 - Disponibilidades de Recursos do Fundo Social </t>
  </si>
  <si>
    <t xml:space="preserve">            1.9.9.9.08.0.0 - Receitas do Seguro Obrigatório de Danos Pessoais 
            causados por Veículos Automotores de Via Terrestre - DPVAT </t>
  </si>
  <si>
    <t xml:space="preserve">              1.9.9.9.08.1.0 Prêmio do Seguro Obrigatório de Danos Pessoais 
              Causados por Veículos Automotores de Via Terrestre - DPVAT </t>
  </si>
  <si>
    <t xml:space="preserve">              1.9.9.9.08.2.0 - Reversão da Provisão de Sinistros Ocorridos e Não 
              Avisados - IBNR do Seguro Obrigatório de Danos Pessoais Causados por 
              Veículos Automotores de Vias Terrestres - DPVAT </t>
  </si>
  <si>
    <t xml:space="preserve">            1.9.9.9.09.0.0 - Prestação de Contas Eleitorais </t>
  </si>
  <si>
    <t xml:space="preserve">            1.9.9.9.10.0.0 - Reserva Global de Reversão </t>
  </si>
  <si>
    <t xml:space="preserve">            1.9.9.9.11.0.0 - Variação Cambial </t>
  </si>
  <si>
    <t xml:space="preserve">            1.9.9.9.12.0.0 - Encargos Legais pela Inscrição em Dívida Ativa e 
            Receitas de Ônus de Sucumbência </t>
  </si>
  <si>
    <t xml:space="preserve">              1.9.9.9.12.1.0 - Encargos Legais pela Inscrição em Dívida Ativa </t>
  </si>
  <si>
    <t xml:space="preserve">              1.9.9.9.12.2.0 - Ônus de Sucumbência </t>
  </si>
  <si>
    <t xml:space="preserve">            1.9.9.9.13.0.0 - Recursos Recebidos de Órgãos, Entidades ou Fundos, 
            por Força de Determinação Constitucional ou Legal </t>
  </si>
  <si>
    <t xml:space="preserve">            1.9.9.9.15.0.0 - Transação Resolutiva de Litígios de Receitas Não 
            Administradas pela RFB </t>
  </si>
  <si>
    <t xml:space="preserve">            1.9.9.9.16.0.0 - Títulos Executivos Extrajudiciais </t>
  </si>
  <si>
    <t xml:space="preserve">            1.9.9.9.17.0.0 - Alienação de Estoques da Política de Garantia de 
            Preços Mínimos - PGPM </t>
  </si>
  <si>
    <t xml:space="preserve">            1.9.9.9.18.0.0 - Demais Créditos Decorrentes da Revisão de Contratos 
            de Concessão </t>
  </si>
  <si>
    <t xml:space="preserve">            1.9.9.9.19.0.0 - Receitas de Subvenções </t>
  </si>
  <si>
    <t xml:space="preserve">            1.9.9.9.20.0.0 - Retribuição pela Tributação, Fiscalização, 
            Arrecadação, Cobrança e Recolhimento das Contribuições Sociais de 
            Terceiros </t>
  </si>
  <si>
    <t xml:space="preserve">            1.9.9.9.21.0.0 - Resultado Positivo das Operações de Comercialização 
            de Energia no Âmbito da CCEE </t>
  </si>
  <si>
    <t xml:space="preserve">            1.9.9.9.22.0.0 - Valores não Tributários Auferidos pela União Junto a 
            Operadoras Ferroviárias </t>
  </si>
  <si>
    <t xml:space="preserve">            1.9.9.9.99.0.0 - Outras Receitas </t>
  </si>
  <si>
    <t xml:space="preserve">              1.9.9.9.99.1.0 - Outras Receitas Administradas pela RFB </t>
  </si>
  <si>
    <t xml:space="preserve">              1.9.9.9.99.2.0 - Outras Receitas Não Arrecadadas e Não Projetadas 
              pela RFB - Primárias </t>
  </si>
  <si>
    <t xml:space="preserve">              1.9.9.9.99.3.0 - Outras Receitas Não Arrecadadas e Não Projetadas 
              pela RFB - Financeiras </t>
  </si>
  <si>
    <t xml:space="preserve">    2.0.0.0.00.0.0 - Receitas de Capital </t>
  </si>
  <si>
    <t xml:space="preserve">      2.1.0.0.00.0.0 - Operações de Crédito </t>
  </si>
  <si>
    <t xml:space="preserve">        2.1.1.0.00.0.0 - Operações de Crédito - Mercado Interno </t>
  </si>
  <si>
    <t xml:space="preserve">          2.1.1.1.00.0.0 - Títulos de Responsabilidade do Tesouro Nacional - 
          Mercado Interno </t>
  </si>
  <si>
    <t xml:space="preserve">            2.1.1.1.01.0.0 - Títulos de Responsabilidade do Tesouro Nacional - 
            Mercado Interno, Exceto Refinanciamento da Dívida Pública </t>
  </si>
  <si>
    <t xml:space="preserve">            2.1.1.1.02.0.0 - Títulos de Responsabilidade do Tesouro Nacional - 
            Refinanciamento da Dívida Pública Federal no Mercado Interno </t>
  </si>
  <si>
    <t xml:space="preserve">            2.1.1.1.03.0.0 - Títulos da Dívida Agrária - TDA </t>
  </si>
  <si>
    <t xml:space="preserve">          2.1.1.2.00.0.0 - Operações de Crédito Contratuais - Mercado Interno </t>
  </si>
  <si>
    <t xml:space="preserve">            2.1.1.2.01.0.0 - Operações de Crédito Contratuais - Mercado Interno </t>
  </si>
  <si>
    <t xml:space="preserve">            2.1.1.2.50.0.0 - Operações de Crédito Internas para Programas de 
            Educação </t>
  </si>
  <si>
    <t xml:space="preserve">            2.1.1.2.51.0.0 - Operações de Crédito Internas para Programas de Saúde </t>
  </si>
  <si>
    <t xml:space="preserve">            2.1.1.2.52.0.0 - Operações de Crédito Internas para Programas de 
            Saneamento </t>
  </si>
  <si>
    <t xml:space="preserve">            2.1.1.2.53.0.0 - Operações de Crédito Internas para Programas de Meio 
            Ambiente </t>
  </si>
  <si>
    <t xml:space="preserve">            2.1.1.2.54.0.0 - Operações de Crédito Internas para Programas de 
            Modernização da Administração Pública </t>
  </si>
  <si>
    <t xml:space="preserve">            2.1.1.2.55.0.0 - Operações de Crédito Internas para Refinanciamento da 
            Dívida Contratual </t>
  </si>
  <si>
    <t xml:space="preserve">            2.1.1.2.56.0.0 - Operações de Crédito Internas para Programas de 
            Moradia Popular </t>
  </si>
  <si>
    <t xml:space="preserve">          2.1.1.3.00.0.0 - Empréstimos Compulsórios </t>
  </si>
  <si>
    <t xml:space="preserve">          2.1.1.9.00.0.0 - Outras Operações de Crédito - Mercado Interno </t>
  </si>
  <si>
    <t xml:space="preserve">        2.1.2.0.00.0.0 - Operações de Crédito - Mercado Externo </t>
  </si>
  <si>
    <t xml:space="preserve">          2.1.2.1.00.0.0 - Títulos de Responsabilidade do Tesouro Nacional - 
          Mercado Externo </t>
  </si>
  <si>
    <t xml:space="preserve">            2.1.2.1.01.0.0 - Títulos de Responsabilidade do Tesouro Nacional - 
            Exceto Refinanciamento da Dívida Pública Federal no Mercado Externo </t>
  </si>
  <si>
    <t xml:space="preserve">            2.1.2.1.02.0.0 - Títulos de Responsabilidade do Tesouro Nacional - 
            Refinanciamento da Dívida Pública Federal no Mercado Externo </t>
  </si>
  <si>
    <t xml:space="preserve">          2.1.2.2.00.0.0 - Operações de Crédito Contratuais - Mercado Externo </t>
  </si>
  <si>
    <t xml:space="preserve">            2.1.2.2.01.0.0 - Operações de Crédito Contratuais - Mercado Externo </t>
  </si>
  <si>
    <t xml:space="preserve">            2.1.2.2.50.0.0 - Operações de Crédito Externas para Programas de 
            Educação </t>
  </si>
  <si>
    <t xml:space="preserve">            2.1.2.2.51.0.0 - Operações de Crédito Externas para Programas de Saúde </t>
  </si>
  <si>
    <t xml:space="preserve">            2.1.2.2.52.0.0 - Operações de Crédito Externas para Programas de 
            Saneamento </t>
  </si>
  <si>
    <t xml:space="preserve">            2.1.2.2.53.0.0 - Operações de Crédito Externas para Programas de Meio 
            Ambiente </t>
  </si>
  <si>
    <t xml:space="preserve">            2.1.2.2.54.0.0 - Operações de Crédito Externas para Programas de 
            Modernização da Administração Pública </t>
  </si>
  <si>
    <t xml:space="preserve">            2.1.2.2.55.0.0 - Operações de Crédito Externas para Refinanciamento da 
            Dívida Contratual </t>
  </si>
  <si>
    <t xml:space="preserve">          2.1.2.9.00.0.0 - Outras Operações de Crédito - Mercado Externo </t>
  </si>
  <si>
    <t xml:space="preserve">      2.2.0.0.00.0.0 - Alienação de Bens </t>
  </si>
  <si>
    <t xml:space="preserve">        2.2.1.0.00.0.0 - Alienação de Bens Móveis </t>
  </si>
  <si>
    <t xml:space="preserve">          2.2.1.1.00.0.0 - Alienação de Títulos, Valores Mobiliários e Aplicações 
          Congêneres </t>
  </si>
  <si>
    <t xml:space="preserve">          2.2.1.2.00.0.0 - Alienação de Estoques </t>
  </si>
  <si>
    <t xml:space="preserve">            2.2.1.2.01.0.0 - Alienação de Estoques da Política de Garantia de 
            Preços Mínimos - PGPM </t>
  </si>
  <si>
    <t xml:space="preserve">            2.2.1.2.02.0.0 - Alienação de Estoques Comerciais Destinados a 
            Programas Sociais </t>
  </si>
  <si>
    <t xml:space="preserve">            2.2.1.2.03.0.0 - Alienação de Estoques do Programa de Aquisição de 
            Alimentos - PAA </t>
  </si>
  <si>
    <t xml:space="preserve">            2.2.1.2.04.0.0 - Alienação de Estoques de Café - FUNCAFÉ </t>
  </si>
  <si>
    <t xml:space="preserve">          2.2.1.3.00.0.0 - Alienação de Bens Móveis e Semoventes </t>
  </si>
  <si>
    <t xml:space="preserve">        2.2.2.0.00.0.0 - Alienação de Bens Imóveis </t>
  </si>
  <si>
    <t xml:space="preserve">        2.2.3.0.00.0.0 - Alienação de Bens Intangíveis </t>
  </si>
  <si>
    <t xml:space="preserve">      2.3.0.0.00.0.0 - Amortização de Empréstimos </t>
  </si>
  <si>
    <t xml:space="preserve">        2.3.1.0.00.0.0 - Amortização de Empréstimos </t>
  </si>
  <si>
    <t xml:space="preserve">          2.3.1.1.00.0.0 - Amortização de Empréstimos </t>
  </si>
  <si>
    <t xml:space="preserve">            2.3.1.1.01.0.0 - Amortização de Empréstimos - BEA/BIB </t>
  </si>
  <si>
    <t xml:space="preserve">            2.3.1.1.02.0.0 - Amortização Proveniente da Execução de Garantia - 
            Operações de Crédito </t>
  </si>
  <si>
    <t xml:space="preserve">            2.3.1.1.03.0.0 - Amortização de Empréstimos - Estados e Municípios </t>
  </si>
  <si>
    <t xml:space="preserve">            2.3.1.1.04.0.0 - Amortização de Empréstimos - Refinanciamento de 
            Dívidas de Médio e Longo Prazo </t>
  </si>
  <si>
    <t xml:space="preserve">            2.3.1.1.05.0.0 - Amortização de Empréstimos - Programa das Operações 
            Oficiais de Crédito </t>
  </si>
  <si>
    <t xml:space="preserve">            2.3.1.1.06.0.0 - Amortização de Empréstimos Contratuais </t>
  </si>
  <si>
    <t xml:space="preserve">            2.3.1.1.07.0.0 - Amortização de Financiamentos </t>
  </si>
  <si>
    <t xml:space="preserve">      2.4.0.0.00.0.0 - Transferências de Capital </t>
  </si>
  <si>
    <t xml:space="preserve">        2.4.1.0.00.0.0 - Transferências da União e de suas Entidades </t>
  </si>
  <si>
    <t xml:space="preserve">          2.4.1.1.00.0.0 - Transferências de Recursos do Sistema Único de Saúde - 
          SUS </t>
  </si>
  <si>
    <t xml:space="preserve">            2.4.1.1.50.0.0 - Transferências de Recursos do Sistema Único de Saúde 
            – SUS – Fundo a Fundo - Bloco de Manutenção das Ações e Serviços 
            Públicos de Saúde </t>
  </si>
  <si>
    <t xml:space="preserve">              2.4.1.1.50.1.0 - Transferências de Recursos do Bloco de Manutenção 
              das Ações e Serviços Públicos de Saúde – Atenção Primária </t>
  </si>
  <si>
    <t xml:space="preserve">              2.4.1.1.50.2.0 - Transferências de Recursos do Bloco de Manutenção 
              das Ações e Serviços Públicos de Saúde – Atenção Especializada </t>
  </si>
  <si>
    <t xml:space="preserve">              2.4.1.1.50.3.0 - Transferências de Recursos do Bloco de Manutenção 
              das Ações e Serviços Públicos de Saúde – Vigilância em Saúde </t>
  </si>
  <si>
    <t xml:space="preserve">              2.4.1.1.50.4.0 - Transferências de Recursos do Bloco de Manutenção 
              das Ações e Serviços Públicos de Saúde – Assistência Farmacêutica </t>
  </si>
  <si>
    <t xml:space="preserve">              2.4.1.1.50.5.0 - Transferências de Recursos do Bloco de Manutenção 
              das Ações e Serviços Públicos de Saúde – Gestão do SUS </t>
  </si>
  <si>
    <t xml:space="preserve">              2.4.1.1.50.9.0 - Transferências de Recursos do Bloco de Manutenção 
              das Ações e Serviços Públicos de Saúde – Outros Programas </t>
  </si>
  <si>
    <t xml:space="preserve">            2.4.1.1.51.0.0 - Transferências de Recursos do Sistema Único de Saúde 
            – SUS - Fundo a Fundo - Bloco de Estruturação da Rede de Serviços 
            Públicos de Saúde </t>
  </si>
  <si>
    <t xml:space="preserve">              2.4.1.1.51.1.0 - Transferências de Recursos do Bloco de Estruturação 
              da Rede de Serviços Públicos de Saúde - Atenção Primária </t>
  </si>
  <si>
    <t xml:space="preserve">              2.4.1.1.51.2.0 - Transferências de Recursos do Bloco de Estruturação 
              da Rede de Serviços Públicos de Saúde - Atenção Especializada </t>
  </si>
  <si>
    <t xml:space="preserve">              2.4.1.1.51.3.0 - Transferências de Recursos do Bloco de Estruturação 
              da Rede de Serviços Públicos de Saúde - Assistência Farmacêutica </t>
  </si>
  <si>
    <t xml:space="preserve">              2.4.1.1.51.4.0 - Transferências de Recursos do Bloco de Estruturação 
              da Rede de Serviços Públicos de Saúde - Vigilância em Saúde </t>
  </si>
  <si>
    <t xml:space="preserve">              2.4.1.1.51.5.0 - Transferências de Recursos do Bloco de Estruturação 
              da Rede de Serviços Públicos de Saúde - Gestão do SUS </t>
  </si>
  <si>
    <t xml:space="preserve">              2.4.1.1.51.9.0 - Transferências de Recursos do Bloco de Estruturação 
              da Rede de Serviços Públicos de Saúde - Outros Programas </t>
  </si>
  <si>
    <t xml:space="preserve">            2.4.1.1.99.0.0 - Outras Transferências de Recursos do Sistema Único de 
            Saúde - SUS </t>
  </si>
  <si>
    <t xml:space="preserve">          2.4.1.2.00.0.0 - Transferências de Recursos do Fundo Nacional do 
          Desenvolvimento da Educação – FNDE  </t>
  </si>
  <si>
    <t xml:space="preserve">            2.4.1.2.50.0.0 - Transferências de Recursos Destinados a Programas de 
            Educação </t>
  </si>
  <si>
    <t xml:space="preserve">              2.4.1.2.50.1.0 - Transferências para o Programa de Apoio ao 
              Transporte Escolar para Educação Básica - CAMINHO DA ESCOLA </t>
  </si>
  <si>
    <t xml:space="preserve">              2.4.1.2.50.2.0 - Transferências para o Programa Nacional de 
              Reestruturação e Aquisição de Equipamentos para a Rede Escolar 
              Pública de Educação Infantil - Proinfância </t>
  </si>
  <si>
    <t xml:space="preserve">              2.4.1.2.50.9.0 - Outras transferências destinadas a Programas de 
              Educação </t>
  </si>
  <si>
    <t xml:space="preserve">          2.4.1.3.00.0.0 - Transferências de Recursos do Fundo Nacional de 
          Assistência Social – FNAS  </t>
  </si>
  <si>
    <t xml:space="preserve">            2.4.1.3.50.0.0 - Transferências de Recursos do Fundo Nacional de 
            Assistência Social – FNAS </t>
  </si>
  <si>
    <t xml:space="preserve">          2.4.1.4.00.0.0 - Transferências de Convênios da União e de suas 
          Entidades  </t>
  </si>
  <si>
    <t xml:space="preserve">            2.4.1.4.50.0.0 - Transferências de Convênios da União para o Sistema 
            Único de Saúde – SUS </t>
  </si>
  <si>
    <t xml:space="preserve">            2.4.1.4.51.0.0 - Transferências de Convênios da União destinadas a 
            Programas de Educação </t>
  </si>
  <si>
    <t xml:space="preserve">            2.4.1.4.52.0.0 - Transferências de Convênios da União destinadas a 
            Programas de Saneamento Básico </t>
  </si>
  <si>
    <t xml:space="preserve">            2.4.1.4.53.0.0 - Transferências de Convênios da União destinadas a 
            Programas de Meio Ambiente </t>
  </si>
  <si>
    <t xml:space="preserve">            2.4.1.4.54.0.0 - Transferências de Convênios da União destinadas a 
            Programas de Infraestrutura em Transporte </t>
  </si>
  <si>
    <t xml:space="preserve">            2.4.1.4.99.0.0 - Outras Transferências de Convênios da União e de Suas 
            Entidades </t>
  </si>
  <si>
    <t xml:space="preserve">          2.4.1.9.00.0.0 - Outras Transferências de Recursos da União e de suas 
          Entidades </t>
  </si>
  <si>
    <t xml:space="preserve">            2.4.1.9.50.0.0 - Transferências da União a Consórcios Públicos </t>
  </si>
  <si>
    <t xml:space="preserve">            2.4.1.9.51.0.0 - Transferência Especial da União </t>
  </si>
  <si>
    <t xml:space="preserve">            2.4.1.9.53.0.0 - Transferências de Recursos do Fundo Penitenciário 
            Nacional - FUNPEN </t>
  </si>
  <si>
    <t xml:space="preserve">            2.4.1.9.54.0.0 - Transferências de Recursos do Fundo Nacional de 
            Segurança Pública - FNSP </t>
  </si>
  <si>
    <t xml:space="preserve">            2.4.1.9.59.0.0 - Transferência de Recursos do Fundo de Amparo ao 
            Trabalhador - FAT </t>
  </si>
  <si>
    <t xml:space="preserve">            2.4.1.9.99.0.0 - Outras Transferências De Recursos da União e de suas 
            Entidades </t>
  </si>
  <si>
    <t xml:space="preserve">        2.4.2.0.00.0.0 - Transferências dos Estados e do Distrito Federal e de 
        suas Entidades </t>
  </si>
  <si>
    <t xml:space="preserve">          2.4.2.1.00.0.0 - Transferências de Recursos do Sistema Único de Saúde – 
          SUS dos Estados e DF </t>
  </si>
  <si>
    <t xml:space="preserve">            2.4.2.1.50.0.0 - Transferências de Recursos do Sistema Único de Saúde 
            – SUS </t>
  </si>
  <si>
    <t xml:space="preserve">          2.4.2.2.00.0.0 - Transferências de Convênios dos Estados e DF e de Suas 
          Entidades  </t>
  </si>
  <si>
    <t xml:space="preserve">            2.4.2.2.01.0.0 - Transferências de Convênios dos Estados e DF e de 
            Suas Entidades para Órgãos e Entidades da União </t>
  </si>
  <si>
    <t xml:space="preserve">            2.4.2.2.50.0.0 - Transferências de Convênios dos Estados para o 
            Sistema Único de Saúde – SUS </t>
  </si>
  <si>
    <t xml:space="preserve">            2.4.2.2.51.0.0 - Transferências de Convênios dos Estados destinadas a 
            Programas de Educação </t>
  </si>
  <si>
    <t xml:space="preserve">            2.4.2.2.52.0.0 - Transferências de Convênios dos Estados destinadas a 
            Programas de Saneamento Básico </t>
  </si>
  <si>
    <t xml:space="preserve">            2.4.2.2.53.0.0 - Transferências de Convênios dos Estados destinadas a 
            Programas de Meio Ambiente </t>
  </si>
  <si>
    <t xml:space="preserve">            2.4.2.2.54.0.0 - Transferências de Convênios dos Estados destinadas a 
            Programas de Infraestrutura em Transporte </t>
  </si>
  <si>
    <t xml:space="preserve">            2.4.2.2.99.0.0 - Outras Transferências de Convênios dos Estados e DF e 
            de Suas Entidades </t>
  </si>
  <si>
    <t xml:space="preserve">          2.4.2.9.00.0.0 - Outras Transferências de Recursos dos Estados </t>
  </si>
  <si>
    <t xml:space="preserve">            2.4.2.9.50.0.0 - Transferências dos Estados e Distrito Federal a 
            Consórcios Públicos </t>
  </si>
  <si>
    <t xml:space="preserve">            2.4.2.9.51.0.0 - Transferências de Recursos Destinados a Programas de 
            Educação </t>
  </si>
  <si>
    <t xml:space="preserve">            2.4.2.9.99.0.0 - Outras Transferências de Recursos dos Estados </t>
  </si>
  <si>
    <t xml:space="preserve">        2.4.3.0.00.0.0 - Transferências dos Municípios e de suas Entidades </t>
  </si>
  <si>
    <t xml:space="preserve">          2.4.3.1.00.0.0 - Transferências de Recursos do Sistema Único de Saúde – 
          SUS dos Municípios  </t>
  </si>
  <si>
    <t xml:space="preserve">            2.4.3.1.50.0.0 - Transferências de Recursos do Sistema Único de Saúde 
            – SUS dos Municípios  </t>
  </si>
  <si>
    <t xml:space="preserve">          2.4.3.2.00.0.0 - Transferências de Convênios dos Municípios e de Suas 
          Entidades  </t>
  </si>
  <si>
    <t xml:space="preserve">            2.4.3.2.01.0.0 - Transferências de Convênios dos Municípios e de Suas 
            Entidades para Órgãos e Entidades da União </t>
  </si>
  <si>
    <t xml:space="preserve">            2.4.3.2.50.0.0 - Transferências de Convênios dos Municípios destinados 
            a Programas de Saúde </t>
  </si>
  <si>
    <t xml:space="preserve">            2.4.3.2.51.0.0 - Transferências de Convênios dos Municípios destinadas 
            a Programas de Educação </t>
  </si>
  <si>
    <t xml:space="preserve">            2.4.3.2.52.0.0 - Transferências de Convênios dos Municípios destinadas 
            a Programas de Saneamento </t>
  </si>
  <si>
    <t xml:space="preserve">            2.4.3.2.99.0.0 - Outras Transferências de Convênios dos Municípios e 
            de Suas Entidades </t>
  </si>
  <si>
    <t xml:space="preserve">          2.4.3.9.00.0.0 - Outras Transferências dos Municípios </t>
  </si>
  <si>
    <t xml:space="preserve">            2.4.3.9.50.0.0 - Transferências de Municípios a Consórcios Públicos </t>
  </si>
  <si>
    <t xml:space="preserve">            2.4.3.9.99.0.0 -Outras Transferências dos Municípios </t>
  </si>
  <si>
    <t xml:space="preserve">        2.4.4.0.00.0.0 - Transferências de Instituições Privadas </t>
  </si>
  <si>
    <t xml:space="preserve">          2.4.4.1.00.0.0 - Transferências de Instituições Privadas </t>
  </si>
  <si>
    <t xml:space="preserve">            2.4.4.1.01.0.0 - Transferências de Instituições Privadas para Órgãos e 
            Entidades da União </t>
  </si>
  <si>
    <t xml:space="preserve">            2.4.4.1.50.0.0 - Transferências de Convênios de Instituições Privadas 
            Destinados a Programas de Saúde </t>
  </si>
  <si>
    <t xml:space="preserve">            2.4.4.1.51.0.0 - Transferências de Convênios de Instituições Privadas 
            Destinados a Programas de Educação </t>
  </si>
  <si>
    <t xml:space="preserve">            2.4.4.1.99.0.0 - Outras Transferências de Instituições Privadas </t>
  </si>
  <si>
    <t xml:space="preserve">        2.4.5.0.00.0.0 - Transferências de Outras Instituições Públicas </t>
  </si>
  <si>
    <t xml:space="preserve">          2.4.5.1.00.0.0 - Transferências de Outras Instituições Públicas </t>
  </si>
  <si>
    <t xml:space="preserve">        2.4.6.0.00.0.0 - Transferências do Exterior </t>
  </si>
  <si>
    <t xml:space="preserve">          2.4.6.1.00.0.0 - Transferências do Exterior </t>
  </si>
  <si>
    <t xml:space="preserve">            2.4.6.1.01.0.0 - Transferências do Exterior para Órgãos e Entidades da 
            União </t>
  </si>
  <si>
    <t xml:space="preserve">            2.4.6.1.50.0.0 - Transferências do Exterior para Programas de Saúde </t>
  </si>
  <si>
    <t xml:space="preserve">            2.4.6.1.51.0.0 - Transferências do Exterior para Programas de Educação </t>
  </si>
  <si>
    <t xml:space="preserve">            2.4.6.1.99.0.0 - Outras Transferências do Exterior </t>
  </si>
  <si>
    <t xml:space="preserve">        2.4.9.0.00.0.0 - Demais Transferências de Capital </t>
  </si>
  <si>
    <t xml:space="preserve">          2.4.9.1.00.0.0 - Transferências de Pessoas Físicas </t>
  </si>
  <si>
    <t xml:space="preserve">            2.4.9.1.01.0.0 - Transferências de Pessoas Físicas para Órgãos e 
            Entidades da União </t>
  </si>
  <si>
    <t xml:space="preserve">            2.4.9.1.50.0.0 - Transferências de Pessoas Físicas para Programas de 
            Saúde </t>
  </si>
  <si>
    <t xml:space="preserve">            2.4.9.1.51.0.0 - Transferências de Pessoas Físicas para Programas de 
            Educação </t>
  </si>
  <si>
    <t xml:space="preserve">            2.4.9.1.99.0.0 - Outras Transferências de Pessoas Físicas </t>
  </si>
  <si>
    <t xml:space="preserve">          2.4.9.2.00.0.0 - Transferências Provenientes de Depósitos Não 
          Identificados </t>
  </si>
  <si>
    <t xml:space="preserve">          2.4.9.9.00.0.0 - Outras Transferências de Capital </t>
  </si>
  <si>
    <t xml:space="preserve">      2.9.0.0.00.0.0 - Outras Receitas de Capital </t>
  </si>
  <si>
    <t xml:space="preserve">        2.9.1.0.00.0.0 - Integralização de Capital Social </t>
  </si>
  <si>
    <t xml:space="preserve">        2.9.2.0.00.0.0 - Resultado do Banco Central </t>
  </si>
  <si>
    <t xml:space="preserve">          2.9.2.1.00.0.0 - Resultado do Banco Central </t>
  </si>
  <si>
    <t xml:space="preserve">            2.9.2.1.01.0.0 - Resultado do Banco Central - Operações com Reservas e 
            Derivativos Cambiais </t>
  </si>
  <si>
    <t xml:space="preserve">            2.9.2.1.02.0.0 - Resultado do Banco Central - Demais Operações </t>
  </si>
  <si>
    <t xml:space="preserve">        2.9.3.0.00.0.0 - Remuneração das Disponibilidades do Tesouro </t>
  </si>
  <si>
    <t xml:space="preserve">        2.9.4.0.00.0.0 - Resgate de Títulos do Tesouro </t>
  </si>
  <si>
    <t xml:space="preserve">        2.9.9.0.00.0.0 - Demais Receitas de Capital </t>
  </si>
  <si>
    <t xml:space="preserve">          2.9.9.9.00.0.0 - Outras Receitas de Capital </t>
  </si>
  <si>
    <t xml:space="preserve">            2.9.9.9.50.0.0 - Receitas de Alienação de Certificados de Potencial 
            Adicional de Construção - CEPAC </t>
  </si>
  <si>
    <t xml:space="preserve">            2.9.9.9.99.0.0 - Outras Receitas de Capital </t>
  </si>
  <si>
    <t xml:space="preserve">  RECEITAS (INTRA-ORÇAMENTÁRIAS) (II) </t>
  </si>
  <si>
    <t xml:space="preserve">    7.0.0.0.00.0.0 - Receitas Correntes </t>
  </si>
  <si>
    <t xml:space="preserve">      7.1.0.0.00.0.0 - Impostos, Taxas e Contribuições de Melhoria </t>
  </si>
  <si>
    <t xml:space="preserve">      7.2.0.0.00.0.0 - Contribuições </t>
  </si>
  <si>
    <t xml:space="preserve">        7.2.1.0.00.0.0 - Contribuições Sociais </t>
  </si>
  <si>
    <t xml:space="preserve">          7.2.1.1.00.0.0 - Contribuição para Financiamento da Seguridade Social - 
          COFINS </t>
  </si>
  <si>
    <t xml:space="preserve">          7.2.1.2.00.0.0 - Contribuição para o Programa de Integração Social e 
          para Programa de Formação de Patrimônio do Servidor Público PIS/PASEP </t>
  </si>
  <si>
    <t xml:space="preserve">          7.2.1.3.00.0.0 - Contribuição Social sobre o Lucro Líquido - CSLL </t>
  </si>
  <si>
    <t xml:space="preserve">          7.2.1.4.00.0.0 - Contribuições para o Regime Geral de Previdência 
          Social - RGPS </t>
  </si>
  <si>
    <t xml:space="preserve">            7.2.1.4.01.0.0 - Contribuição Previdenciária do Empregador ou 
            Equiparado </t>
  </si>
  <si>
    <t xml:space="preserve">            7.2.1.4.02.0.0 - Contribuição Previdenciária do Segurado </t>
  </si>
  <si>
    <t xml:space="preserve">            7.2.1.4.49.0.0 - Contribuições para o Regime Geral de Previdência 
            Social - RGPS - Parcelamentos </t>
  </si>
  <si>
    <t xml:space="preserve">          7.2.1.5.00.0.0 - Contribuições para Regimes Próprios de Previdência e 
          Sistema de Proteção Social </t>
  </si>
  <si>
    <t xml:space="preserve">            7.2.1.5.01.0.0 - Contribuição do Servidor Civil </t>
  </si>
  <si>
    <t xml:space="preserve">            7.2.1.5.02.0.0 - Contribuição Patronal - Servidor Civil </t>
  </si>
  <si>
    <t xml:space="preserve">              7.2.1.5.02.1.0 - Contribuição Patronal - Servidor Civil Ativo </t>
  </si>
  <si>
    <t xml:space="preserve">              7.2.1.5.02.2.0 -Contribuição Patronal Oriunda de Sentenças Judiciais 
              - Servidor Civil Ativo </t>
  </si>
  <si>
    <t xml:space="preserve">            7.2.1.5.03.0.0 - Contribuição do Servidor Civil - Parcelamentos </t>
  </si>
  <si>
    <t xml:space="preserve">            7.2.1.5.04.0.0 - Contribuição para o Custeio das Pensões e/ou da 
            Inatividade dos Militares </t>
  </si>
  <si>
    <t xml:space="preserve">              7.2.1.5.04.1.0 - Contribuição para o Custeio das Pensões Militares 
              das Forças Armadas </t>
  </si>
  <si>
    <t xml:space="preserve">              7.2.1.5.04.2.0 - Contribuição para o Custeio das Pensões Militares e 
              da Inatividade da Polícia Militar do Distrito Federal </t>
  </si>
  <si>
    <t xml:space="preserve">              7.2.1.5.04.3.0 - Contribuição para o Custeio das Pensões Militares e 
              da Inatividade do Corpo de Bombeiros Militar do Distrito Federal </t>
  </si>
  <si>
    <t xml:space="preserve">            7.2.1.5.50.0.0 - Contribuição Patronal - Servidor Civil Inativo e 
            Pensionistas </t>
  </si>
  <si>
    <t xml:space="preserve">              7.2.1.5.50.1.0 - Contribuição Patronal - Servidor Civil - Inativo </t>
  </si>
  <si>
    <t xml:space="preserve">              7.2.1.5.50.2.0 - Contribuição Patronal - Servidor Civil - 
              Pensionistas </t>
  </si>
  <si>
    <t xml:space="preserve">              7.2.1.5.50.3.0 - Contribuição Patronal Oriunda de Sentenças Judiciais 
              - Servidor Civil Inativo </t>
  </si>
  <si>
    <t xml:space="preserve">              7.2.1.5.50.4.0 - Contribuição Patronal Oriunda de Sentenças Judiciais 
              - Servidor Civil - Pensionistas </t>
  </si>
  <si>
    <t xml:space="preserve">            7.2.1.5.51.0.0 - Contribuição Patronal - Parcelamentos </t>
  </si>
  <si>
    <t xml:space="preserve">              7.2.1.5.51.1.0 - Contribuição Patronal - Servidor Civil Ativo - 
              Parcelamentos </t>
  </si>
  <si>
    <t xml:space="preserve">              7.2.1.5.51.2.0 - Contribuição Patronal - Servidor Civil Inativo - 
              Parcelamentos </t>
  </si>
  <si>
    <t xml:space="preserve">              7.2.1.5.51.3.0 - Contribuição Patronal - Servidor Civil - 
              Pensionistas - Parcelamentos </t>
  </si>
  <si>
    <t xml:space="preserve">            7.2.1.5.52.0.0 - Contribuição do Militar para o Sistema de Proteção 
            Social dos Militares </t>
  </si>
  <si>
    <t xml:space="preserve">            7.2.1.5.53.0.0 - Contribuição Patronal para o Sistema de Proteção 
            Social dos Militares </t>
  </si>
  <si>
    <t xml:space="preserve">              7.2.1.5.53.1.0 - Contribuição Patronal - Militar Ativo </t>
  </si>
  <si>
    <t xml:space="preserve">              7.2.1.5.53.2.0 - Contribuição Patronal - Militar Inativo </t>
  </si>
  <si>
    <t xml:space="preserve">              7.2.1.5.53.3.0 - Contribuição Patronal - Pensionistas Militares </t>
  </si>
  <si>
    <t xml:space="preserve">              7.2.1.5.53.4.0 - Contribuição Patronal Oriunda de Sentenças Judiciais 
              - Militar Ativo </t>
  </si>
  <si>
    <t xml:space="preserve">              7.2.1.5.53.5.0 - Contribuição Patronal Oriunda de Sentenças Judiciais 
              - Militar Inativo </t>
  </si>
  <si>
    <t xml:space="preserve">              7.2.1.5.53.6.0 - Contribuição Patronal Oriunda de Sentenças Judiciais 
              - Pensionistas Militares </t>
  </si>
  <si>
    <t xml:space="preserve">            7.2.1.5.54.0.0 - Contribuição Patronal para o Sistema de Proteção 
            Social dos Militares - Parcelamentos </t>
  </si>
  <si>
    <t xml:space="preserve">              7.2.1.5.54.1.0 - Contribuição Patronal - Militar Ativo - 
              Parcelamentos </t>
  </si>
  <si>
    <t xml:space="preserve">              7.2.1.5.54.2.0 - Contribuição Patronal - Militar Inativo - 
              Parcelamentos </t>
  </si>
  <si>
    <t xml:space="preserve">              7.2.1.5.54.3.0 - Contribuição Patronal - Pensionistas Militares - 
              Parcelamentos </t>
  </si>
  <si>
    <t xml:space="preserve">            7.2.1.5.55.0.0 - Contribuição do Militar para o Sistema de Proteção 
            Social dos Militares - Parcelamentos </t>
  </si>
  <si>
    <t xml:space="preserve">            7.2.1.5.56.0.0 - Contribuição do Militar para o Sistema de Proteção 
            Social dos Militares, Oriunda de Sentenças Judiciais </t>
  </si>
  <si>
    <t xml:space="preserve">              7.2.1.5.56.1.0 - Contribuição do Militar Oriunda de Sentenças 
              Judiciais - Militar Ativo </t>
  </si>
  <si>
    <t xml:space="preserve">              7.2.1.5.56.2.0 - Contribuição do Militar Oriunda de Sentenças 
              Judiciais - Militar Inativo </t>
  </si>
  <si>
    <t xml:space="preserve">              7.2.1.5.56.3.0 - Contribuição do Militar Oriunda de Sentenças 
              Judiciais - Pensionistas Militares </t>
  </si>
  <si>
    <t xml:space="preserve">          7.2.1.6.00.0.0 -Contribuição para Fundos de Assistência 
          Médico-Hospitalar e Social  </t>
  </si>
  <si>
    <t xml:space="preserve">            7.2.1.6.01.0.0 - Contribuição para Fundos de Assistência Médica - 
            Policiais Militares </t>
  </si>
  <si>
    <t xml:space="preserve">              7.2.1.6.01.1.0 - Contribuição para Fundos de Assistência Médica - 
              Policiais Militares </t>
  </si>
  <si>
    <t xml:space="preserve">              7.2.1.6.01.2.0 - Contribuição para Fundos de Assistência Médica - 
              Policiais Militares - Parcelamentos </t>
  </si>
  <si>
    <t xml:space="preserve">            7.2.1.6.02.0.0 - Contribuição para Fundos de Assistência Médica - 
            Bombeiros Militares </t>
  </si>
  <si>
    <t xml:space="preserve">              7.2.1.6.02.1.0 - Contribuição para Fundos de Assistência Médica - 
              Bombeiros Militares </t>
  </si>
  <si>
    <t xml:space="preserve">              7.2.1.6.02.2.0 - Contribuição para Fundos de Assistência Médica - 
              Bombeiros Militares - Parcelamentos </t>
  </si>
  <si>
    <t xml:space="preserve">            7.2.1.6.03.0.0 - Contribuição para Fundos de Assistência Médica - 
            Servidores Civis </t>
  </si>
  <si>
    <t xml:space="preserve">              7.2.1.6.03.1.0 - Contribuição para Fundos de Assistência Médica - 
              Servidores Civis </t>
  </si>
  <si>
    <t xml:space="preserve">              7.2.1.6.03.2.0 - Contribuição para Fundos de Assistência Médica - 
              Servidores Civis - Parcelamentos </t>
  </si>
  <si>
    <t xml:space="preserve">            7.2.1.6.05.0.0 - Contribuição para Fundos de Assistência 
            Médico-Hospitalar e Social – Forças Armadas </t>
  </si>
  <si>
    <t xml:space="preserve">              7.2.1.6.05.1.0 - Contribuição para Fundos de Assistência 
              Médico-Hospitalar e Social – Forças Armadas </t>
  </si>
  <si>
    <t xml:space="preserve">              7.2.1.6.05.2.0 - Contribuição para Fundos de Assistência 
              Médico-Hospitalar e Social – Forças Armadas - Parcelamentos </t>
  </si>
  <si>
    <t xml:space="preserve">            7.2.1.6.99.0.0 - Contribuição para Fundos de Assistência Médica - 
            Outros Beneficiários </t>
  </si>
  <si>
    <t xml:space="preserve">              7.2.1.6.99.1.0 - Contribuição para Fundos de Assistência Médica - 
              Outros Beneficiários </t>
  </si>
  <si>
    <t xml:space="preserve">              7.2.1.6.99.2.0 - Contribuição para Fundos de Assistência Médica - 
              Outros Beneficiários - Parcelamentos </t>
  </si>
  <si>
    <t xml:space="preserve">          7.2.1.7.00.0.0 - Contribuições sobre Concursos de Prognósticos e 
          Sorteios </t>
  </si>
  <si>
    <t xml:space="preserve">          7.2.1.9.00.0.0 - Outras Contribuições Sociais </t>
  </si>
  <si>
    <t xml:space="preserve">        7.2.2.0.00.0.0 - Contribuições Econômicas </t>
  </si>
  <si>
    <t xml:space="preserve">        7.2.3.0.00.0.0 - Contribuições para Entidades Privadas de Serviço Social 
        e de Formação Profissional </t>
  </si>
  <si>
    <t xml:space="preserve">        7.2.4.0.00.0.0 - Contribuição para o Custeio do Serviço de Iluminação 
        Pública </t>
  </si>
  <si>
    <t xml:space="preserve">      7.3.0.0.00.0.0 - Receita Patrimonial </t>
  </si>
  <si>
    <t xml:space="preserve">        7.3.1.0.00.0.0 - Exploração do Patrimônio Imobiliário do Estado </t>
  </si>
  <si>
    <t xml:space="preserve">          7.3.1.1.00.0.0 - Exploração do Patrimônio Imobiliário do Estado </t>
  </si>
  <si>
    <t xml:space="preserve">            7.3.1.1.01.0.0 - Aluguéis, Arrendamentos, Foros, Laudêmios, Tarifas de 
            Ocupação </t>
  </si>
  <si>
    <t xml:space="preserve">            7.3.1.1.02.0.0 - Concessão, Permissão, Autorização ou Cessão do 
            Direito de Uso de Bens Imóveis Públicos </t>
  </si>
  <si>
    <t xml:space="preserve">            7.3.1.1.99.0.0 - Outras Receitas Imobiliárias </t>
  </si>
  <si>
    <t xml:space="preserve">        7.3.2.0.00.0.0 - Valores Mobiliários </t>
  </si>
  <si>
    <t xml:space="preserve">          7.3.2.1.00.0.0 - Juros e Correções Monetárias </t>
  </si>
  <si>
    <t xml:space="preserve">          7.3.2.2.00.0.0 - Dividendos </t>
  </si>
  <si>
    <t xml:space="preserve">          7.3.2.3.00.0.0 - Participações </t>
  </si>
  <si>
    <t xml:space="preserve">          7.3.2.9.00.0.0 - Outros Valores Mobiliários </t>
  </si>
  <si>
    <t xml:space="preserve">        7.3.3.0.00.0.0 - Delegação de Serviços Públicos Mediante Concessão, 
        Permissão, Autorização ou Licença </t>
  </si>
  <si>
    <t xml:space="preserve">          7.3.3.1.00.0.0 - Delegação para a Prestação dos Serviços de Transporte </t>
  </si>
  <si>
    <t xml:space="preserve">            7.3.3.1.01.0.0 - Delegação para a Prestação dos Serviços de Transporte 
            Rodoviário </t>
  </si>
  <si>
    <t xml:space="preserve">            7.3.3.1.02.0.0 - Delegação para a Prestação dos Serviços de Transporte 
            Ferroviário </t>
  </si>
  <si>
    <t xml:space="preserve">            7.3.3.1.03.0.0 - Delegação para a Prestação dos Serviços de Transporte 
            Metroviário </t>
  </si>
  <si>
    <t xml:space="preserve">            7.3.3.1.04.0.0 - Delegação para a Prestação dos Serviços de Transporte 
            Aquaviário </t>
  </si>
  <si>
    <t xml:space="preserve">            7.3.3.1.05.0.0 - Delegação para a Prestação dos Serviços de Transporte 
            Aeroviário </t>
  </si>
  <si>
    <t xml:space="preserve">          7.3.3.2.00.0.0 - Delegação dos Serviços de Infraestrutura </t>
  </si>
  <si>
    <t xml:space="preserve">            7.3.3.2.01.0.0 - Delegação para Exploração da Infraestrutura de 
            Transporte Rodoviário </t>
  </si>
  <si>
    <t xml:space="preserve">            7.3.3.2.02.0.0 - Delegação para Exploração da Infraestrutura de 
            Transporte Ferroviário </t>
  </si>
  <si>
    <t xml:space="preserve">            7.3.3.2.03.0.0 - Delegação para Exploração da Infraestrutura de 
            Transporte Aquaviário </t>
  </si>
  <si>
    <t xml:space="preserve">            7.3.3.2.04.0.0 - Delegação para Exploração da Infraestrutura 
            Aeroportuária </t>
  </si>
  <si>
    <t xml:space="preserve">          7.3.3.3.00.0.0 - Delegação dos Serviços de Telecomunicação </t>
  </si>
  <si>
    <t xml:space="preserve">          7.3.3.4.00.0.0 - Concessão para Prestação de Serviços de Energia 
          Elétrica </t>
  </si>
  <si>
    <t xml:space="preserve">          7.3.3.5.00.0.0 - Delegação dos Serviços de Saneamento Básico </t>
  </si>
  <si>
    <t xml:space="preserve">            7.3.3.5.50.0.0 - Delegação dos Serviços de Abastecimento de Água 
            Potável </t>
  </si>
  <si>
    <t xml:space="preserve">            7.3.3.5.51.0.0 - Delegação dos Serviços de Esgotamento Sanitário </t>
  </si>
  <si>
    <t xml:space="preserve">            7.3.3.5.52.0.0 - Delegação dos Serviços de Limpeza Urbana e Manejo de 
            Resíduos Sólidos </t>
  </si>
  <si>
    <t xml:space="preserve">            7.3.3.5.53.0.0 - Delegação dos Serviços de Drenagem e Manejo das Águas 
            Pluviais Urbanas </t>
  </si>
  <si>
    <t xml:space="preserve">          7.3.3.9.00.0.0 - Demais Delegações de Serviços Públicos </t>
  </si>
  <si>
    <t xml:space="preserve">        7.3.4.0.00.0.0 - Exploração de Recursos Naturais </t>
  </si>
  <si>
    <t xml:space="preserve">          7.3.4.1.00.0.0 - Petróleo - Regime de Concessão </t>
  </si>
  <si>
    <t xml:space="preserve">            7.3.4.1.01.0.0 - Outorga de Exploração e Produção de Petróleo e Gás 
            Natural - Regime de Concessão </t>
  </si>
  <si>
    <t xml:space="preserve">            7.3.4.1.02.0.0 - Royalties Mínimos pela Produção de Petróleo - 
            Contrato de Concessão </t>
  </si>
  <si>
    <t xml:space="preserve">            7.3.4.1.03.0.0 - Royalties Excedentes pela Produção de Petróleo - 
            Contrato de Concessão </t>
  </si>
  <si>
    <t xml:space="preserve">            7.3.4.1.04.0.0 - Participação Especial pela Produção de Petróleo - 
            Contrato de Concessão </t>
  </si>
  <si>
    <t xml:space="preserve">            7.3.4.1.05.0.0 - Participação do Proprietário da Terra – Contrato de 
            Concessão </t>
  </si>
  <si>
    <t xml:space="preserve">          7.3.4.2.00.0.0 - Petróleo - Regime de Cessão Onerosa </t>
  </si>
  <si>
    <t xml:space="preserve">            7.3.4.2.02.0.0 - Royalties Mínimos pela Produção de Petróleo - Cessão 
            Onerosa - Declaração de Comercialidade a partir de 3/12/2012 </t>
  </si>
  <si>
    <t xml:space="preserve">            7.3.4.2.03.0.0 - Royalties Excedentes pela Produção de Petróleo - 
            Cessão Onerosa - Declaração de Comercialidade a partir de 3/12/2012 </t>
  </si>
  <si>
    <t xml:space="preserve">          7.3.4.3.00.0.0 - Petróleo - Regime de Partilha de Produção </t>
  </si>
  <si>
    <t xml:space="preserve">            7.3.4.3.01.0.0 - Outorga dos Serviços de Exploração e Produção de 
            Petróleo e Gás Natural - Regime de Partilha de Produção </t>
  </si>
  <si>
    <t xml:space="preserve">            7.3.4.3.02.0.0 - Royalties pela Produção de Petróleo - Partilha de 
            Produção - Declaração de Comercialidade a partir de 3/12/2012 </t>
  </si>
  <si>
    <t xml:space="preserve">          7.3.4.4.00.0.0 - Exploração de Recursos Minerais </t>
  </si>
  <si>
    <t xml:space="preserve">            7.3.4.4.01.0.0 - Outorga de Direitos de Exploração e Pesquisa Mineral </t>
  </si>
  <si>
    <t xml:space="preserve">            7.3.4.4.02.0.0 - Compensação Financeira pela Exploração de Recursos 
            Minerais </t>
  </si>
  <si>
    <t xml:space="preserve">          7.3.4.5.00.0.0 - Exploração de Recursos Hídricos </t>
  </si>
  <si>
    <t xml:space="preserve">            7.3.4.5.01.0.0 - Outorga de Direitos de Uso de Recursos Hídricos </t>
  </si>
  <si>
    <t xml:space="preserve">            7.3.4.5.02.0.0 - Concessão de Uso do Potencial de Energia Hidráulica </t>
  </si>
  <si>
    <t xml:space="preserve">            7.3.4.5.03.0.0 - Compensação Financeira pela Exploração de Recursos 
            Hídricos </t>
  </si>
  <si>
    <t xml:space="preserve">          7.3.4.6.00.0.0 - Exploração de Recursos Florestais </t>
  </si>
  <si>
    <t xml:space="preserve">            7.3.4.6.01.0.0 - Concessão de Florestas Nacionais </t>
  </si>
  <si>
    <t xml:space="preserve">            7.3.4.6.02.0.0 - Concessão de Florestas Não Catalogadas como 
            “Florestas Nacionais” </t>
  </si>
  <si>
    <t xml:space="preserve">            7.3.4.6.03.0.0 - Custos de Edital de Concessão Florestal </t>
  </si>
  <si>
    <t xml:space="preserve">            7.3.4.6.04.0.0 - Contratos de Transição de Concessão Florestal </t>
  </si>
  <si>
    <t xml:space="preserve">            7.3.4.6.99.0.0 - Demais Receitas de Exploração de Recursos Florestais </t>
  </si>
  <si>
    <t xml:space="preserve">          7.3.4.9.00.0.0 - Exploração de Outros Recursos Naturais </t>
  </si>
  <si>
    <t xml:space="preserve">            7.3.4.9.01.0.0 - Compensações Ambientais </t>
  </si>
  <si>
    <t xml:space="preserve">            7.3.4.9.99.0.0 - Outras Delegações para Exploração de Recursos 
            Naturais </t>
  </si>
  <si>
    <t xml:space="preserve">        7.3.5.0.00.0.0 - Exploração do Patrimônio Intangível </t>
  </si>
  <si>
    <t xml:space="preserve">          7.3.5.1.00.0.0 - Exploração do Patrimônio Intangível </t>
  </si>
  <si>
    <t xml:space="preserve">            7.3.5.1.01.0.0 - Outorga de Direito de Uso ou de Exploração de Criação 
            Protegida - Instituição Científica e Tecnológica </t>
  </si>
  <si>
    <t xml:space="preserve">            7.3.5.1.02.0.0 - Direito de Uso da Imagem e de Reprodução dos Bens do 
            Acervo Patrimonial </t>
  </si>
  <si>
    <t xml:space="preserve">            7.3.5.1.03.0.0 - Royalties pela Exploração do Patrimônio Genético ou 
            Conhecimento Tradicional Associado </t>
  </si>
  <si>
    <t xml:space="preserve">            7.3.5.1.04.0.0 - Royalties pela Comercialização de Produtos 
            Resultantes de Criação Protegida </t>
  </si>
  <si>
    <t xml:space="preserve">        7.3.6.0.00.0.0 - Cessão de Direitos </t>
  </si>
  <si>
    <t xml:space="preserve">          7.3.6.1.00.0.0 - Cessão de Direitos </t>
  </si>
  <si>
    <t xml:space="preserve">            7.3.6.1.01.0.0 - Cessão do Direito de Operacionalização de Pagamentos </t>
  </si>
  <si>
    <t xml:space="preserve">        7.3.9.0.00.0.0 - Demais Receitas Patrimoniais </t>
  </si>
  <si>
    <t xml:space="preserve">      7.4.0.0.00.0.0 - Receita Agropecuária </t>
  </si>
  <si>
    <t xml:space="preserve">      7.5.0.0.00.0.0 - Receita Industrial </t>
  </si>
  <si>
    <t xml:space="preserve">      7.6.0.0.00.0.0 - Receita de Serviços </t>
  </si>
  <si>
    <t xml:space="preserve">        7.6.1.0.00.0.0 - Serviços Administrativos e Comerciais Gerais </t>
  </si>
  <si>
    <t xml:space="preserve">          7.6.1.1.00.0.0 - Serviços Administrativos e Comerciais Gerais </t>
  </si>
  <si>
    <t xml:space="preserve">            7.6.1.1.01.0.0 - Serviços Administrativos e Comerciais Gerais 
            Prestados por Entidades e Órgãos Públicos em Geral </t>
  </si>
  <si>
    <t xml:space="preserve">            7.6.1.1.02.0.0 - Inscrição em Concursos e Processos Seletivos </t>
  </si>
  <si>
    <t xml:space="preserve">            7.6.1.1.03.0.0 - Serviços de Registro, Certificação e Fiscalização </t>
  </si>
  <si>
    <t xml:space="preserve">            7.6.1.1.04.0.0 - Serviços de Informação e Tecnologia </t>
  </si>
  <si>
    <t xml:space="preserve">            7.6.1.1.05.0.0 - Serviços Técnicos e Aprovação de Laudos de 
            Telecomunicações </t>
  </si>
  <si>
    <t xml:space="preserve">            7.6.1.1.50.0.0 - Serviços de Administração Previdenciária </t>
  </si>
  <si>
    <t xml:space="preserve">        7.6.2.0.00.0.0 - Serviços e Atividades Referentes à Navegação e ao 
        Transporte </t>
  </si>
  <si>
    <t xml:space="preserve">          7.6.2.1.00.0.0 - Serviços e Atividades Referentes à Navegação e ao 
          Transporte </t>
  </si>
  <si>
    <t xml:space="preserve">            7.6.2.1.01.0.0 - Serviços de Navegação </t>
  </si>
  <si>
    <t xml:space="preserve">            7.6.2.1.02.0.0 - Serviços de Transporte de Passageiros ou Mercadorias </t>
  </si>
  <si>
    <t xml:space="preserve">            7.6.2.1.03.0.0 - Serviços Portuários </t>
  </si>
  <si>
    <t xml:space="preserve">            7.6.2.1.04.0.0 - Serviços Aeroportuários </t>
  </si>
  <si>
    <t xml:space="preserve">        7.6.3.0.00.0.0 - Serviços e Atividades Referentes à Saúde </t>
  </si>
  <si>
    <t xml:space="preserve">          7.6.3.1.00.0.0 - Serviços de Atendimento à Saúde </t>
  </si>
  <si>
    <t xml:space="preserve">            7.6.3.1.01.0.0 - Serviços de Atendimento à Saúde em Unidades do 
            Governo Federal </t>
  </si>
  <si>
    <t xml:space="preserve">            7.6.3.1.50.0.0 - Serviços Hospitalares </t>
  </si>
  <si>
    <t xml:space="preserve">            7.6.3.1.51.0.0 - Serviços de Registro, Análise e Controle da Saúde </t>
  </si>
  <si>
    <t xml:space="preserve">            7.6.3.1.52.0.0 - Serviços Radiológicos e Laboratoriais </t>
  </si>
  <si>
    <t xml:space="preserve">            7.6.3.1.53.0.0 - Serviços Ambulatoriais </t>
  </si>
  <si>
    <t xml:space="preserve">            7.6.3.1.99.0.0 - Outros Serviços de Atendimento à Saúde </t>
  </si>
  <si>
    <t xml:space="preserve">          7.6.3.2.00.0.0 - Serviços de Assistência à Saúde de Servidores Civis e 
          Militares </t>
  </si>
  <si>
    <t xml:space="preserve">            7.6.3.2.01.0.0 - Serviços de Assistência à Saúde Suplementar de 
            Servidores Civis </t>
  </si>
  <si>
    <t xml:space="preserve">            7.6.3.2.50.0.0 - Serviços de Assistência à Saúde Suplementar dos 
            Militares </t>
  </si>
  <si>
    <t xml:space="preserve">        7.6.4.0.00.0.0 - Serviços e Atividades Financeiras </t>
  </si>
  <si>
    <t xml:space="preserve">          7.6.4.1.00.0.0 - Serviços e Atividades Financeiras </t>
  </si>
  <si>
    <t xml:space="preserve">            7.6.4.1.01.0.0 - Retorno de Operações, Juros e Encargos Financeiros </t>
  </si>
  <si>
    <t xml:space="preserve">            7.6.4.1.02.0.0 - Concessão de Avais, Garantias e Seguros </t>
  </si>
  <si>
    <t xml:space="preserve">            7.6.4.1.03.0.0 - Remuneração sobre Repasse para Programas de 
            Desenvolvimento Econômico </t>
  </si>
  <si>
    <t xml:space="preserve">        7.6.9.0.00.0.0 - Outros Serviços </t>
  </si>
  <si>
    <t xml:space="preserve">      7.7.0.0.00.0.0 - Transferências Correntes </t>
  </si>
  <si>
    <t xml:space="preserve">        7.7.1.0.00.0.0 - Transferências da União e de suas Entidades </t>
  </si>
  <si>
    <t xml:space="preserve">        7.7.2.0.00.0.0 - Transferências dos Estados e do Distrito Federal e de 
        suas Entidades </t>
  </si>
  <si>
    <t xml:space="preserve">        7.7.3.0.00.0.0 - Transferências dos Municípios e de suas Entidades </t>
  </si>
  <si>
    <t xml:space="preserve">        7.7.4.0.00.0.0 - Transferências de Instituições Privadas </t>
  </si>
  <si>
    <t xml:space="preserve">        7.7.5.0.00.0.0 - Transferências de Outras Instituições Públicas </t>
  </si>
  <si>
    <t xml:space="preserve">        7.7.6.0.00.0.0 - Transferências do Exterior </t>
  </si>
  <si>
    <t xml:space="preserve">        7.7.9.0.00.0.0 - Demais Transferências Correntes </t>
  </si>
  <si>
    <t xml:space="preserve">      7.9.0.0.00.0.0 - Outras Receitas Correntes </t>
  </si>
  <si>
    <t xml:space="preserve">        7.9.1.0.00.0.0 - Multas Administrativas, Contratuais e Judiciais </t>
  </si>
  <si>
    <t xml:space="preserve">        7.9.2.0.00.0.0 - Indenizações, Restituições e Ressarcimentos </t>
  </si>
  <si>
    <t xml:space="preserve">        7.9.3.0.00.0.0 - Bens, Direitos e Valores Incorporados ao Patrimônio 
        Público </t>
  </si>
  <si>
    <t xml:space="preserve">        7.9.4.0.00.0.0 - Multas e Juros de Mora das Receitas de Capital </t>
  </si>
  <si>
    <t xml:space="preserve">          7.9.4.1.00.0.0 - Multas e Juros de Mora das Alienações de Bens Móveis </t>
  </si>
  <si>
    <t xml:space="preserve">          7.9.4.2.00.0.0 - Multas e Juros de Mora das Alienações de Bens Imóveis </t>
  </si>
  <si>
    <t xml:space="preserve">          7.9.4.3.00.0.0 - Multas e Juros de Mora das Alienações de Bens 
          Intangíveis </t>
  </si>
  <si>
    <t xml:space="preserve">          7.9.4.4.00.0.0 - Multas e Juros de Mora das Amortizações de Empréstimos </t>
  </si>
  <si>
    <t xml:space="preserve">          7.9.4.9.00.0.0 - Multas e Juros de Mora de Outras Receitas de Capital </t>
  </si>
  <si>
    <t xml:space="preserve">        7.9.9.0.00.0.0 - Demais Receitas Correntes </t>
  </si>
  <si>
    <t xml:space="preserve">          7.9.9.9.00.0.0 - Outras Receitas Correntes </t>
  </si>
  <si>
    <t xml:space="preserve">            7.9.9.9.01.0.0 - Aportes Periódicos para Amortização de Déficit 
            Atuarial do Regimes Próprios de Previdência e Sistema de Proteção 
            Social </t>
  </si>
  <si>
    <t xml:space="preserve">            7.9.9.9.02.0.0 - Aportes Periódicos para Compensações ao RGPS </t>
  </si>
  <si>
    <t xml:space="preserve">            7.9.9.9.03.0.0 - Compensações Financeiras entre os Regimes de 
            Previdência </t>
  </si>
  <si>
    <t xml:space="preserve">            7.9.9.9.04.0.0 - Contribuição ao Montepio Civil </t>
  </si>
  <si>
    <t xml:space="preserve">            7.9.9.9.05.0.0 - Barreiras Técnicas ao Comércio Exterior </t>
  </si>
  <si>
    <t xml:space="preserve">            7.9.9.9.06.0.0 - Contrapartida de Subvenções ou Subsídios </t>
  </si>
  <si>
    <t xml:space="preserve">            7.9.9.9.07.0.0 - Disponibilidades de Recursos do Fundo Social </t>
  </si>
  <si>
    <t xml:space="preserve">            7.9.9.9.08.0.0 - Receitas do Seguro Obrigatório de Danos Pessoais 
            causados por Veículos Automotores de Via Terrestre - DPVAT </t>
  </si>
  <si>
    <t xml:space="preserve">            7.9.9.9.09.0.0 - Prestação de Contas Eleitorais </t>
  </si>
  <si>
    <t xml:space="preserve">            7.9.9.9.10.0.0 - Reserva Global de Reversão </t>
  </si>
  <si>
    <t xml:space="preserve">            7.9.9.9.11.0.0 - Variação Cambial </t>
  </si>
  <si>
    <t xml:space="preserve">            7.9.9.9.12.0.0 - Encargos Legais pela Inscrição em Dívida Ativa e 
            Receitas de Ônus de Sucumbência </t>
  </si>
  <si>
    <t xml:space="preserve">            7.9.9.9.13.0.0 - Recursos Recebidos de Órgãos, Entidades ou Fundos, 
            por Força de Determinação Constitucional ou Legal </t>
  </si>
  <si>
    <t xml:space="preserve">            7.9.9.9.15.0.0 - Transação Resolutiva de Litígios de Receitas Não 
            Administradas pela RFB </t>
  </si>
  <si>
    <t xml:space="preserve">            7.9.9.9.16.0.0 - Títulos Executivos Extrajudiciais </t>
  </si>
  <si>
    <t xml:space="preserve">            7.9.9.9.17.0.0 - Alienação de Estoques da Política de Garantia de 
            Preços Mínimos - PGPM </t>
  </si>
  <si>
    <t xml:space="preserve">            7.9.9.9.18.0.0 - Demais Créditos Decorrentes da Revisão de Contratos 
            de Concessão </t>
  </si>
  <si>
    <t xml:space="preserve">            7.9.9.9.19.0.0 - Receitas de Subvenções </t>
  </si>
  <si>
    <t xml:space="preserve">            7.9.9.9.20.0.0 - Retribuição pela Tributação, Fiscalização, 
            Arrecadação, Cobrança e Recolhimento das Contribuições Sociais de 
            Terceiros </t>
  </si>
  <si>
    <t xml:space="preserve">            7.9.9.9.21.0.0 - Resultado Positivo das Operações de Comercialização 
            de Energia no Âmbito da CCEE </t>
  </si>
  <si>
    <t xml:space="preserve">            7.9.9.9.22.0.0 - Valores não Tributários Auferidos pela União Junto a 
            Operadoras Ferroviárias </t>
  </si>
  <si>
    <t xml:space="preserve">            7.9.9.9.99.0.0 - Outras Receitas </t>
  </si>
  <si>
    <t xml:space="preserve">              7.9.9.9.99.1.0 - Outras Receitas Administradas pela RFB </t>
  </si>
  <si>
    <t xml:space="preserve">              7.9.9.9.99.2.0 - Outras Receitas Não Arrecadadas e Não Projetadas 
              pela RFB - Primárias </t>
  </si>
  <si>
    <t xml:space="preserve">              7.9.9.9.99.3.0 - Outras Receitas Não Arrecadadas e Não Projetadas 
              pela RFB - Financeiras </t>
  </si>
  <si>
    <t xml:space="preserve">    8.0.0.0.00.0.0 - Receitas de Capital </t>
  </si>
  <si>
    <t xml:space="preserve">      8.1.0.0.00.0.0 - Operações de Crédito </t>
  </si>
  <si>
    <t xml:space="preserve">        8.1.1.0.00.0.0 - Operações de Crédito - Mercado Interno </t>
  </si>
  <si>
    <t xml:space="preserve">        8.1.2.0.00.0.0 - Operações de Crédito - Mercado Externo </t>
  </si>
  <si>
    <t xml:space="preserve">      8.2.0.0.00.0.0 - Alienação de Bens </t>
  </si>
  <si>
    <t xml:space="preserve">        8.2.1.0.00.0.0 - Alienação de Bens Móveis </t>
  </si>
  <si>
    <t xml:space="preserve">        8.2.2.0.00.0.0 - Alienação de Bens Imóveis </t>
  </si>
  <si>
    <t xml:space="preserve">        8.2.3.0.00.0.0 - Alienação de Bens Intangíveis </t>
  </si>
  <si>
    <t xml:space="preserve">      8.3.0.0.00.0.0 - Amortização de Empréstimos </t>
  </si>
  <si>
    <t xml:space="preserve">      8.4.0.0.00.0.0 - Transferências de Capital </t>
  </si>
  <si>
    <t xml:space="preserve">        8.4.1.0.00.0.0 - Transferências da União e de suas Entidades </t>
  </si>
  <si>
    <t xml:space="preserve">        8.4.2.0.00.0.0 - Transferências dos Estados e do Distrito Federal e de 
        suas Entidades </t>
  </si>
  <si>
    <t xml:space="preserve">        8.4.3.0.00.0.0 - Transferências dos Municípios e de suas Entidades </t>
  </si>
  <si>
    <t xml:space="preserve">        8.4.4.0.00.0.0 - Transferências de Instituições Privadas </t>
  </si>
  <si>
    <t xml:space="preserve">        8.4.5.0.00.0.0 - Transferências de Outras Instituições Públicas </t>
  </si>
  <si>
    <t xml:space="preserve">        8.4.6.0.00.0.0 - Transferências do Exterior </t>
  </si>
  <si>
    <t xml:space="preserve">        8.4.9.0.00.0.0 - Demais Transferências de Capital </t>
  </si>
  <si>
    <t xml:space="preserve">      8.9.0.0.00.0.0 - Outras Receitas de Capital </t>
  </si>
  <si>
    <t xml:space="preserve">  TOTAL DAS RECEITAS (III) = (I + II) </t>
  </si>
  <si>
    <t xml:space="preserve">Quadro: Notas Explicativas - Receitas Orçamentárias </t>
  </si>
  <si>
    <t xml:space="preserve">Notas Explicativas - Receitas Orçamentárias </t>
  </si>
  <si>
    <t xml:space="preserve">  Notas Explicativas - Demonstrativo de Receitas Orçamentárias </t>
  </si>
  <si>
    <t xml:space="preserve">Grupo: Balanço Orçamentário - Despesas Orçamentárias </t>
  </si>
  <si>
    <t xml:space="preserve">Quadro: Despesas Orçamentárias </t>
  </si>
  <si>
    <t xml:space="preserve">Despesas Orçamentárias </t>
  </si>
  <si>
    <t xml:space="preserve">Execução da Despesa </t>
  </si>
  <si>
    <t xml:space="preserve">Despesas Empenhadas </t>
  </si>
  <si>
    <t xml:space="preserve">Despesas Liquidadas </t>
  </si>
  <si>
    <t xml:space="preserve">Despesas Pagas </t>
  </si>
  <si>
    <t xml:space="preserve">Inscrição de Restos a Pagar Não Processados </t>
  </si>
  <si>
    <t xml:space="preserve">Inscrição de Restos a Pagar Processados </t>
  </si>
  <si>
    <t xml:space="preserve">  Total Geral da Despesa </t>
  </si>
  <si>
    <t xml:space="preserve">    3.0.00.00.00 - Despesas Correntes </t>
  </si>
  <si>
    <t xml:space="preserve">      3.1.00.00.00 - Pessoal e Encargos Sociais </t>
  </si>
  <si>
    <t xml:space="preserve">        3.1.20.00.00 - Transferências à União </t>
  </si>
  <si>
    <t xml:space="preserve">        3.1.22.00.00 - Execução orçamentária delegada à União </t>
  </si>
  <si>
    <t xml:space="preserve">        3.1.30.00.00 - Transferências a Estados e ao Distrito Federal </t>
  </si>
  <si>
    <t xml:space="preserve">        3.1.31.00.00 - Transferências a Estados e ao Distrito Federal - fundo a 
        fundo </t>
  </si>
  <si>
    <t xml:space="preserve">        3.1.32.00.00 - Execução orçamentária delegada a Estados e ao Distrito 
        Federal </t>
  </si>
  <si>
    <t xml:space="preserve">        3.1.35.00.00 - Transferências fundo a fundo aos Estados e ao Distrito 
        Federal à conta de recursos de que tratam os §§ 1º e 2º do art. 24 da 
        Lei Complementar nº 141, de 2012 - Restos a Pagar Cancelados </t>
  </si>
  <si>
    <t xml:space="preserve">        3.1.36.00.00 - Transferências fundo a fundo aos Estados e ao Distrito 
        Federal à conta de recursos de que trata o art. 25 da Lei Complementar 
        nº 141, de 2012 - diferença do mínimo não aplicado em exercícios 
        anteriores </t>
  </si>
  <si>
    <t xml:space="preserve">        3.1.40.00.00 - Transferências a Municípios </t>
  </si>
  <si>
    <t xml:space="preserve">        3.1.41.00.00 - Transferências a Municípios - fundo a fundo </t>
  </si>
  <si>
    <t xml:space="preserve">        3.1.42.00.00 - Execução orçamentária delegada a Municípios </t>
  </si>
  <si>
    <t xml:space="preserve">        3.1.45.00.00 - Transferências fundo a fundo aos Municípios à conta de 
        recursos de que tratam os §§ 1º e 2º do art. 24 da Lei Complementar nº 
        141, de 2012 - Restos a Pagar Cancelados </t>
  </si>
  <si>
    <t xml:space="preserve">        3.1.46.00.00 - Transferências fundo a fundo aos Municípios à conta de 
        recursos de que trata o art. 25 da Lei Complementar nº 141, de 2012 - 
        diferença do mínimo não aplicado em exercícios anteriores </t>
  </si>
  <si>
    <t xml:space="preserve">        3.1.50.00.00 - Transferências a Instituições Privadas Sem Fins 
        Lucrativos </t>
  </si>
  <si>
    <t xml:space="preserve">        3.1.60.00.00 - Transferências a instituições privadas com fins 
        lucrativos </t>
  </si>
  <si>
    <t xml:space="preserve">        3.1.67.00.00 - Execução de contrato de Parceria Público-Privada - PPP </t>
  </si>
  <si>
    <t xml:space="preserve">        3.1.70.00.00 - Transferência a instituições multigovernamentais </t>
  </si>
  <si>
    <t xml:space="preserve">        3.1.71.00.00 - Transferências a Consórcios Públicos mediante contrato de 
        rateio </t>
  </si>
  <si>
    <t xml:space="preserve">        3.1.72.00.00 - Execução orçamentária delegada a Consórcios Públicos </t>
  </si>
  <si>
    <t xml:space="preserve">        3.1.73.00.00 - Transferências a Consórcios Públicos mediante contrato de 
        rateio à conta de recursos de que tratam os §§ 1º e 2º do art. 24 da Lei 
        Complementar Nº 141, de 2012 </t>
  </si>
  <si>
    <t xml:space="preserve">        3.1.74.00.00 - Transferências a Consórcios Públicos mediante contrato de 
        rateio à conta de recursos de que trata o art. 25 da Lei Complementar Nº 
        141, de 2012 </t>
  </si>
  <si>
    <t xml:space="preserve">        3.1.75.00.00 - Transferências a instituições multigovernamentais à conta 
        de recursos de que tratam os §§ 1º e 2º do Art. 24 da Lei Complementar 
        nº 141, de 2012 - Restos a Pagar Cancelados </t>
  </si>
  <si>
    <t xml:space="preserve">        3.1.76.00.00 - Transferências a instituições multigovernamentais à conta 
        de recursos de que trata o Art. 25 da Lei Complementar nº 141, de 2012 - 
        diferença do mínimo não aplicado em exercícios anteriores </t>
  </si>
  <si>
    <t xml:space="preserve">        3.1.80.00.00 - Transferências ao Exterior </t>
  </si>
  <si>
    <t xml:space="preserve">        3.1.90.00.00 - Aplicações Diretas </t>
  </si>
  <si>
    <t xml:space="preserve">          3.1.90.01.00 - Aposentadorias do RPPS, Reserva Remunerada e Reformas 
          dos Militares </t>
  </si>
  <si>
    <t xml:space="preserve">          3.1.90.03.00 - Pensões do RPPS e do Militar </t>
  </si>
  <si>
    <t xml:space="preserve">          3.1.90.04.00 - Contratação por Tempo Determinado </t>
  </si>
  <si>
    <t xml:space="preserve">          3.1.90.07.00 - Contribuição a Entidades Fechadas de Previdência </t>
  </si>
  <si>
    <t xml:space="preserve">          3.1.90.08.00 - Outros Benefícios Assistenciais do Servidor e do Militar </t>
  </si>
  <si>
    <t xml:space="preserve">          3.1.90.11.00 - Vencimentos e Vantagens Fixas - Pessoal Civil </t>
  </si>
  <si>
    <t xml:space="preserve">          3.1.90.12.00 - Vencimentos e Vantagens Fixas - Pessoal Militar </t>
  </si>
  <si>
    <t xml:space="preserve">          3.1.90.13.00 - Obrigações Patronais </t>
  </si>
  <si>
    <t xml:space="preserve">            3.1.90.13.01 - FGTS </t>
  </si>
  <si>
    <t xml:space="preserve">            3.1.90.13.02 - Contribuições Previdenciárias - INSS </t>
  </si>
  <si>
    <t xml:space="preserve">            3.1.90.13.04 - Contribuição de salário-educação </t>
  </si>
  <si>
    <t xml:space="preserve">            3.1.90.13.07 - Contrato por Tempo Determinado </t>
  </si>
  <si>
    <t xml:space="preserve">            3.1.90.13.08 - Contribuições Previdenciárias - RPPS - Pessoal Ativo </t>
  </si>
  <si>
    <t xml:space="preserve">            3.1.90.13.09 - Seguros de acidentes do trabalho </t>
  </si>
  <si>
    <t xml:space="preserve">            3.1.90.13.10 - Contribuições previdenciárias - RPPS - pessoal inativo </t>
  </si>
  <si>
    <t xml:space="preserve">            3.1.90.13.11 - FGTS - PDV </t>
  </si>
  <si>
    <t xml:space="preserve">            3.1.90.13.18 - Contribuição para o PIS/PASEP s/ folha Pagto. </t>
  </si>
  <si>
    <t xml:space="preserve">            3.1.90.13.40 - Encargos de pessoal requisitado de outros Entes </t>
  </si>
  <si>
    <t xml:space="preserve">            3.1.90.13.99 - Outras Obrigações Patronais </t>
  </si>
  <si>
    <t xml:space="preserve">          3.1.90.16.00 - Outras Despesas Variáveis - Pessoal Civil </t>
  </si>
  <si>
    <t xml:space="preserve">          3.1.90.17.00 - Outras Despesas Variáveis - Pessoal Militar </t>
  </si>
  <si>
    <t xml:space="preserve">          3.1.90.67.00 - Depósitos Compulsórios </t>
  </si>
  <si>
    <t xml:space="preserve">          3.1.90.86.00 - Compensações a Regimes de Previdência </t>
  </si>
  <si>
    <t xml:space="preserve">          3.1.90.91.00 - Sentenças Judiciais </t>
  </si>
  <si>
    <t xml:space="preserve">          3.1.90.92.00 - Despesas de Exercícios Anteriores </t>
  </si>
  <si>
    <t xml:space="preserve">          3.1.90.94.00 - Indenizações e Restituições Trabalhistas </t>
  </si>
  <si>
    <t xml:space="preserve">          3.1.90.96.00 - Ressarcimento de Despesas de Pessoal Requisitado </t>
  </si>
  <si>
    <t xml:space="preserve">          3.1.90.99.00 - A Classificar </t>
  </si>
  <si>
    <t xml:space="preserve">        3.1.91.00.00 - Aplicação Direta Decorrente de Operação entre Órgãos, 
        Fundos e Entidades Integrantes dos Orçamentos Fiscal e da Seguridade 
        Social </t>
  </si>
  <si>
    <t xml:space="preserve">          3.1.91.04.00 - Contratação por Tempo Determinado </t>
  </si>
  <si>
    <t xml:space="preserve">          3.1.91.08.00 - Outros Benefícios Assistenciais do Servidor e do Militar </t>
  </si>
  <si>
    <t xml:space="preserve">          3.1.91.13.00 - Contribuições Patronais </t>
  </si>
  <si>
    <t xml:space="preserve">            3.1.91.13.02 - Contribuições previdenciárias - INSS </t>
  </si>
  <si>
    <t xml:space="preserve">            3.1.91.13.04 - Contribuição de salário-educação </t>
  </si>
  <si>
    <t xml:space="preserve">            3.1.91.13.08 - Contribuições previdenciárias - RPPS - pessoal ativo - 
            plano previdenciário </t>
  </si>
  <si>
    <t xml:space="preserve">            3.1.91.13.09 - Seguros de acidentes do trabalho </t>
  </si>
  <si>
    <t xml:space="preserve">            3.1.91.13.10 - Contribuições previdenciárias - RPPS - pessoal inativo 
            e pensionista - plano previdenciário </t>
  </si>
  <si>
    <t xml:space="preserve">            3.1.91.13.11 - Contribuições previdenciárias - RPPS - pessoal ativo - 
            plano financeiro </t>
  </si>
  <si>
    <t xml:space="preserve">            3.1.91.13.12 - Contribuições previdenciárias - RPPS - pessoal inativo 
            e pensionista - plano financeiro </t>
  </si>
  <si>
    <t xml:space="preserve">            3.1.91.13.20 - Alíquota suplementar de contribuição previdenciária - 
            pessoal ativo - plano previdenciário </t>
  </si>
  <si>
    <t xml:space="preserve">            3.1.91.13.21 - Alíquota suplementar de contribuição previdenciária - 
            pessoal inativo e pensionista - plano previdenciário </t>
  </si>
  <si>
    <t xml:space="preserve">            3.1.91.13.22 - Alíquota suplementar de contribuição previdenciária - 
            pessoal ativo - plano financeiro </t>
  </si>
  <si>
    <t xml:space="preserve">            3.1.91.13.23 - Alíquota suplementar de contribuição previdenciária - 
            pessoal inativo e pensionista - plano financeiro </t>
  </si>
  <si>
    <t xml:space="preserve">            3.1.91.13.99 - Outras Obrigações Patronais - Intraorçamentária </t>
  </si>
  <si>
    <t xml:space="preserve">          3.1.91.86.00 - Compensações a Regimes de Previdência </t>
  </si>
  <si>
    <t xml:space="preserve">          3.1.91.91.00 - Sentenças Judiciais </t>
  </si>
  <si>
    <t xml:space="preserve">          3.1.91.92.00 - Despesas de Exercícios Anteriores </t>
  </si>
  <si>
    <t xml:space="preserve">          3.1.91.94.00 - Indenizações e Restituições Trabalhistas </t>
  </si>
  <si>
    <t xml:space="preserve">          3.1.91.96.00 - Ressarcimento de Despesas de Pessoal Requisitado </t>
  </si>
  <si>
    <t xml:space="preserve">          3.1.91.99.00 - A Classificar </t>
  </si>
  <si>
    <t xml:space="preserve">        3.1.92.00.00 - Aplicação Direta de Recursos Recebidos de Outros Entes da 
        Federação Decorrentes de Delegação ou Descentralização </t>
  </si>
  <si>
    <t xml:space="preserve">        3.1.93.00.00 - Aplicação direta decorrente de operação de Órgãos, fundos 
        e entidades integrantes dos OFSS com Consórcio Público do qual o Ente 
        participe </t>
  </si>
  <si>
    <t xml:space="preserve">        3.1.94.00.00 - Aplicação direta decorrente de operação de Órgãos, fundos 
        e entidades integrantes dos OFSS com Consórcio Público do qual o Ente 
        não participe </t>
  </si>
  <si>
    <t xml:space="preserve">        3.1.95.00.00 - Aplicação Direta à conta de recursos de que tratam os §§ 
        1º e 2º do art. 24 da Lei Complementar Nº 141, de 2012 </t>
  </si>
  <si>
    <t xml:space="preserve">        3.1.96.00.00 - Aplicação Direta à conta de recursos de que trata o art. 
        25 da Lei Complementar Nº 141, de 2012 </t>
  </si>
  <si>
    <t xml:space="preserve">        3.1.99.00.00 - A Definir </t>
  </si>
  <si>
    <t xml:space="preserve">      3.2.00.00.00 - Juros e Encargos da Dívida </t>
  </si>
  <si>
    <t xml:space="preserve">        3.2.20.00.00 - Transferências à União </t>
  </si>
  <si>
    <t xml:space="preserve">        3.2.22.00.00 - Execução orçamentária delegada à União </t>
  </si>
  <si>
    <t xml:space="preserve">        3.2.30.00.00 - Transferências a Estados e ao Distrito Federal </t>
  </si>
  <si>
    <t xml:space="preserve">        3.2.31.00.00 - Transferências a Estados e ao Distrito Federal - fundo a 
        fundo </t>
  </si>
  <si>
    <t xml:space="preserve">        3.2.32.00.00 - Execução orçamentária delegada a Estados e ao Distrito 
        Federal </t>
  </si>
  <si>
    <t xml:space="preserve">        3.2.35.00.00 - Transferências fundo a fundo aos Estados e ao Distrito 
        Federal à conta de recursos de que tratam os §§ 1º e 2º do Art. 24 da 
        Lei Complementar nº 141, de 2012 </t>
  </si>
  <si>
    <t xml:space="preserve">        3.2.36.00.00 - Transferências fundo a fundo aos Estados e ao Distrito 
        Federal à conta de recursos de que trata o Art. 25 da Lei Complementar 
        nº 141, de 2012 </t>
  </si>
  <si>
    <t xml:space="preserve">        3.2.40.00.00 - Transferências a Municípios </t>
  </si>
  <si>
    <t xml:space="preserve">        3.2.41.00.00 - Transferências a Municípios - fundo a fundo </t>
  </si>
  <si>
    <t xml:space="preserve">        3.2.42.00.00 - Execução orçamentária delegada a Municípios </t>
  </si>
  <si>
    <t xml:space="preserve">        3.2.45.00.00 - Transferências fundo a fundo aos Municípios à conta de 
        recursos de que tratam os §§ 1º e 2º do Art. 24 da Lei Complementar nº 
        141, de 2012 </t>
  </si>
  <si>
    <t xml:space="preserve">        3.2.46.00.00 - Transferências fundo a fundo aos Municípios à conta de 
        recursos de que trata o Art. 25 da Lei Complementar nº 141, de 2012 </t>
  </si>
  <si>
    <t xml:space="preserve">        3.2.50.00.00 - Transferências a instituições privadas sem fins 
        lucrativos </t>
  </si>
  <si>
    <t xml:space="preserve">        3.2.60.00.00 - Transferências a instituições privadas com fins 
        lucrativos </t>
  </si>
  <si>
    <t xml:space="preserve">        3.2.67.00.00 - Execução de contrato de Parceria Público-Privada - PPP </t>
  </si>
  <si>
    <t xml:space="preserve">        3.2.70.00.00 - Transferência a instituições multigovernamentais </t>
  </si>
  <si>
    <t xml:space="preserve">        3.2.71.00.00 - Transferências a Consórcios Públicos mediante contrato de 
        rateio </t>
  </si>
  <si>
    <t xml:space="preserve">        3.2.72.00.00 - Execução orçamentária delegada a Consórcios Públicos </t>
  </si>
  <si>
    <t xml:space="preserve">        3.2.73.00.00 - Transferências a Consórcios Públicos mediante contrato de 
        rateio à conta de recursos de que tratam os §§ 1º e 2º do art. 24 da Lei 
        Complementar nº 141, de 2012 </t>
  </si>
  <si>
    <t xml:space="preserve">        3.2.74.00.00 - Transferências a Consórcios Públicos mediante contrato de 
        rateio à conta de recursos de que trata o art. 25 da Lei Complementar nº 
        141, de 2012 </t>
  </si>
  <si>
    <t xml:space="preserve">        3.2.75.00.00 - Transferências a instituições multigovernamentais à conta 
        de recursos de que tratam os §§ 1º e 2º do Art. 24 da Lei Complementar 
        nº 141, de 2012 </t>
  </si>
  <si>
    <t xml:space="preserve">        3.2.76.00.00 - Transferências a instituições multigovernamentais à conta 
        de recursos de que trata o Art. 25 da Lei Complementar nº 141, de 2012 </t>
  </si>
  <si>
    <t xml:space="preserve">        3.2.80.00.00 - Transferências ao exterior </t>
  </si>
  <si>
    <t xml:space="preserve">        3.2.90.00.00 - Aplicações Diretas </t>
  </si>
  <si>
    <t xml:space="preserve">          3.2.90.21.00 - Juros sobre a Dívida por Contrato </t>
  </si>
  <si>
    <t xml:space="preserve">          3.2.90.22.00 - Outros Encargos sobre a Dívida por Contrato </t>
  </si>
  <si>
    <t xml:space="preserve">          3.2.90.23.00 - Juros, Deságios e Descontos da Dívida Mobiliária </t>
  </si>
  <si>
    <t xml:space="preserve">          3.2.90.24.00 - Outros Encargos sobre a Dívida Mobiliária </t>
  </si>
  <si>
    <t xml:space="preserve">          3.2.90.25.00 - Encargos sobre Operações de Crédito por Antecipação da 
          Receita </t>
  </si>
  <si>
    <t xml:space="preserve">          3.2.90.26.00 - Obrigações Decorrentes de Política Monetária </t>
  </si>
  <si>
    <t xml:space="preserve">          3.2.90.91.00 - Sentenças Judiciais </t>
  </si>
  <si>
    <t xml:space="preserve">          3.2.90.92.00 - Despesas de Exercícios Anteriores </t>
  </si>
  <si>
    <t xml:space="preserve">          3.2.90.93.00 - Indenizações e Restituições </t>
  </si>
  <si>
    <t xml:space="preserve">          3.2.90.99.00 - A Classificar </t>
  </si>
  <si>
    <t xml:space="preserve">        3.2.91.00.00 - Aplicação direta decorrente de operação entre Órgãos, 
        fundos e entidades integrantes dos OFSS </t>
  </si>
  <si>
    <t xml:space="preserve">        3.2.92.00.00 - Aplicação Direta de Recursos Recebidos de Outros Entes da 
        Federação Decorrentes de Delegação ou Descentralização </t>
  </si>
  <si>
    <t xml:space="preserve">        3.2.93.00.00 - Aplicação direta decorrente de operação de Órgãos, fundos 
        e entidades integrantes dos OFSS com Consórcio Público do qual o Ente 
        participe </t>
  </si>
  <si>
    <t xml:space="preserve">        3.2.94.00.00 - Aplicação direta decorrente de operação de Órgãos, fundos 
        e entidades integrantes dos OFSS com Consórcio Público do qual o Ente 
        não participe </t>
  </si>
  <si>
    <t xml:space="preserve">        3.2.95.00.00 - Aplicação Direta à conta de recursos de que tratam os §§ 
        1º e 2º do art. 24 da Lei Complementar Nº 141, de 2012 </t>
  </si>
  <si>
    <t xml:space="preserve">        3.2.96.00.00 - Aplicação Direta à conta de recursos de que trata o art. 
        25 da Lei Complementar Nº 141, de 2012 </t>
  </si>
  <si>
    <t xml:space="preserve">        3.2.99.00.00 - A Definir </t>
  </si>
  <si>
    <t xml:space="preserve">      3.3.00.00.00 - Outras Despesas Correntes </t>
  </si>
  <si>
    <t xml:space="preserve">        3.3.20.00.00 - Transferências à União </t>
  </si>
  <si>
    <t xml:space="preserve">        3.3.22.00.00 - Execução Orçamentária Delegada à União </t>
  </si>
  <si>
    <t xml:space="preserve">        3.3.30.00.00 - Transferências a Estados e ao Distrito Federal </t>
  </si>
  <si>
    <t xml:space="preserve">          3.3.30.41.00 - Contribuições </t>
  </si>
  <si>
    <t xml:space="preserve">          3.3.30.81.00 - Distribuição Constitucional ou Legal de Receitas </t>
  </si>
  <si>
    <t xml:space="preserve">          3.3.30.92.00 - Despesas de exercícios anteriores </t>
  </si>
  <si>
    <t xml:space="preserve">          3.3.30.93.00 - Indenizações e restituições </t>
  </si>
  <si>
    <t xml:space="preserve">          3.3.30.99.00 - A Classificar </t>
  </si>
  <si>
    <t xml:space="preserve">        3.3.31.00.00 - Transferências a Estados e ao Distrito Federal - Fundo a 
        Fundo </t>
  </si>
  <si>
    <t xml:space="preserve">        3.3.32.00.00 - Execução Orçamentária Delegada a Estados e ao Distrito 
        Federal </t>
  </si>
  <si>
    <t xml:space="preserve">        3.3.35.00.00 - Transferências Fundo a Fundo aos Estados e ao Distrito 
        Federal à conta de recursos de que tratam os §§ 1º e 2º do art. 24 da 
        Lei Complementar Nº 141, de 2012 </t>
  </si>
  <si>
    <t xml:space="preserve">        3.3.36.00.00 - Transferências Fundo a Fundo aos Estados e ao Distrito 
        Federal à conta de recursos de que trata o art. 25 da Lei Complementar 
        Nº 141, de 2012 </t>
  </si>
  <si>
    <t xml:space="preserve">        3.3.40.00.00 - Transferências a Municípios </t>
  </si>
  <si>
    <t xml:space="preserve">          3.3.40.41.00 - Contribuições </t>
  </si>
  <si>
    <t xml:space="preserve">          3.3.40.81.00 - Distribuição Constitucional ou Legal de Receitas </t>
  </si>
  <si>
    <t xml:space="preserve">          3.3.40.91.00 - Sentenças judiciais </t>
  </si>
  <si>
    <t xml:space="preserve">          3.3.40.92.00 - Despesas de exercícios anteriores </t>
  </si>
  <si>
    <t xml:space="preserve">          3.3.40.93.00 - Indenizações e restituições </t>
  </si>
  <si>
    <t xml:space="preserve">          3.3.40.99.00 - A Classificar </t>
  </si>
  <si>
    <t xml:space="preserve">        3.3.41.00.00 - Transferências a Municípios - Fundo a Fundo </t>
  </si>
  <si>
    <t xml:space="preserve">        3.3.42.00.00 - Execução Orçamentária Delegada a Municípios </t>
  </si>
  <si>
    <t xml:space="preserve">        3.3.45.00.00 - Transferências Fundo a Fundo aos Municípios à conta de 
        recursos de que tratam os §§ 1º e 2º do art. 24 da Lei Complementar Nº 
        141, de 2012 </t>
  </si>
  <si>
    <t xml:space="preserve">        3.3.46.00.00 - Transferências Fundo a Fundo aos Municípios à conta de 
        recursos de que trata o art. 25 da Lei Complementar Nº 141, de 2012 </t>
  </si>
  <si>
    <t xml:space="preserve">        3.3.50.00.00 - Transferências a Instituições Privadas sem Fins 
        Lucrativos </t>
  </si>
  <si>
    <t xml:space="preserve">        3.3.60.00.00 - Transferências a Instituições Privadas com Fins 
        Lucrativos </t>
  </si>
  <si>
    <t xml:space="preserve">        3.3.67.00.00 - Execução de Contrato de Parceria Público-Privada - PPP </t>
  </si>
  <si>
    <t xml:space="preserve">        3.3.70.00.00 - Transferências a Instituições Multigovernamentais </t>
  </si>
  <si>
    <t xml:space="preserve">        3.3.71.00.00 - Transferências a Consórcios Públicos mediante contrato de 
        rateio </t>
  </si>
  <si>
    <t xml:space="preserve">        3.3.72.00.00 - Execução Orçamentária Delegada a Consórcios Públicos </t>
  </si>
  <si>
    <t xml:space="preserve">        3.3.73.00.00 - Transferências a Consórcios Públicos mediante contrato de 
        rateio à conta de recursos de que tratam os §§ 1º e 2º do art. 24 da Lei 
        Complementar Nº 141, de 2012 </t>
  </si>
  <si>
    <t xml:space="preserve">        3.3.74.00.00 - Transferências a Consórcios Públicos mediante contrato de 
        rateio à conta de recursos de que trata o art. 25 da Lei Complementar Nº 
        141, de 2012 </t>
  </si>
  <si>
    <t xml:space="preserve">        3.3.75.00.00 - Transferências a Instituições Multigovernamentais à conta 
        de recursos de que tratam os §§ 1º e 2º do art. 24 da Lei Complementar 
        Nº 141, de 2012 </t>
  </si>
  <si>
    <t xml:space="preserve">        3.3.76.00.00 - Transferências a Instituições Multigovernamentais à conta 
        de recursos de que trata o art. 25 da Lei Complementar Nº 141, de 2012 </t>
  </si>
  <si>
    <t xml:space="preserve">        3.3.80.00.00 - Transferências ao Exterior </t>
  </si>
  <si>
    <t xml:space="preserve">        3.3.90.00.00 - Aplicações Diretas </t>
  </si>
  <si>
    <t xml:space="preserve">          3.3.90.04.00 - Contratação por Tempo Determinado </t>
  </si>
  <si>
    <t xml:space="preserve">          3.3.90.06.00 - Benefício Mensal ao Deficiente e ao Idoso </t>
  </si>
  <si>
    <t xml:space="preserve">          3.3.90.08.00 - Outros Benefícios Assistenciais do servidor e do militar </t>
  </si>
  <si>
    <t xml:space="preserve">          3.3.90.10.00 - Seguro Desemprego e Abono Salarial </t>
  </si>
  <si>
    <t xml:space="preserve">          3.3.90.14.00 - Diárias - Civil </t>
  </si>
  <si>
    <t xml:space="preserve">          3.3.90.15.00 - Diárias - Militar </t>
  </si>
  <si>
    <t xml:space="preserve">          3.3.90.18.00 - Auxílio Financeiro a Estudantes </t>
  </si>
  <si>
    <t xml:space="preserve">          3.3.90.19.00 - Auxílio-Fardamento </t>
  </si>
  <si>
    <t xml:space="preserve">          3.3.90.20.00 - Auxílio Financeiro a Pesquisadores </t>
  </si>
  <si>
    <t xml:space="preserve">          3.3.90.27.00 - Encargos pela Honra de Avais, Garantias, Seguros e 
          Similares </t>
  </si>
  <si>
    <t xml:space="preserve">          3.3.90.28.00 - Remuneração de Cotas de Fundos Autárquicos </t>
  </si>
  <si>
    <t xml:space="preserve">          3.3.90.29.00 - Distribuição de Resultado de Empresas Estatais 
          Dependentes </t>
  </si>
  <si>
    <t xml:space="preserve">          3.3.90.30.00 - Material de Consumo </t>
  </si>
  <si>
    <t xml:space="preserve">          3.3.90.31.00 - Premiações Culturais, Artísticas, Científicas, 
          Desportivas e Outras </t>
  </si>
  <si>
    <t xml:space="preserve">          3.3.90.32.00 - Material, Bem ou Serviço para Distribuição Gratuita </t>
  </si>
  <si>
    <t xml:space="preserve">          3.3.90.33.00 - Passagens e Despesas com Locomoção </t>
  </si>
  <si>
    <t xml:space="preserve">          3.3.90.34.00 - Outras Despesas de Pessoal decorrentes de Contratos de 
          Terceirização </t>
  </si>
  <si>
    <t xml:space="preserve">          3.3.90.35.00 - Serviços de Consultoria </t>
  </si>
  <si>
    <t xml:space="preserve">          3.3.90.36.00 - Outros Serviços de Terceiros - Pessoa Física </t>
  </si>
  <si>
    <t xml:space="preserve">          3.3.90.37.00 - Locação de Mão-de-Obra </t>
  </si>
  <si>
    <t xml:space="preserve">          3.3.90.38.00 - Arrendamento Mercantil </t>
  </si>
  <si>
    <t xml:space="preserve">          3.3.90.39.00 - Outros Serviços de Terceiros - Pessoa Jurídica </t>
  </si>
  <si>
    <t xml:space="preserve">          3.3.90.40.00 - Serviços de Tecnologia da Informação e Comunicação - 
          Pessoa Jurídica </t>
  </si>
  <si>
    <t xml:space="preserve">          3.3.90.41.00 - Contribuições </t>
  </si>
  <si>
    <t xml:space="preserve">          3.3.90.45.00 - Subvenções Econômicas </t>
  </si>
  <si>
    <t xml:space="preserve">          3.3.90.46.00 - Auxílio-Alimentação </t>
  </si>
  <si>
    <t xml:space="preserve">          3.3.90.47.00 - Obrigações Tributárias e Contributivas </t>
  </si>
  <si>
    <t xml:space="preserve">          3.3.90.48.00 - Outros Auxílios Financeiros a Pessoas Físicas </t>
  </si>
  <si>
    <t xml:space="preserve">          3.3.90.49.00 - Auxílio-Transporte </t>
  </si>
  <si>
    <t xml:space="preserve">          3.3.90.53.00 - Aposentadorias do RGPS - Área Rural </t>
  </si>
  <si>
    <t xml:space="preserve">          3.3.90.54.00 - Aposentadorias do RGPS - Área Urbana </t>
  </si>
  <si>
    <t xml:space="preserve">          3.3.90.55.00 - Pensões do RGPS - Área Rural </t>
  </si>
  <si>
    <t xml:space="preserve">          3.3.90.56.00 - Pensões do RGPS - Área Urbana </t>
  </si>
  <si>
    <t xml:space="preserve">          3.3.90.57.00 - Outros Benefícios do RGPS - Área Rural </t>
  </si>
  <si>
    <t xml:space="preserve">          3.3.90.58.00 - Outros Benefícios do RGPS - Área Urbana </t>
  </si>
  <si>
    <t xml:space="preserve">          3.3.90.59.00 - Pensões Especiais </t>
  </si>
  <si>
    <t xml:space="preserve">          3.3.90.62.00 - Aquisição de Produtos para Revenda </t>
  </si>
  <si>
    <t xml:space="preserve">          3.3.90.67.00 - Depósitos Compulsórios </t>
  </si>
  <si>
    <t xml:space="preserve">          3.3.90.81.00 - Distribuição Constitucional ou Legal de Receitas </t>
  </si>
  <si>
    <t xml:space="preserve">          3.3.90.86.00 - Compensações a Regimes de Previdência </t>
  </si>
  <si>
    <t xml:space="preserve">          3.3.90.91.00 - Sentenças Judiciais </t>
  </si>
  <si>
    <t xml:space="preserve">          3.3.90.92.00 - Despesas de Exercícios Anteriores </t>
  </si>
  <si>
    <t xml:space="preserve">          3.3.90.93.00 - Indenizações e Restituições </t>
  </si>
  <si>
    <t xml:space="preserve">          3.3.90.95.00 - Indenização pela Execução de Trabalhos de Campo </t>
  </si>
  <si>
    <t xml:space="preserve">          3.3.90.96.00 - Ressarcimento de Despesas de Pessoal Requisitado </t>
  </si>
  <si>
    <t xml:space="preserve">          3.3.90.98.00 - Despesa do Orçamento de Investimento </t>
  </si>
  <si>
    <t xml:space="preserve">          3.3.90.99.00 - A Classificar </t>
  </si>
  <si>
    <t xml:space="preserve">        3.3.91.00.00 - Aplicação Direta Decorrente de Operação entre Órgãos, 
        Fundos e Entidades Integrantes dos Orçamentos Fiscal e da Seguridade 
        Social </t>
  </si>
  <si>
    <t xml:space="preserve">        3.3.92.00.00 - Aplicação Direta de Recursos Recebidos de Outros Entes da 
        Federação Decorrentes de Delegação ou Descentralização </t>
  </si>
  <si>
    <t xml:space="preserve">        3.3.93.00.00 - Aplicação Direta Decorrente de Operação de Órgãos, Fundos 
        e Entidades Integrantes dos Orçamentos Fiscal e da Seguridade Social com 
        Consórcio Público do qual o Ente Participe </t>
  </si>
  <si>
    <t xml:space="preserve">        3.3.94.00.00 - Aplicação Direta Decorrente de Operação de Órgãos, Fundos 
        e Entidades Integrantes dos Orçamentos Fiscal e da Seguridade Social com 
        Consórcio Público do qual o Ente Não Participe </t>
  </si>
  <si>
    <t xml:space="preserve">        3.3.95.00.00 - Aplicação Direta à conta de recursos de que tratam os §§ 
        1º e 2º do art. 24 da Lei Complementar Nº 141, de 2012 </t>
  </si>
  <si>
    <t xml:space="preserve">        3.3.96.00.00 - Aplicação Direta à conta de recursos de que trata o art. 
        25 da Lei Complementar Nº 141, de 2012 </t>
  </si>
  <si>
    <t xml:space="preserve">        3.3.99.00.00 - A Definir </t>
  </si>
  <si>
    <t xml:space="preserve">    4.0.00.00.00 - Despesas de Capital </t>
  </si>
  <si>
    <t xml:space="preserve">      4.4.00.00.00 - Investimentos </t>
  </si>
  <si>
    <t xml:space="preserve">        4.4.20.00.00 - Transferências à União </t>
  </si>
  <si>
    <t xml:space="preserve">        4.4.22.00.00 - Execução Orçamentária Delegada à União </t>
  </si>
  <si>
    <t xml:space="preserve">        4.4.30.00.00 - Transferências a Estados e ao Distrito Federal </t>
  </si>
  <si>
    <t xml:space="preserve">        4.4.31.00.00 - Transferências a Estados e ao Distrito Federal - Fundo a 
        Fundo </t>
  </si>
  <si>
    <t xml:space="preserve">        4.4.32.00.00 - Execução Orçamentária Delegada a Estados e ao Distrito 
        Federal </t>
  </si>
  <si>
    <t xml:space="preserve">        4.4.35.00.00 - Transferências Fundo a Fundo aos Estados e ao Distrito 
        Federal à conta de recursos de que tratam os §§ 1º e 2º do art. 24 da 
        Lei Complementar Nº 141, de 2012 </t>
  </si>
  <si>
    <t xml:space="preserve">        4.4.36.00.00 - Transferências Fundo a Fundo aos Estados e ao Distrito 
        Federal à conta de recursos de que trata o art. 25 da Lei Complementar 
        Nº 141, de 2012 </t>
  </si>
  <si>
    <t xml:space="preserve">        4.4.40.00.00 - Transferências a Municípios </t>
  </si>
  <si>
    <t xml:space="preserve">        4.4.41.00.00 - Transferências a Municípios - Fundo a Fundo </t>
  </si>
  <si>
    <t xml:space="preserve">        4.4.42.00.00 - Execução Orçamentária Delegada a Municípios </t>
  </si>
  <si>
    <t xml:space="preserve">        4.4.45.00.00 - Transferências Fundo a Fundo aos Municípios à conta de 
        recursos de que tratam os §§ 1º e 2º do art. 24 da Lei Complementar Nº 
        141, de 2012 </t>
  </si>
  <si>
    <t xml:space="preserve">        4.4.46.00.00 - Transferências Fundo a Fundo aos Municípios à conta de 
        recursos de que trata o art. 25 da Lei Complementar Nº 141, de 2012 </t>
  </si>
  <si>
    <t xml:space="preserve">        4.4.50.00.00 - Transferências a Instituições Privadas sem Fins 
        Lucrativos </t>
  </si>
  <si>
    <t xml:space="preserve">        4.4.60.00.00 - Transferências a Instituições Privadas com Fins 
        Lucrativos </t>
  </si>
  <si>
    <t xml:space="preserve">        4.4.67.00.00 - Execução de contrato de Parceria Público-Privada </t>
  </si>
  <si>
    <t xml:space="preserve">        4.4.70.00.00 - Transferências a Instituições Multigovernamentais </t>
  </si>
  <si>
    <t xml:space="preserve">        4.4.71.00.00 - Transferências a Consórcios Públicos mediante contrato de 
        rateio </t>
  </si>
  <si>
    <t xml:space="preserve">        4.4.72.00.00 - Execução Orçamentária Delegada a Consórcios Públicos </t>
  </si>
  <si>
    <t xml:space="preserve">        4.4.73.00.00 - Transferências a Consórcios Públicos mediante contrato de 
        rateio à conta de recursos de que tratam os §§ 1º e 2º do art. 24 da Lei 
        Complementar Nº 141, de 2012 </t>
  </si>
  <si>
    <t xml:space="preserve">        4.4.74.00.00 - Transferências a Consórcios Públicos mediante contrato de 
        rateio à conta de recursos de que trata o art. 25 da Lei Complementar Nº 
        141, de 2012 </t>
  </si>
  <si>
    <t xml:space="preserve">        4.4.75.00.00 - Transferências a Instituições Multigovernamentais à conta 
        de recursos de que tratam os §§ 1º e 2º do art. 24 da Lei Complementar 
        Nº 141, de 2012 </t>
  </si>
  <si>
    <t xml:space="preserve">        4.4.76.00.00 - Transferências a Instituições Multigovernamentais à conta 
        de recursos de que trata o art. 25 da Lei Complementar Nº 141, de 2012 </t>
  </si>
  <si>
    <t xml:space="preserve">        4.4.80.00.00 - Transferências ao Exterior </t>
  </si>
  <si>
    <t xml:space="preserve">        4.4.90.00.00 - Aplicações Diretas </t>
  </si>
  <si>
    <t xml:space="preserve">          4.4.90.04.00 - Contratação por Tempo Determinado </t>
  </si>
  <si>
    <t xml:space="preserve">          4.4.90.14.00 - Diárias - Civil </t>
  </si>
  <si>
    <t xml:space="preserve">          4.4.90.15.00 - Diárias - Militar </t>
  </si>
  <si>
    <t xml:space="preserve">          4.4.90.17.00 - Outras Despesas Variáveis - Pessoal Militar </t>
  </si>
  <si>
    <t xml:space="preserve">          4.4.90.18.00 - Auxílio Financeiro a Estudantes </t>
  </si>
  <si>
    <t xml:space="preserve">          4.4.90.20.00 - Auxílio Financeiro a Pesquisadores </t>
  </si>
  <si>
    <t xml:space="preserve">          4.4.90.30.00 - Material de Consumo </t>
  </si>
  <si>
    <t xml:space="preserve">          4.4.90.33.00 - Passagens e Despesas com Locomoção </t>
  </si>
  <si>
    <t xml:space="preserve">          4.4.90.35.00 - Serviços de Consultoria </t>
  </si>
  <si>
    <t xml:space="preserve">          4.4.90.36.00 - Outros Serviços de Terceiros - Pessoa Física </t>
  </si>
  <si>
    <t xml:space="preserve">          4.4.90.37.00 - Locação de Mão-de-Obra </t>
  </si>
  <si>
    <t xml:space="preserve">          4.4.90.39.00 - Outros Serviços de Terceiros - Pessoa Jurídica </t>
  </si>
  <si>
    <t xml:space="preserve">          4.4.90.40.00 - Serviços de Tecnologia da Informação e Comunicação - 
          Pessoa Jurídica </t>
  </si>
  <si>
    <t xml:space="preserve">          4.4.90.47.00 - Obrigações Tributárias e Contributivas </t>
  </si>
  <si>
    <t xml:space="preserve">          4.4.90.51.00 - Obras e Instalações </t>
  </si>
  <si>
    <t xml:space="preserve">            4.4.90.51.80 - Estudos e projetos </t>
  </si>
  <si>
    <t xml:space="preserve">            4.4.90.51.91 - Obras em Andamento </t>
  </si>
  <si>
    <t xml:space="preserve">            4.4.90.51.99 - Outras Obras e Instalações </t>
  </si>
  <si>
    <t xml:space="preserve">          4.4.90.52.00 - Equipamentos e Material Permanente </t>
  </si>
  <si>
    <t xml:space="preserve">          4.4.90.61.00 - Aquisição de Imóveis </t>
  </si>
  <si>
    <t xml:space="preserve">          4.4.90.91.00 - Sentenças Judiciais </t>
  </si>
  <si>
    <t xml:space="preserve">          4.4.90.92.00 - Despesas de Exercícios Anteriores </t>
  </si>
  <si>
    <t xml:space="preserve">          4.4.90.93.00 - Indenizações e Restituições </t>
  </si>
  <si>
    <t xml:space="preserve">          4.4.90.95.00 - Indenização pela Execução de Trabalhos de Campo </t>
  </si>
  <si>
    <t xml:space="preserve">          4.4.90.99.00 - A Classificar </t>
  </si>
  <si>
    <t xml:space="preserve">        4.4.91.00.00 - Aplicação Direta Decorrente de Operação entre Órgãos, 
        Fundos e Entidades Integrantes dos Orçamentos Fiscal e da Seguridade 
        Social </t>
  </si>
  <si>
    <t xml:space="preserve">        4.4.92.00.00 - Aplicação Direta de Recursos de Outros Entes da Federação 
        Decorrentes de Delegação ou Descentralização </t>
  </si>
  <si>
    <t xml:space="preserve">        4.4.93.00.00 - Aplicação Direta Decorrente de Operação de Órgãos, Fundos 
        e Entidades Integrantes dos Orçamentos Fiscal e da Seguridade Social com 
        Consórcio Público do qual o Ente Participe </t>
  </si>
  <si>
    <t xml:space="preserve">        4.4.94.00.00 - Aplicação Direta Decorrente de Operação de Órgãos, Fundos 
        e Entidades Integrantes dos Orçamentos Fiscal e da Seguridade Social com 
        Consórcio Público do qual o Ente Não Participe </t>
  </si>
  <si>
    <t xml:space="preserve">        4.4.95.00.00 - Aplicação Direta à conta de recursos de que tratam os §§ 
        1º e 2º do art. 24 da Lei Complementar Nº 141, de 2012 </t>
  </si>
  <si>
    <t xml:space="preserve">        4.4.96.00.00 - Aplicação Direta à conta de recursos de que trata o art. 
        25 da Lei Complementar Nº 141, de 2012 </t>
  </si>
  <si>
    <t xml:space="preserve">        4.4.99.00.00 - A Definir </t>
  </si>
  <si>
    <t xml:space="preserve">      4.5.00.00.00 - Inversões Financeiras </t>
  </si>
  <si>
    <t xml:space="preserve">        4.5.20.00.00 - Transferências à União </t>
  </si>
  <si>
    <t xml:space="preserve">        4.5.22.00.00 - Execução orçamentária delegada à União </t>
  </si>
  <si>
    <t xml:space="preserve">        4.5.30.00.00 - Transferências a Estados e ao Distrito Federal </t>
  </si>
  <si>
    <t xml:space="preserve">        4.5.31.00.00 - Transferências a Estados e DF - Fundo a Fundo </t>
  </si>
  <si>
    <t xml:space="preserve">        4.5.32.00.00 - Execução Orçamentária Delegada a Estados e ao Distrito 
        Federal </t>
  </si>
  <si>
    <t xml:space="preserve">        4.5.35.00.00 - Transferências fundo a fundo aos Estados e ao Distrito 
        Federal à conta de recursos de que tratam os §§ 1º e 2º do Art. 24 da 
        Lei Complementar nº 141, de 2012 - Restos a Pagar Cancelados </t>
  </si>
  <si>
    <t xml:space="preserve">        4.5.36.00.00 - Transferências fundo a fundo aos Estados e ao Distrito 
        Federal à conta de recursos de que trata o Art. 25 da Lei Complementar 
        nº 141, de 2012 - diferença do mínimo não aplicado em exercícios 
        anteriores </t>
  </si>
  <si>
    <t xml:space="preserve">        4.5.40.00.00 - Transferências a Municípios </t>
  </si>
  <si>
    <t xml:space="preserve">        4.5.41.00.00 - Transferências a Municípios - fundo a fundo </t>
  </si>
  <si>
    <t xml:space="preserve">        4.5.42.00.00 - Execução Orçamentária Delegada a Municípios </t>
  </si>
  <si>
    <t xml:space="preserve">        4.5.45.00.00 - Transferências fundo a fundo aos Municípios à conta de 
        recursos de que tratam os §§ 1º e 2º do Art. 24 da Lei Complementar nº 
        141, de 2012 - Restos a Pagar Cancelados </t>
  </si>
  <si>
    <t xml:space="preserve">        4.5.46.00.00 - Transferências fundo a fundo aos Municípios à conta de 
        recursos de que trata o Art. 25 da Lei Complementar nº 141, de 2012 - 
        diferença do mínimo não aplicado em exercícios anteriores </t>
  </si>
  <si>
    <t xml:space="preserve">        4.5.50.00.00 - Transferências a Instituições Privadas sem Fins 
        Lucrativos </t>
  </si>
  <si>
    <t xml:space="preserve">        4.5.60.00.00 - Transferências a Instituições Privadas com Fins 
        Lucrativos </t>
  </si>
  <si>
    <t xml:space="preserve">        4.5.67.00.00 - Execução de Contrato de Parceria Público-Privada - PPP </t>
  </si>
  <si>
    <t xml:space="preserve">        4.5.70.00.00 - Transferências a Instituições Multigovernamentais </t>
  </si>
  <si>
    <t xml:space="preserve">        4.5.71.00.00 - Transferências a Consórcios Públicos mediante contrato de 
        rateio </t>
  </si>
  <si>
    <t xml:space="preserve">        4.5.72.00.00 - Execução Orçamentária Delegada a Consórcios Públicos </t>
  </si>
  <si>
    <t xml:space="preserve">        4.5.73.00.00 - Transferências a Consórcios Públicos mediante contrato de 
        rateio à conta de recursos de que tratam os §§ 1º e 2º do art. 24 da Lei 
        Complementar Nº 141, de 2012 </t>
  </si>
  <si>
    <t xml:space="preserve">        4.5.74.00.00 - Transferências a Consórcios Públicos mediante contrato de 
        rateio à conta de recursos de que trata o art. 25 da Lei Complementar Nº 
        141, de 2012 </t>
  </si>
  <si>
    <t xml:space="preserve">        4.5.75.00.00 - Transferências a instituições multigovernamentais à conta 
        de recursos de que tratam os §§ 1º e 2º do Art. 24 da Lei Complementar 
        Nº 141, de 2012 </t>
  </si>
  <si>
    <t xml:space="preserve">        4.5.76.00.00 - Transferências a instituições multigovernamentais à conta 
        de recursos de que trata o Art. 25 da Lei Complementar nº 141, de 2012 </t>
  </si>
  <si>
    <t xml:space="preserve">        4.5.80.00.00 - Transferências ao Exterior </t>
  </si>
  <si>
    <t xml:space="preserve">        4.5.90.00.00 - Aplicações Diretas </t>
  </si>
  <si>
    <t xml:space="preserve">          4.5.90.27.00 - Encargos pela Honra de Avais, Garantias, Seguros e 
          Similares </t>
  </si>
  <si>
    <t xml:space="preserve">          4.5.90.61.00 - Aquisição de Imóveis </t>
  </si>
  <si>
    <t xml:space="preserve">          4.5.90.62.00 - Aquisição de Produtos para Revenda </t>
  </si>
  <si>
    <t xml:space="preserve">          4.5.90.63.00 - Aquisição de Títulos de Crédito </t>
  </si>
  <si>
    <t xml:space="preserve">          4.5.90.64.00 - Aquisição de Títulos Representativos de Capital já 
          Integralizado </t>
  </si>
  <si>
    <t xml:space="preserve">          4.5.90.65.00 - Constituição ou Aumento de Capital de Empresas </t>
  </si>
  <si>
    <t xml:space="preserve">          4.5.90.66.00 - Concessão de Empréstimos e Financiamentos </t>
  </si>
  <si>
    <t xml:space="preserve">          4.5.90.67.00 - Depósitos Compulsórios </t>
  </si>
  <si>
    <t xml:space="preserve">          4.5.90.84.00 - Despesas Decorrentes da Participação em Fundos, 
          Organismos ou Entidades Assemelhadas, Nacionais e Internacionais </t>
  </si>
  <si>
    <t xml:space="preserve">          4.5.90.91.00 - Sentenças Judiciais </t>
  </si>
  <si>
    <t xml:space="preserve">          4.5.90.92.00 - Despesas de Exercícios Anteriores </t>
  </si>
  <si>
    <t xml:space="preserve">          4.5.90.93.00 - Indenizações e Restituições </t>
  </si>
  <si>
    <t xml:space="preserve">          4.5.90.99.00 - A Classificar </t>
  </si>
  <si>
    <t xml:space="preserve">        4.5.91.00.00 - Aplicação Direta Decorrente de Operação entre Órgãos, 
        Fundos e Entidades Integrantes dos Orçamentos Fiscal e da Seguridade 
        Social </t>
  </si>
  <si>
    <t xml:space="preserve">        4.5.92.00.00 - Aplicação Direta de Recursos Recebidos de Outros Entes da 
        Federação Decorrentes de Delegação ou Descentralização </t>
  </si>
  <si>
    <t xml:space="preserve">        4.5.93.00.00 - Aplicação direta decorrente de operação de órgãos, fundos 
        e entidades integrantes dos OFSS com consórcio público do qual o ente 
        participe </t>
  </si>
  <si>
    <t xml:space="preserve">        4.5.94.00.00 - Aplicação direta decorrente de operação de órgãos, fundos 
        e entidades integrantes dos OFSS com consórcio público do qual o ente 
        não participe </t>
  </si>
  <si>
    <t xml:space="preserve">        4.5.95.00.00 - Aplicação Direta à conta de recursos de que tratam os §§ 
        1º e 2º do art. 24 da Lei Complementar Nº 141, de 2012 </t>
  </si>
  <si>
    <t xml:space="preserve">        4.5.96.00.00 - Aplicação Direta à conta de recursos de que trata o art. 
        25 da Lei Complementar Nº 141, de 2012 </t>
  </si>
  <si>
    <t xml:space="preserve">        4.5.99.00.00 - A Definir </t>
  </si>
  <si>
    <t xml:space="preserve">      4.6.00.00.00 - Amortização da Dívida </t>
  </si>
  <si>
    <t xml:space="preserve">        4.6.20.00.00 - Transferências à união </t>
  </si>
  <si>
    <t xml:space="preserve">        4.6.22.00.00 - Execução orçamentária delegada à União </t>
  </si>
  <si>
    <t xml:space="preserve">        4.6.30.00.00 - Transferências a Estados e ao Distrito Federal </t>
  </si>
  <si>
    <t xml:space="preserve">        4.6.31.00.00 - Transferências a Estados e ao Distrito Federal - fundo a 
        fundo </t>
  </si>
  <si>
    <t xml:space="preserve">        4.6.32.00.00 - Execução orçamentária delegada a Estados e ao Distrito 
        Federal </t>
  </si>
  <si>
    <t xml:space="preserve">        4.6.35.00.00 - Transferências fundo a fundo aos Estados e ao Distrito 
        Federal à conta de recursos de que tratam os §§ 1º e 2º do Art. 24 da 
        Lei Complementar nº 141, de 2012 - Restos a Pagar Cancelados </t>
  </si>
  <si>
    <t xml:space="preserve">        4.6.36.00.00 - Transferências fundo a fundo aos Estados e ao Distrito 
        Federal à conta de recursos de que trata o Art. 25 da Lei Complementar 
        nº 141, de 2012 - diferença do mínimo não aplicado em exercícios 
        anteriores </t>
  </si>
  <si>
    <t xml:space="preserve">        4.6.40.00.00 - Transferências a Municípios </t>
  </si>
  <si>
    <t xml:space="preserve">        4.6.41.00.00 - Transferências a Municípios - fundo a fundo </t>
  </si>
  <si>
    <t xml:space="preserve">        4.6.42.00.00 - Execução orçamentária delegada a Municípios </t>
  </si>
  <si>
    <t xml:space="preserve">        4.6.45.00.00 - Transferências fundo a fundo aos Municípios à conta de 
        recursos de que tratam os §§ 1º e 2º do Art. 24 da Lei Complementar nº 
        141, de 2012 - Restos a Pagar Cancelados </t>
  </si>
  <si>
    <t xml:space="preserve">        4.6.46.00.00 - Transferências fundo a fundo aos Municípios à conta de 
        recursos de que trata o Art. 25 da Lei Complementar nº 141, de 2012 - 
        diferença do mínimo não aplicado em exercícios anteriores </t>
  </si>
  <si>
    <t xml:space="preserve">        4.6.50.00.00 - Transferências a instituições privadas sem fins 
        lucrativos </t>
  </si>
  <si>
    <t xml:space="preserve">        4.6.60.00.00 - Transferências a instituições privadas com fins 
        lucrativos </t>
  </si>
  <si>
    <t xml:space="preserve">        4.6.67.00.00 - Execução de contrato de Parceria Público-Privada - PPP </t>
  </si>
  <si>
    <t xml:space="preserve">        4.6.70.00.00 - Transferências às instituições multigovernamentais </t>
  </si>
  <si>
    <t xml:space="preserve">        4.6.71.00.00 - Transferências a Consórcios Públicos mediante contrato de 
        rateio </t>
  </si>
  <si>
    <t xml:space="preserve">        4.6.72.00.00 - Execução orçamentária delegada a consórcios públicos </t>
  </si>
  <si>
    <t xml:space="preserve">        4.6.73.00.00 - Transferências a Consórcios Públicos mediante contrato de 
        rateio à conta de recursos de que tratam os §§ 1º e 2º do art. 24 da Lei 
        Complementar nº 141, de 2012 </t>
  </si>
  <si>
    <t xml:space="preserve">        4.6.74.00.00 - Transferências a Consórcios Públicos mediante contrato de 
        rateio à conta de recursos de que trata o art. 25 da Lei Complementar nº 
        141, de 2012 </t>
  </si>
  <si>
    <t xml:space="preserve">        4.6.75.00.00 - Transferências a instituições multigovernamentais à conta 
        de recursos de que tratam os §§ 1º e 2º do Art. 24 da Lei Complementar 
        nº 141, de 2012 </t>
  </si>
  <si>
    <t xml:space="preserve">        4.6.76.00.00 - Transferências a instituições multigovernamentais à conta 
        de recursos de que trata o Art. 25 da Lei Complementar nº 141, de 2012 </t>
  </si>
  <si>
    <t xml:space="preserve">        4.6.80.00.00 - Transferências ao exterior </t>
  </si>
  <si>
    <t xml:space="preserve">        4.6.90.00.00 - Aplicações Diretas </t>
  </si>
  <si>
    <t xml:space="preserve">          4.6.90.26.00 - Obrigações Decorrentes de Política Monetária </t>
  </si>
  <si>
    <t xml:space="preserve">          4.6.90.71.00 - Principal da Dívida Contratual Resgatado </t>
  </si>
  <si>
    <t xml:space="preserve">          4.6.90.72.00 - Principal da Dívida Mobiliária Resgatado </t>
  </si>
  <si>
    <t xml:space="preserve">          4.6.90.73.00 - Correção Monetária ou Cambial da Dívida Contratual 
          Resgatada </t>
  </si>
  <si>
    <t xml:space="preserve">          4.6.90.74.00 - Correção Monetária ou Cambial da Dívida Mobiliária 
          Resgatada </t>
  </si>
  <si>
    <t xml:space="preserve">          4.6.90.75.00 - Correção Monetária da Dívida de Operações de Crédito por 
          Antecipação da Receita </t>
  </si>
  <si>
    <t xml:space="preserve">          4.6.90.76.00 - Principal Corrigido da Dívida Mobiliária Refinanciado </t>
  </si>
  <si>
    <t xml:space="preserve">          4.6.90.77.00 - Principal Corrigido da Dívida Contratual Refinanciado </t>
  </si>
  <si>
    <t xml:space="preserve">          4.6.90.91.00 - Sentenças Judiciais </t>
  </si>
  <si>
    <t xml:space="preserve">          4.6.90.92.00 - Despesas de Exercícios Anteriores </t>
  </si>
  <si>
    <t xml:space="preserve">          4.6.90.93.00 - Indenizações e Restituições </t>
  </si>
  <si>
    <t xml:space="preserve">          4.6.90.99.00 - A Classificar </t>
  </si>
  <si>
    <t xml:space="preserve">        4.6.91.00.00 - Aplicação direta decorrente de operação entre órgãos, 
        fundos e entidades integrantes dos OFSS </t>
  </si>
  <si>
    <t xml:space="preserve">        4.6.93.00.00 - Aplicação direta decorrente de operação de órgãos, fundos 
        e entidades integrantes dos OFSS com consórcio público do qual o ente 
        participe </t>
  </si>
  <si>
    <t xml:space="preserve">        4.6.94.00.00 - Aplicação direta decorrente de operação de órgãos, fundos 
        e entidades integrantes dos OFSS com consórcio público do qual o ente 
        não participe </t>
  </si>
  <si>
    <t xml:space="preserve">        4.6.95.00.00 - Aplicação Direta à conta de recursos de que tratam os §§ 
        1º e 2º do art. 24 da Lei Complementar Nº 141, de 2012 </t>
  </si>
  <si>
    <t xml:space="preserve">        4.6.96.00.00 - Aplicação Direta à conta de recursos de que trata o art. 
        25 da Lei Complementar Nº 141, de 2012 </t>
  </si>
  <si>
    <t xml:space="preserve">        4.6.99.00.00 - A Definir </t>
  </si>
  <si>
    <t xml:space="preserve">Quadro: Notas Explicativas - Despesas Orçamentárias </t>
  </si>
  <si>
    <t xml:space="preserve">Notas Explicativas - Despesas Orçamentárias </t>
  </si>
  <si>
    <t xml:space="preserve">Grupo: Balanço Orçamentário - Despesas por Função </t>
  </si>
  <si>
    <t xml:space="preserve">Quadro: Despesas por Função </t>
  </si>
  <si>
    <t xml:space="preserve">Rótulo: Total Geral da Despesa por Função </t>
  </si>
  <si>
    <t xml:space="preserve">Despesas por Função </t>
  </si>
  <si>
    <t xml:space="preserve">Despesas Exceto Intraorçamentárias </t>
  </si>
  <si>
    <t xml:space="preserve">  01 - Legislativa </t>
  </si>
  <si>
    <t xml:space="preserve">    01.031 - Ação Legislativa </t>
  </si>
  <si>
    <t xml:space="preserve">    01.032 - Controle Externo </t>
  </si>
  <si>
    <t xml:space="preserve">    01.122 - Administração Geral </t>
  </si>
  <si>
    <t xml:space="preserve">    FU01 - Demais Subfunções </t>
  </si>
  <si>
    <t xml:space="preserve">  02 - Judiciária </t>
  </si>
  <si>
    <t xml:space="preserve">    02.061 - Ação Judiciária </t>
  </si>
  <si>
    <t xml:space="preserve">    02.062 - Defesa do Interesse Público no Processo Judiciário </t>
  </si>
  <si>
    <t xml:space="preserve">    02.122 - Administração Geral </t>
  </si>
  <si>
    <t xml:space="preserve">    FU02 - Demais Subfunções </t>
  </si>
  <si>
    <t xml:space="preserve">  03 - Essencial à Justiça </t>
  </si>
  <si>
    <t xml:space="preserve">    03.091 - Defesa da Ordem Jurídica </t>
  </si>
  <si>
    <t xml:space="preserve">    03.092 - Representação Judicial e Extrajudicial </t>
  </si>
  <si>
    <t xml:space="preserve">    03.122 - Administração Geral </t>
  </si>
  <si>
    <t xml:space="preserve">    FU03 - Demais Subfunções </t>
  </si>
  <si>
    <t xml:space="preserve">  04 - Administração </t>
  </si>
  <si>
    <t xml:space="preserve">    04.121 - Planejamento e Orçamento </t>
  </si>
  <si>
    <t xml:space="preserve">    04.122 - Administração Geral </t>
  </si>
  <si>
    <t xml:space="preserve">    04.123 - Administração Financeira </t>
  </si>
  <si>
    <t xml:space="preserve">    04.124 - Controle Interno </t>
  </si>
  <si>
    <t xml:space="preserve">    04.125 - Normatização e Fiscalização </t>
  </si>
  <si>
    <t xml:space="preserve">    04.126 - Tecnologia da Informação </t>
  </si>
  <si>
    <t xml:space="preserve">    04.127 - Ordenamento Territorial </t>
  </si>
  <si>
    <t xml:space="preserve">    04.128 - Formação de Recursos Humanos </t>
  </si>
  <si>
    <t xml:space="preserve">    04.129 - Administração de Receitas </t>
  </si>
  <si>
    <t xml:space="preserve">    04.130 - Administração de Concessões </t>
  </si>
  <si>
    <t xml:space="preserve">    04.131 - Comunicação Social </t>
  </si>
  <si>
    <t xml:space="preserve">    FU04 - Demais Subfunções </t>
  </si>
  <si>
    <t xml:space="preserve">  05 - Defesa Nacional </t>
  </si>
  <si>
    <t xml:space="preserve">    05.151 - Defesa Aérea </t>
  </si>
  <si>
    <t xml:space="preserve">    05.152 - Defesa Naval </t>
  </si>
  <si>
    <t xml:space="preserve">    05.153 - Defesa Terrestre </t>
  </si>
  <si>
    <t xml:space="preserve">    05.122 - Administração Geral </t>
  </si>
  <si>
    <t xml:space="preserve">    FU05 - Demais Subfunções </t>
  </si>
  <si>
    <t xml:space="preserve">  06 - Segurança Pública </t>
  </si>
  <si>
    <t xml:space="preserve">    06.181 - Policiamento </t>
  </si>
  <si>
    <t xml:space="preserve">    06.182 - Defesa Civil </t>
  </si>
  <si>
    <t xml:space="preserve">    06.183 - Informação e Inteligência </t>
  </si>
  <si>
    <t xml:space="preserve">    06.122 - Administração Geral </t>
  </si>
  <si>
    <t xml:space="preserve">    FU06 - Demais Subfunções </t>
  </si>
  <si>
    <t xml:space="preserve">  07 - Relações Exteriores </t>
  </si>
  <si>
    <t xml:space="preserve">    07.211 - Relações Diplomáticas </t>
  </si>
  <si>
    <t xml:space="preserve">    07.212 - Cooperação Internacional </t>
  </si>
  <si>
    <t xml:space="preserve">    07.122 - Administração Geral </t>
  </si>
  <si>
    <t xml:space="preserve">    FU07 - Demais Subfunções </t>
  </si>
  <si>
    <t xml:space="preserve">  08 - Assistência Social </t>
  </si>
  <si>
    <t xml:space="preserve">    08.241 - Assistência à Pessoa Idosa </t>
  </si>
  <si>
    <t xml:space="preserve">    08.242 - Assistência à Pessoa com Deficiência </t>
  </si>
  <si>
    <t xml:space="preserve">    08.243 - Assistência à Criança e ao Adolescente </t>
  </si>
  <si>
    <t xml:space="preserve">    08.244 - Assistência Comunitária </t>
  </si>
  <si>
    <t xml:space="preserve">    08.245 - Serviços Socioassistenciais </t>
  </si>
  <si>
    <t xml:space="preserve">    08.246 - Segurança e Renda </t>
  </si>
  <si>
    <t xml:space="preserve">    08.122 - Administração Geral </t>
  </si>
  <si>
    <t xml:space="preserve">    FU08 - Demais Subfunções </t>
  </si>
  <si>
    <t xml:space="preserve">  09 - Previdência Social </t>
  </si>
  <si>
    <t xml:space="preserve">    09.271 - Previdência Básica </t>
  </si>
  <si>
    <t xml:space="preserve">    09.272 - Previdência do Regime Estatutário </t>
  </si>
  <si>
    <t xml:space="preserve">    09.273 - Previdência Complementar </t>
  </si>
  <si>
    <t xml:space="preserve">    09.274 - Previdência Especial </t>
  </si>
  <si>
    <t xml:space="preserve">    09.122 - Administração Geral </t>
  </si>
  <si>
    <t xml:space="preserve">    FU09 - Demais Subfunções </t>
  </si>
  <si>
    <t xml:space="preserve">  10 - Saúde </t>
  </si>
  <si>
    <t xml:space="preserve">    10.301 - Atenção Básica </t>
  </si>
  <si>
    <t xml:space="preserve">    10.302 - Assistência Hospitalar e Ambulatorial </t>
  </si>
  <si>
    <t xml:space="preserve">    10.303 - Suporte Profilático e Terapêutico </t>
  </si>
  <si>
    <t xml:space="preserve">    10.304 - Vigilância Sanitária </t>
  </si>
  <si>
    <t xml:space="preserve">    10.305 - Vigilância Epidemiológica </t>
  </si>
  <si>
    <t xml:space="preserve">    10.306 - Alimentação e Nutrição </t>
  </si>
  <si>
    <t xml:space="preserve">    10.122 - Administração Geral </t>
  </si>
  <si>
    <t xml:space="preserve">    FU10 - Demais Subfunções </t>
  </si>
  <si>
    <t xml:space="preserve">  11 - Trabalho </t>
  </si>
  <si>
    <t xml:space="preserve">    11.331 - Proteção e Benefícios ao Trabalhador </t>
  </si>
  <si>
    <t xml:space="preserve">    11.332 - Relações de Trabalho </t>
  </si>
  <si>
    <t xml:space="preserve">    11.333 - Empregabilidade </t>
  </si>
  <si>
    <t xml:space="preserve">    11.334 - Fomento ao Trabalho </t>
  </si>
  <si>
    <t xml:space="preserve">    11.122 - Administração Geral </t>
  </si>
  <si>
    <t xml:space="preserve">    FU11 - Demais Subfunções </t>
  </si>
  <si>
    <t xml:space="preserve">  12 - Educação </t>
  </si>
  <si>
    <t xml:space="preserve">    12.361 - Ensino Fundamental </t>
  </si>
  <si>
    <t xml:space="preserve">    12.362 - Ensino Médio </t>
  </si>
  <si>
    <t xml:space="preserve">    12.363 - Ensino Profissional </t>
  </si>
  <si>
    <t xml:space="preserve">    12.364 - Ensino Superior </t>
  </si>
  <si>
    <t xml:space="preserve">    12.365 - Educação Infantil </t>
  </si>
  <si>
    <t xml:space="preserve">    12.366 - Educação de Jovens e Adultos </t>
  </si>
  <si>
    <t xml:space="preserve">    12.367 - Educação Especial </t>
  </si>
  <si>
    <t xml:space="preserve">    12.368 - Educação Básica </t>
  </si>
  <si>
    <t xml:space="preserve">    12.122 - Administração Geral </t>
  </si>
  <si>
    <t xml:space="preserve">    FU12 - Demais Subfunções </t>
  </si>
  <si>
    <t xml:space="preserve">  13 - Cultura </t>
  </si>
  <si>
    <t xml:space="preserve">    13.391 - Patrimônio Histórico, Artístico e Arqueológico </t>
  </si>
  <si>
    <t xml:space="preserve">    13.392 - Difusão Cultural </t>
  </si>
  <si>
    <t xml:space="preserve">    13.122 - Administração Geral </t>
  </si>
  <si>
    <t xml:space="preserve">    FU13 - Demais Subfunções </t>
  </si>
  <si>
    <t xml:space="preserve">  14 - Direitos da Cidadania </t>
  </si>
  <si>
    <t xml:space="preserve">    14.421 - Custódia e Reintegração Social </t>
  </si>
  <si>
    <t xml:space="preserve">    14.422 - Direitos Individuais, Coletivos e Difusos </t>
  </si>
  <si>
    <t xml:space="preserve">    14.423 - Assistência aos Povos Indígenas </t>
  </si>
  <si>
    <t xml:space="preserve">    14.122 - Administração Geral </t>
  </si>
  <si>
    <t xml:space="preserve">    FU14 - Demais Subfunções </t>
  </si>
  <si>
    <t xml:space="preserve">  15 - Urbanismo </t>
  </si>
  <si>
    <t xml:space="preserve">    15.451 - Infraestrutura Urbana </t>
  </si>
  <si>
    <t xml:space="preserve">    15.452 - Serviços Urbanos </t>
  </si>
  <si>
    <t xml:space="preserve">    15.453 - Transportes Coletivos Urbanos </t>
  </si>
  <si>
    <t xml:space="preserve">    15.122 - Administração Geral </t>
  </si>
  <si>
    <t xml:space="preserve">    FU15 - Demais Subfunções </t>
  </si>
  <si>
    <t xml:space="preserve">  16 - Habitação </t>
  </si>
  <si>
    <t xml:space="preserve">    16.481 - Habitação Rural </t>
  </si>
  <si>
    <t xml:space="preserve">    16.482 - Habitação Urbana </t>
  </si>
  <si>
    <t xml:space="preserve">    16.122 - Administração Geral </t>
  </si>
  <si>
    <t xml:space="preserve">    FU16 - Demais Subfunções </t>
  </si>
  <si>
    <t xml:space="preserve">  17 - Saneamento </t>
  </si>
  <si>
    <t xml:space="preserve">    17.511 - Saneamento Básico Rural </t>
  </si>
  <si>
    <t xml:space="preserve">    17.512 - Saneamento Básico Urbano </t>
  </si>
  <si>
    <t xml:space="preserve">    17.122 - Administração Geral </t>
  </si>
  <si>
    <t xml:space="preserve">    FU17 - Demais Subfunções </t>
  </si>
  <si>
    <t xml:space="preserve">  18 - Gestão Ambiental </t>
  </si>
  <si>
    <t xml:space="preserve">    18.541 - Preservação e Conservação Ambiental </t>
  </si>
  <si>
    <t xml:space="preserve">    18.542 - Controle Ambiental </t>
  </si>
  <si>
    <t xml:space="preserve">    18.543 - Recuperação de Áreas Degradadas </t>
  </si>
  <si>
    <t xml:space="preserve">    18.544 - Recursos Hídricos </t>
  </si>
  <si>
    <t xml:space="preserve">    18.545 - Meteorologia </t>
  </si>
  <si>
    <t xml:space="preserve">    18.122 - Administração Geral </t>
  </si>
  <si>
    <t xml:space="preserve">    FU18 - Demais Subfunções </t>
  </si>
  <si>
    <t xml:space="preserve">  19 - Ciência e Tecnologia </t>
  </si>
  <si>
    <t xml:space="preserve">    19.571 - Desenvolvimento Científico </t>
  </si>
  <si>
    <t xml:space="preserve">    19.572 - Desenvolvimento Tecnológico e Engenharia </t>
  </si>
  <si>
    <t xml:space="preserve">    19.573 - Difusão do Conhecimento Científico e Tecnológico </t>
  </si>
  <si>
    <t xml:space="preserve">    19.122 - Administração Geral </t>
  </si>
  <si>
    <t xml:space="preserve">    FU19 - Demais Subfunções </t>
  </si>
  <si>
    <t xml:space="preserve">  20 - Agricultura </t>
  </si>
  <si>
    <t xml:space="preserve">    20.605 - Abastecimento </t>
  </si>
  <si>
    <t xml:space="preserve">    20.606 - Extensão Rural </t>
  </si>
  <si>
    <t xml:space="preserve">    20.607 - Irrigação </t>
  </si>
  <si>
    <t xml:space="preserve">    20.608 - Promoção da Produção Agropecuária </t>
  </si>
  <si>
    <t xml:space="preserve">    20.609 - Defesa Agropecuária </t>
  </si>
  <si>
    <t xml:space="preserve">    20.122 - Administração Geral </t>
  </si>
  <si>
    <t xml:space="preserve">    FU20 - Demais Subfunções </t>
  </si>
  <si>
    <t xml:space="preserve">  21 - Organização Agrária </t>
  </si>
  <si>
    <t xml:space="preserve">    21.631 - Reforma Agrária </t>
  </si>
  <si>
    <t xml:space="preserve">    21.632 - Colonização </t>
  </si>
  <si>
    <t xml:space="preserve">    21.122 - Administração Geral </t>
  </si>
  <si>
    <t xml:space="preserve">    FU21 - Demais Subfunções </t>
  </si>
  <si>
    <t xml:space="preserve">  22 - Indústria </t>
  </si>
  <si>
    <t xml:space="preserve">    22.661 - Promoção Industrial </t>
  </si>
  <si>
    <t xml:space="preserve">    22.662 - Produção Industrial </t>
  </si>
  <si>
    <t xml:space="preserve">    22.663 - Mineração </t>
  </si>
  <si>
    <t xml:space="preserve">    22.664 - Propriedade Industrial </t>
  </si>
  <si>
    <t xml:space="preserve">    22.665 - Normalização e Qualidade </t>
  </si>
  <si>
    <t xml:space="preserve">    22.122 - Administração Geral </t>
  </si>
  <si>
    <t xml:space="preserve">    FU22 - Demais Subfunções </t>
  </si>
  <si>
    <t xml:space="preserve">  23 - Comércio e Serviços </t>
  </si>
  <si>
    <t xml:space="preserve">    23.691 - Promoção Comercial </t>
  </si>
  <si>
    <t xml:space="preserve">    23.692 - Comercialização </t>
  </si>
  <si>
    <t xml:space="preserve">    23.693 - Comércio Exterior </t>
  </si>
  <si>
    <t xml:space="preserve">    23.694 - Serviços Financeiros </t>
  </si>
  <si>
    <t xml:space="preserve">    23.695 - Turismo </t>
  </si>
  <si>
    <t xml:space="preserve">    23.122 - Administração Geral </t>
  </si>
  <si>
    <t xml:space="preserve">    FU23 - Demais Subfunções </t>
  </si>
  <si>
    <t xml:space="preserve">  24 - Comunicações </t>
  </si>
  <si>
    <t xml:space="preserve">    24.721 - Comunicações Postais </t>
  </si>
  <si>
    <t xml:space="preserve">    24.722 - Telecomunicações </t>
  </si>
  <si>
    <t xml:space="preserve">    24.122 - Administração Geral </t>
  </si>
  <si>
    <t xml:space="preserve">    FU24 - Demais Subfunções </t>
  </si>
  <si>
    <t xml:space="preserve">  25 - Energia </t>
  </si>
  <si>
    <t xml:space="preserve">    25.751 - Conservação de Energia </t>
  </si>
  <si>
    <t xml:space="preserve">    25.752 - Energia Elétrica </t>
  </si>
  <si>
    <t xml:space="preserve">    25.753 - Combustíveis Minerais </t>
  </si>
  <si>
    <t xml:space="preserve">    25.754 - Biocombustíveis </t>
  </si>
  <si>
    <t xml:space="preserve">    25.122 - Administração Geral </t>
  </si>
  <si>
    <t xml:space="preserve">    FU25 - Demais Subfunções </t>
  </si>
  <si>
    <t xml:space="preserve">  26 - Transporte </t>
  </si>
  <si>
    <t xml:space="preserve">    26.781 - Transporte Aéreo </t>
  </si>
  <si>
    <t xml:space="preserve">    26.782 - Transporte Rodoviário </t>
  </si>
  <si>
    <t xml:space="preserve">    26.783 - Transporte Ferroviário </t>
  </si>
  <si>
    <t xml:space="preserve">    26.784 - Transporte Aquaviário </t>
  </si>
  <si>
    <t xml:space="preserve">    26.785 - Transportes Especiais </t>
  </si>
  <si>
    <t xml:space="preserve">    26.122 - Administração Geral </t>
  </si>
  <si>
    <t xml:space="preserve">    FU26 - Demais Subfunções </t>
  </si>
  <si>
    <t xml:space="preserve">  27 - Desporto e Lazer </t>
  </si>
  <si>
    <t xml:space="preserve">    27.811 - Desporto de Rendimento </t>
  </si>
  <si>
    <t xml:space="preserve">    27.812 - Desporto Comunitário </t>
  </si>
  <si>
    <t xml:space="preserve">    27.813 - Lazer </t>
  </si>
  <si>
    <t xml:space="preserve">    27.122 - Administração Geral </t>
  </si>
  <si>
    <t xml:space="preserve">    FU27 - Demais Subfunções </t>
  </si>
  <si>
    <t xml:space="preserve">  28 - Encargos Especiais </t>
  </si>
  <si>
    <t xml:space="preserve">    28.841 - Refinanciamento da Dívida Interna </t>
  </si>
  <si>
    <t xml:space="preserve">    28.842 - Refinanciamento da Dívida Externa </t>
  </si>
  <si>
    <t xml:space="preserve">    28.843 - Serviço da Dívida Interna </t>
  </si>
  <si>
    <t xml:space="preserve">    28.844 - Serviço da Dívida Externa </t>
  </si>
  <si>
    <t xml:space="preserve">    28.845 - Outras Transferências </t>
  </si>
  <si>
    <t xml:space="preserve">    28.846 - Outros Encargos Especiais </t>
  </si>
  <si>
    <t xml:space="preserve">    28.847 - Transferências para a Educação Básica </t>
  </si>
  <si>
    <t xml:space="preserve">    FU28 - Demais Subfunções </t>
  </si>
  <si>
    <t xml:space="preserve">Despesas Intraorçamentárias </t>
  </si>
  <si>
    <t xml:space="preserve">Quadro: Notas Explicativas - Despesas por Função </t>
  </si>
  <si>
    <t xml:space="preserve">Notas Explicativas - Despesas por Função </t>
  </si>
  <si>
    <t xml:space="preserve">Grupo: Balanço Orçamentário - Despesas Orçamentárias - Sub Quadro - Execução 
dos Restos a Pagar </t>
  </si>
  <si>
    <t xml:space="preserve">Restos a Pagar Não Processados Inscritos em Exercícios Anteriores </t>
  </si>
  <si>
    <t xml:space="preserve">Restos a Pagar Não Processados Inscritos em 31 de Dezembro do Exercício Anterior </t>
  </si>
  <si>
    <t xml:space="preserve">Restos a Pagar Não Processados Liquidados </t>
  </si>
  <si>
    <t xml:space="preserve">Restos a Pagar Não Processados Pagos </t>
  </si>
  <si>
    <t xml:space="preserve">Restos a Pagar Não Processados Cancelados </t>
  </si>
  <si>
    <t xml:space="preserve">Restos a Pagar Processados Inscritos em Exercícios Anteriores </t>
  </si>
  <si>
    <t xml:space="preserve">Restos a Pagar Processados Inscritos em 31 de Dezembro do Exercício Anterior </t>
  </si>
  <si>
    <t xml:space="preserve">Restos a Pagar Processados Pagos </t>
  </si>
  <si>
    <t xml:space="preserve">Restos a Pagar Processados Cancelados </t>
  </si>
  <si>
    <t xml:space="preserve">  Total Despesas </t>
  </si>
  <si>
    <t xml:space="preserve">Quadro: Notas Explicativas - Despesas Orçamentárias - Sub Quadro - Execução 
de Restos a Pagar </t>
  </si>
  <si>
    <t xml:space="preserve">Notas Explicativas - Despesas Orçamentárias - Sub Quadro - Execução de Restos a Pagar </t>
  </si>
  <si>
    <t xml:space="preserve">Notas Explicativas - Despesas Orçamentárias - Sub Quadro - Execução dos 
Restos a Pagar </t>
  </si>
  <si>
    <t xml:space="preserve">Grupo: Balanço Orçamentário - Despesas por Função - Sub Quadro - Execução 
dos Restos a Pagar </t>
  </si>
  <si>
    <t xml:space="preserve">Quadro: Notas Explicativas - Despesas por Função - Sub Quadro - Execução de 
Restos a Pagar </t>
  </si>
  <si>
    <t xml:space="preserve">Notas Explicativas - Despesas por Função - Sub Quadro - Execução de Restos a Pagar </t>
  </si>
  <si>
    <t xml:space="preserve">Notas Explicativas - Despesas por Função - Sub Quadro - Execução dos Restos 
a Pagar </t>
  </si>
  <si>
    <t xml:space="preserve">Grupo: Demonstrativo das Variações Patrimoniais Quantitativas e Resultado 
Patrimonial do Período </t>
  </si>
  <si>
    <t xml:space="preserve">Quadro: Demonstrativo das Variações Patrimoniais e Resultado Patrimonial </t>
  </si>
  <si>
    <t xml:space="preserve">Demonstrativo das Variações Patrimoniais e Resultado Patrimonial </t>
  </si>
  <si>
    <t xml:space="preserve">Variação Patrimonial Diminutiva </t>
  </si>
  <si>
    <t xml:space="preserve">  Variação Patrimonial Diminutiva </t>
  </si>
  <si>
    <t xml:space="preserve">    3.0.0.0.0.00.00 - Variação Patrimonial Diminutiva </t>
  </si>
  <si>
    <t xml:space="preserve">      3.1.0.0.0.00.00 - Pessoal e Encargos </t>
  </si>
  <si>
    <t xml:space="preserve">        3.1.1.0.0.00.00 - Remuneração a Pessoal </t>
  </si>
  <si>
    <t xml:space="preserve">          3.1.1.1.0.00.00 - Remuneração a Pessoal Ativo Civil – Abrangidos pelo 
          RPPS </t>
  </si>
  <si>
    <t xml:space="preserve">            3.1.1.1.1.00.00 - Remuneração a Pessoal Ativo Civil – Abrangidos pelo 
            RPPS - Consolidação </t>
  </si>
  <si>
    <t xml:space="preserve">            3.1.1.1.2.00.00 - Remuneração a Pessoal Ativo Civil – Abrangidos pelo 
            RPPS - Intra OFSS </t>
  </si>
  <si>
    <t xml:space="preserve">          3.1.1.2.0.00.00 - Remuneração a Pessoal Ativo Civil - Abrangidos pelo 
          RGPS </t>
  </si>
  <si>
    <t xml:space="preserve">            3.1.1.2.1.00.00 - Remuneração a Pessoal Ativo Civil - Abrangidos pelo 
            RGPS - Consolidação </t>
  </si>
  <si>
    <t xml:space="preserve">          3.1.1.3.0.00.00 - Remuneração a Pessoal Ativo Militar </t>
  </si>
  <si>
    <t xml:space="preserve">            3.1.1.3.1.00.00 - Remuneração a Pessoal Ativo Militar - Consolidação </t>
  </si>
  <si>
    <t xml:space="preserve">        3.1.2.0.0.00.00 - Encargos Patronais </t>
  </si>
  <si>
    <t xml:space="preserve">          3.1.2.1.0.00.00 - Encargos Patronais - RPPS </t>
  </si>
  <si>
    <t xml:space="preserve">            3.1.2.1.2.00.00 - Encargos Patronais - RPPS - Intra OFSS </t>
  </si>
  <si>
    <t xml:space="preserve">            3.1.2.1.3.00.00 - Encargos Patronais - RPPS - Inter OFSS - União </t>
  </si>
  <si>
    <t xml:space="preserve">            3.1.2.1.4.00.00 - Encargos Patronais - RPPS - Inter OFSS - Estado </t>
  </si>
  <si>
    <t xml:space="preserve">            3.1.2.1.5.00.00 - Encargos Patronais - RPPS - Inter OFSS - Município </t>
  </si>
  <si>
    <t xml:space="preserve">          3.1.2.2.0.00.00 - Encargos Patronais - RGPS </t>
  </si>
  <si>
    <t xml:space="preserve">            3.1.2.2.1.00.00 - Encargos Patronais - RGPS - Consolidação </t>
  </si>
  <si>
    <t xml:space="preserve">            3.1.2.2.2.00.00 - Encargos Patronais - RGPS - Intra OFSS </t>
  </si>
  <si>
    <t xml:space="preserve">            3.1.2.2.3.00.00 - Encargos Patronais - RGPS - Inter OFSS - União </t>
  </si>
  <si>
    <t xml:space="preserve">          3.1.2.3.0.00.00 - Encargos Patronais - FGTS </t>
  </si>
  <si>
    <t xml:space="preserve">            3.1.2.3.1.00.00 - Encargos Patronais - FGTS - Consolidação </t>
  </si>
  <si>
    <t xml:space="preserve">          3.1.2.4.0.00.00 - Contribuições Sociais Gerais </t>
  </si>
  <si>
    <t xml:space="preserve">            3.1.2.4.1.00.00 - Contribuições Sociais Gerais - Consolidação </t>
  </si>
  <si>
    <t xml:space="preserve">            3.1.2.4.2.00.00 - Contribuições Sociais Gerais - Intra OFSS </t>
  </si>
  <si>
    <t xml:space="preserve">            3.1.2.4.3.00.00 - Contribuições Sociais Gerais - Inter OFSS - União </t>
  </si>
  <si>
    <t xml:space="preserve">            3.1.2.4.4.00.00 - Contribuições Sociais Gerais - Inter OFSS - Estado </t>
  </si>
  <si>
    <t xml:space="preserve">            3.1.2.4.5.00.00 - Contribuições Sociais Gerais - Inter OFSS - 
            Município </t>
  </si>
  <si>
    <t xml:space="preserve">          3.1.2.5.0.00.00 - Contribuições a Entidades Fechadas de Previdência </t>
  </si>
  <si>
    <t xml:space="preserve">            3.1.2.5.1.00.00 - Contribuições a Entidades Fechadas de Previdência - 
            Consolidação </t>
  </si>
  <si>
    <t xml:space="preserve">            3.1.2.5.4.00.00 - Contribuições a Entidades Fechadas de Previdência - 
            Inter OFSS - Estado </t>
  </si>
  <si>
    <t xml:space="preserve">          3.1.2.9.0.00.00 - Outros Encargos Patronais </t>
  </si>
  <si>
    <t xml:space="preserve">            3.1.2.9.1.00.00 - Outros Encargos Patronais - Consolidação </t>
  </si>
  <si>
    <t xml:space="preserve">            3.1.2.9.2.00.00 - Outros Encargos Patronais - Intra OFSS </t>
  </si>
  <si>
    <t xml:space="preserve">            3.1.2.9.3.00.00 - Outros Encargos Patronais - Inter OFSS - União </t>
  </si>
  <si>
    <t xml:space="preserve">            3.1.2.9.4.00.00 - Outros Encargos Patronais - Inter OFSS - Estado </t>
  </si>
  <si>
    <t xml:space="preserve">            3.1.2.9.5.00.00 - Outros Encargos Patronais - Inter OFSS - Município </t>
  </si>
  <si>
    <t xml:space="preserve">        3.1.3.0.0.00.00 - Benefícios a Pessoal </t>
  </si>
  <si>
    <t xml:space="preserve">          3.1.3.1.0.00.00 - Benefícios a Pessoal - RPPS </t>
  </si>
  <si>
    <t xml:space="preserve">            3.1.3.1.1.00.00 - Benefícios a Pessoal - RPPS - Consolidação </t>
  </si>
  <si>
    <t xml:space="preserve">          3.1.3.2.0.00.00 - Benefícios a Pessoal - RGPS </t>
  </si>
  <si>
    <t xml:space="preserve">            3.1.3.2.1.00.00 - Benefícios a Pessoal - RGPS - Consolidação </t>
  </si>
  <si>
    <t xml:space="preserve">          3.1.3.3.0.00.00 - Benefícios a Pessoal - Militar </t>
  </si>
  <si>
    <t xml:space="preserve">            3.1.3.3.1.00.00 - Benefícios a Pessoal - Militar - Consolidação </t>
  </si>
  <si>
    <t xml:space="preserve">        3.1.9.0.0.00.00 - Outras Variações Patrimoniais Diminutivas - Pessoal e 
        Encargos </t>
  </si>
  <si>
    <t xml:space="preserve">          3.1.9.1.0.00.00 - Indenizações e Restituições Trabalhistas </t>
  </si>
  <si>
    <t xml:space="preserve">            3.1.9.1.1.00.00 - Indenizações e Restituições Trabalhistas - 
            Consolidação </t>
  </si>
  <si>
    <t xml:space="preserve">          3.1.9.2.0.00.00 - Pessoal Requisitado de Outros Órgãos e Entes </t>
  </si>
  <si>
    <t xml:space="preserve">            3.1.9.2.1.00.00 - Pessoal Requisitado de Outros Órgãos e Entes - 
            Consolidação </t>
  </si>
  <si>
    <t xml:space="preserve">            3.1.9.2.2.00.00 - Pessoal Requisitado de Outros Órgãos e Entes - Intra 
            OFSS </t>
  </si>
  <si>
    <t xml:space="preserve">            3.1.9.2.3.00.00 - Pessoal Requisitado de Outros Órgãos e Entes - Inter 
            OFSS - União </t>
  </si>
  <si>
    <t xml:space="preserve">            3.1.9.2.4.00.00 - Pessoal Requisitado de Outros Órgãos e Entes - Inter 
            OFSS - Estado </t>
  </si>
  <si>
    <t xml:space="preserve">            3.1.9.2.5.00.00 - Pessoal Requisitado de Outros Órgãos e Entes - Inter 
            OFSS - Município </t>
  </si>
  <si>
    <t xml:space="preserve">          3.1.9.9.0.00.00 - Outras VPD de Pessoal e Encargos </t>
  </si>
  <si>
    <t xml:space="preserve">            3.1.9.9.1.00.00 - Outras VPD de Pessoal e Encargos - Consolidação </t>
  </si>
  <si>
    <t xml:space="preserve">            3.1.9.9.2.00.00 - Outras VPD de Pessoal e Encargos - Intra OFSS </t>
  </si>
  <si>
    <t xml:space="preserve">            3.1.9.9.3.00.00 - Outras VPD de Pessoal e Encargos - Inter OFSS - 
            União </t>
  </si>
  <si>
    <t xml:space="preserve">            3.1.9.9.4.00.00 - Outras VPD de Pessoal e Encargos - Inter OFSS - 
            Estado </t>
  </si>
  <si>
    <t xml:space="preserve">            3.1.9.9.5.00.00 - Outras VPD de Pessoal e Encargos - Inter OFSS - 
            Município </t>
  </si>
  <si>
    <t xml:space="preserve">      3.2.0.0.0.00.00 - Benefícios Previdenciários e Assistenciais </t>
  </si>
  <si>
    <t xml:space="preserve">        3.2.1.0.0.00.00 - Aposentadorias e Reformas </t>
  </si>
  <si>
    <t xml:space="preserve">          3.2.1.1.0.00.00 - Aposentadorias - RPPS </t>
  </si>
  <si>
    <t xml:space="preserve">            3.2.1.1.1.00.00 - Aposentadorias - RPPS - Consolidação </t>
  </si>
  <si>
    <t xml:space="preserve">          3.2.1.2.0.00.00 - Aposentadorias - RGPS </t>
  </si>
  <si>
    <t xml:space="preserve">            3.2.1.2.1.00.00 - Aposentadorias - RGPS - Consolidação </t>
  </si>
  <si>
    <t xml:space="preserve">          3.2.1.3.0.00.00 - Reserva Remunerada - Pessoal Militar </t>
  </si>
  <si>
    <t xml:space="preserve">            3.2.1.3.1.00.00 - Reserva Remunerada - Pessoal Militar - Consolidação </t>
  </si>
  <si>
    <t xml:space="preserve">          3.2.1.4.0.00.00 - Reforma - Pessoal Militar </t>
  </si>
  <si>
    <t xml:space="preserve">            3.2.1.4.1.00.00 - Reforma - Pessoal Militar - Consolidação </t>
  </si>
  <si>
    <t xml:space="preserve">          3.2.1.9.0.00.00 - Outras Aposentadorias </t>
  </si>
  <si>
    <t xml:space="preserve">            3.2.1.9.1.00.00 - Outras Aposentadorias - Consolidação </t>
  </si>
  <si>
    <t xml:space="preserve">        3.2.2.0.0.00.00 - Pensões </t>
  </si>
  <si>
    <t xml:space="preserve">          3.2.2.1.0.00.00 - Pensões - RPPS </t>
  </si>
  <si>
    <t xml:space="preserve">            3.2.2.1.1.00.00 - Pensões - RPPS - Consolidação </t>
  </si>
  <si>
    <t xml:space="preserve">          3.2.2.2.0.00.00 - Pensões - RGPS </t>
  </si>
  <si>
    <t xml:space="preserve">            3.2.2.2.1.00.00 - Pensões - RGPS - Consolidação </t>
  </si>
  <si>
    <t xml:space="preserve">          3.2.2.3.0.00.00 - Pensões - Pessoal Militar </t>
  </si>
  <si>
    <t xml:space="preserve">            3.2.2.3.1.00.00 - Pensões - Pessoal Militar - Consolidação </t>
  </si>
  <si>
    <t xml:space="preserve">          3.2.2.9.0.00.00 - Outras Pensões </t>
  </si>
  <si>
    <t xml:space="preserve">            3.2.2.9.1.00.00 - Outras Pensões - Consolidação </t>
  </si>
  <si>
    <t xml:space="preserve">        3.2.3.0.0.00.00 - Benefícios de Prestação Continuada </t>
  </si>
  <si>
    <t xml:space="preserve">          3.2.3.1.0.00.00 - Benefícios de Prestação Continuada ao Idoso </t>
  </si>
  <si>
    <t xml:space="preserve">            3.2.3.1.1.00.00 - Benefícios de Prestação Continuada ao Idoso - 
            Consolidação </t>
  </si>
  <si>
    <t xml:space="preserve">          3.2.3.2.0.00.00 - Benefícios de Prestação Continuada ao Portador de 
          Deficiência </t>
  </si>
  <si>
    <t xml:space="preserve">            3.2.3.2.1.00.00 - Benefícios de Prestação Continuada ao Portador de 
            Deficiência - Consolidação </t>
  </si>
  <si>
    <t xml:space="preserve">          3.2.3.9.0.00.00 - Outros Benefícios de Prestação Continuada </t>
  </si>
  <si>
    <t xml:space="preserve">            3.2.3.9.1.00.00 - Outros Benefícios de Prestação Continuada - 
            Consolidação </t>
  </si>
  <si>
    <t xml:space="preserve">        3.2.4.0.0.00.00 - Benefícios Eventuais </t>
  </si>
  <si>
    <t xml:space="preserve">          3.2.4.1.0.00.00 - Auxílio por Natalidade </t>
  </si>
  <si>
    <t xml:space="preserve">            3.2.4.1.1.00.00 - Auxílio por Natalidade - Consolidação </t>
  </si>
  <si>
    <t xml:space="preserve">          3.2.4.2.0.00.00 - Auxílio por Morte </t>
  </si>
  <si>
    <t xml:space="preserve">            3.2.4.2.1.00.00 - Auxílio por Morte - Consolidação </t>
  </si>
  <si>
    <t xml:space="preserve">          3.2.4.3.0.00.00 - Benefícios Eventuais por Situações de Vulnerabilidade 
          Temporária </t>
  </si>
  <si>
    <t xml:space="preserve">            3.2.4.3.1.00.00 - Benefícios Eventuais por Situações de 
            Vulnerabilidade Temporária - Consolidação </t>
  </si>
  <si>
    <t xml:space="preserve">          3.2.4.4.0.00.00 - Benefícios Eventuais em Caso de Calamidade Pública </t>
  </si>
  <si>
    <t xml:space="preserve">            3.2.4.4.1.00.00 - Benefícios Eventuais em Caso de Calamidade Pública - 
            Consolidação </t>
  </si>
  <si>
    <t xml:space="preserve">        3.2.5.0.0.00.00 - Políticas Públicas de Transferência de Renda </t>
  </si>
  <si>
    <t xml:space="preserve">          3.2.5.1.0.00.00 - Políticas Públicas de Transferência de Renda </t>
  </si>
  <si>
    <t xml:space="preserve">            3.2.5.1.1.00.00 - Políticas Públicas de Transferência de Renda - 
            Consolidação </t>
  </si>
  <si>
    <t xml:space="preserve">        3.2.9.0.0.00.00 - Outros Benefícios Previdenciários e Assistenciais </t>
  </si>
  <si>
    <t xml:space="preserve">          3.2.9.1.0.00.00 - Outros Benefícios Previdenciários e Assistenciais - 
          Servidor Civil </t>
  </si>
  <si>
    <t xml:space="preserve">            3.2.9.1.1.00.00 - Outros Benefícios Previdenciários e Assistenciais - 
            Servidor Civil - Consolidação </t>
  </si>
  <si>
    <t xml:space="preserve">            3.2.9.1.2.00.00 - Outros Benefícios Previdenciários e Assistenciais - 
            Servidor Civil - Intra - OFSS </t>
  </si>
  <si>
    <t xml:space="preserve">          3.2.9.2.0.00.00 - Outros Benefícios Previdenciários e Assistenciais - 
          RGPS </t>
  </si>
  <si>
    <t xml:space="preserve">            3.2.9.2.1.00.00 - Outros Benefícios Previdenciários e Assistenciais - 
            RGPS - Consolidação </t>
  </si>
  <si>
    <t xml:space="preserve">          3.2.9.3.0.00.00 - Outros Benefícios Previdenciários e Assistenciais - 
          Militar </t>
  </si>
  <si>
    <t xml:space="preserve">            3.2.9.3.1.00.00 - Outros Benefícios Previdenciários e Assistenciais - 
            Militar - Consolidação </t>
  </si>
  <si>
    <t xml:space="preserve">          3.2.9.9.0.00.00 - Outros Benefícios Previdenciários e Assistenciais </t>
  </si>
  <si>
    <t xml:space="preserve">            3.2.9.9.1.00.00 - Outros Benefícios Previdenciários e Assistenciais - 
            Consolidação </t>
  </si>
  <si>
    <t xml:space="preserve">            3.2.9.9.2.00.00 - Outros Benefícios Previdenciários e Assistenciais - 
            Intra OFSS </t>
  </si>
  <si>
    <t xml:space="preserve">      3.3.0.0.0.00.00 - Uso de Bens, Serviços e Consumo de Capital Fixo </t>
  </si>
  <si>
    <t xml:space="preserve">        3.3.1.0.0.00.00 - Uso de Material de Consumo </t>
  </si>
  <si>
    <t xml:space="preserve">          3.3.1.1.0.00.00 - Consumo de Material </t>
  </si>
  <si>
    <t xml:space="preserve">            3.3.1.1.1.00.00 - Consumo de Material - Consolidação </t>
  </si>
  <si>
    <t xml:space="preserve">          3.3.1.2.0.00.00 - Distribuição de Material Gratuito </t>
  </si>
  <si>
    <t xml:space="preserve">            3.3.1.2.1.00.00 - Distribuição de Material Gratuito - Consolidação </t>
  </si>
  <si>
    <t xml:space="preserve">            3.3.1.2.2.00.00 - Distribuição de Material Gratuito - Intra OFSS </t>
  </si>
  <si>
    <t xml:space="preserve">            3.3.1.2.3.00.00 - Distribuição de Material Gratuito - Inter OFSS - 
            União </t>
  </si>
  <si>
    <t xml:space="preserve">            3.3.1.2.4.00.00 - Distribuição de Material Gratuito - Inter OFSS - 
            Estado </t>
  </si>
  <si>
    <t xml:space="preserve">            3.3.1.2.5.00.00 - Distribuição de Material Gratuito - Inter OFSS - 
            Município </t>
  </si>
  <si>
    <t xml:space="preserve">        3.3.2.0.0.00.00 - Serviços </t>
  </si>
  <si>
    <t xml:space="preserve">          3.3.2.1.0.00.00 - Diárias </t>
  </si>
  <si>
    <t xml:space="preserve">            3.3.2.1.1.00.00 - Diárias - Consolidação </t>
  </si>
  <si>
    <t xml:space="preserve">          3.3.2.2.0.00.00 - Serviços Terceiros - PF </t>
  </si>
  <si>
    <t xml:space="preserve">            3.3.2.2.1.00.00 - Serviços Terceiros - PF - Consolidação </t>
  </si>
  <si>
    <t xml:space="preserve">          3.3.2.3.0.00.00 - Serviços Terceiros - PJ </t>
  </si>
  <si>
    <t xml:space="preserve">            3.3.2.3.1.00.00 - Serviços Terceiros - PJ - Consolidação </t>
  </si>
  <si>
    <t xml:space="preserve">            3.3.2.3.2.00.00 - Serviços Terceiros - PJ - Intra OFSS </t>
  </si>
  <si>
    <t xml:space="preserve">            3.3.2.3.3.00.00 - Serviços Terceiros - PJ - Inter OFSS - União </t>
  </si>
  <si>
    <t xml:space="preserve">            3.3.2.3.4.00.00 - Serviços Terceiros - PJ - Inter OFSS - Estado </t>
  </si>
  <si>
    <t xml:space="preserve">            3.3.2.3.5.00.00 - Serviços Terceiros - PJ - Inter OFSS - Município </t>
  </si>
  <si>
    <t xml:space="preserve">          3.3.2.4.0.00.00 - Contrato de Terceirização por Substituição de mão de 
          Obra – Art. 18 § 1, LC 101/00 </t>
  </si>
  <si>
    <t xml:space="preserve">            3.3.2.4.1.00.00 - Contrato de Terceirização por Substituição de mão de 
            Obra - Art. 18 § 1, LC 101/00 - Consolidação </t>
  </si>
  <si>
    <t xml:space="preserve">            3.3.2.4.2.00.00 - Contrato de Terceirização por Substituição de mão de 
            Obra - Art. 18 § 1, LC 101/00 - Intra OFSS </t>
  </si>
  <si>
    <t xml:space="preserve">            3.3.2.4.3.00.00 - Contrato de Terceirização por Substituição de mão de 
            Obra - Art. 18 § 1, LC 101/00 - Inter OFSS - União </t>
  </si>
  <si>
    <t xml:space="preserve">            3.3.2.4.4.00.00 - Contrato de Terceirização por Substituição de mão de 
            Obra - Art. 18 § 1, LC 101/00 - Inter OFSS - Estado </t>
  </si>
  <si>
    <t xml:space="preserve">            3.3.2.4.5.00.00 - Contrato de Terceirização por Substituição de mão de 
            Obra - Art. 18 § 1, LC 101/00 - Inter OFSS - Município </t>
  </si>
  <si>
    <t xml:space="preserve">        3.3.3.0.0.00.00 - Depreciação, Amortização e Exaustão </t>
  </si>
  <si>
    <t xml:space="preserve">          3.3.3.1.0.00.00 - Depreciação </t>
  </si>
  <si>
    <t xml:space="preserve">            3.3.3.1.1.00.00 - Depreciação - Consolidação </t>
  </si>
  <si>
    <t xml:space="preserve">          3.3.3.2.0.00.00 - Amortização </t>
  </si>
  <si>
    <t xml:space="preserve">            3.3.3.2.1.00.00 - Amortização - Consolidação </t>
  </si>
  <si>
    <t xml:space="preserve">          3.3.3.3.0.00.00 - Exaustão </t>
  </si>
  <si>
    <t xml:space="preserve">            3.3.3.3.1.00.00 - Exaustão - Consolidação </t>
  </si>
  <si>
    <t xml:space="preserve">      3.4.0.0.0.00.00 - Variações Patrimoniais Diminutivas Financeiras </t>
  </si>
  <si>
    <t xml:space="preserve">        3.4.1.0.0.00.00 - Juros e Encargos de Empréstimos e Financiamentos 
        Obtidos </t>
  </si>
  <si>
    <t xml:space="preserve">          3.4.1.1.0.00.00 - Juros e Encargos da Dívida Contratual Interna </t>
  </si>
  <si>
    <t xml:space="preserve">            3.4.1.1.1.00.00 - Juros e Encargos da Dívida Contratual Interna - 
            Consolidação </t>
  </si>
  <si>
    <t xml:space="preserve">            3.4.1.1.2.00.00 - Juros e Encargos da Dívida Contratual Interna - 
            Intra OFSS </t>
  </si>
  <si>
    <t xml:space="preserve">            3.4.1.1.3.00.00 - Juros e Encargos da Dívida Contratual Interna - 
            Inter OFSS - União </t>
  </si>
  <si>
    <t xml:space="preserve">            3.4.1.1.4.00.00 - Juros e Encargos da Dívida Contratual Interna - 
            Inter OFSS - Estado </t>
  </si>
  <si>
    <t xml:space="preserve">            3.4.1.1.5.00.00 - Juros e Encargos da Dívida Contratual Interna - 
            Inter OFSS - Município </t>
  </si>
  <si>
    <t xml:space="preserve">          3.4.1.2.0.00.00 - Juros e Encargos da Dívida Contratual Externa </t>
  </si>
  <si>
    <t xml:space="preserve">            3.4.1.2.1.00.00 - Juros e Encargos da Dívida Contratual Externa - 
            Consolidação </t>
  </si>
  <si>
    <t xml:space="preserve">          3.4.1.3.0.00.00 - Juros e Encargos da Dívida Mobiliária </t>
  </si>
  <si>
    <t xml:space="preserve">            3.4.1.3.1.00.00 - Juros e Encargos da Dívida Mobiliária - Consolidação </t>
  </si>
  <si>
    <t xml:space="preserve">            3.4.1.3.2.00.00 - Juros e Encargos da Dívida Mobiliária - Intra OFSS </t>
  </si>
  <si>
    <t xml:space="preserve">            3.4.1.3.3.00.00 - Juros e Encargos da Dívida Mobiliária - Inter OFSS - 
            União </t>
  </si>
  <si>
    <t xml:space="preserve">            3.4.1.3.4.00.00 - Juros e Encargos da Dívida Mobiliária - Inter OFSS - 
            Estado </t>
  </si>
  <si>
    <t xml:space="preserve">            3.4.1.3.5.00.00 - Juros e Encargos da Dívida Mobiliária - Inter OFSS - 
            Município </t>
  </si>
  <si>
    <t xml:space="preserve">          3.4.1.4.0.00.00 - Juros e Encargos de Empréstimos por Antecipação de 
          Receita Orçamentária </t>
  </si>
  <si>
    <t xml:space="preserve">            3.4.1.4.1.00.00 - Juros e Encargos de Empréstimos por Antecipação de 
            Receita Orçamentária - Consolidação </t>
  </si>
  <si>
    <t xml:space="preserve">          3.4.1.8.0.00.00 - Outros Juros e Encargos de Empréstimos e 
          Financiamentos Internos </t>
  </si>
  <si>
    <t xml:space="preserve">            3.4.1.8.1.00.00 - Outros Juros e Encargos de Empréstimos e 
            Financiamentos Internos - Consolidação </t>
  </si>
  <si>
    <t xml:space="preserve">            3.4.1.8.2.00.00 - Outros Juros e Encargos de Empréstimos e 
            Financiamentos Internos - Intra OFSS </t>
  </si>
  <si>
    <t xml:space="preserve">            3.4.1.8.3.00.00 - Outros Juros e Encargos de Empréstimos e 
            Financiamentos Internos - Inter OFSS - União </t>
  </si>
  <si>
    <t xml:space="preserve">            3.4.1.8.4.00.00 - Outros Juros e Encargos de Empréstimos e 
            Financiamentos Internos - Inter OFSS - Estado </t>
  </si>
  <si>
    <t xml:space="preserve">            3.4.1.8.5.00.00 - Outros Juros e Encargos de Empréstimos e 
            Financiamentos Internos - Inter OFSS - Município </t>
  </si>
  <si>
    <t xml:space="preserve">          3.4.1.9.0.00.00 - Outros Juros e Encargos de Empréstimos e 
          Financiamentos Externos </t>
  </si>
  <si>
    <t xml:space="preserve">            3.4.1.9.1.00.00 - Outros Juros e Encargos de Empréstimos e 
            Financiamentos Externos - Consolidação </t>
  </si>
  <si>
    <t xml:space="preserve">        3.4.2.0.0.00.00 - Juros e Encargos de Mora </t>
  </si>
  <si>
    <t xml:space="preserve">          3.4.2.1.0.00.00 - Juros e Encargos de Mora de Empréstimos e 
          Financiamentos Internos Obtidos </t>
  </si>
  <si>
    <t xml:space="preserve">            3.4.2.1.1.00.00 - Juros e Encargos de Mora de Empréstimos e 
            Financiamentos Internos Obtidos - Consolidação </t>
  </si>
  <si>
    <t xml:space="preserve">            3.4.2.1.2.00.00 - Juros e Encargos de Mora de Empréstimos e 
            Financiamentos Internos Obtidos - Intra OFSS </t>
  </si>
  <si>
    <t xml:space="preserve">            3.4.2.1.3.00.00 - Juros e Encargos de Mora de Empréstimos e 
            Financiamentos Internos Obtidos - Inter OFSS - União </t>
  </si>
  <si>
    <t xml:space="preserve">            3.4.2.1.4.00.00 - Juros e Encargos de Mora de Empréstimos e 
            Financiamentos Internos Obtidos - Inter OFSS - Estado </t>
  </si>
  <si>
    <t xml:space="preserve">            3.4.2.1.5.00.00 - Juros e Encargos de Mora de Empréstimos e 
            Financiamentos Internos Obtidos - Inter OFSS - Município </t>
  </si>
  <si>
    <t xml:space="preserve">          3.4.2.2.0.00.00 - Juros e Encargos de Mora de Empréstimos e 
          Financiamentos Externos Obtidos </t>
  </si>
  <si>
    <t xml:space="preserve">            3.4.2.2.1.00.00 - Juros e Encargos de Mora de Empréstimos e 
            Financiamentos Externos Obtidos - Consolidação </t>
  </si>
  <si>
    <t xml:space="preserve">          3.4.2.3.0.00.00 - Juros e Encargos de Mora de Aquisição de Bens e 
          Serviços </t>
  </si>
  <si>
    <t xml:space="preserve">            3.4.2.3.1.00.00 - Juros e Encargos de Mora de Aquisição de Bens e 
            Serviços - Consolidação </t>
  </si>
  <si>
    <t xml:space="preserve">            3.4.2.3.2.00.00 - Juros e Encargos de Mora de Aquisição de Bens e 
            Serviços - Intra OFSS </t>
  </si>
  <si>
    <t xml:space="preserve">            3.4.2.3.3.00.00 - Juros e Encargos de Mora de Aquisição de Bens e 
            Serviços - Inter OFSS - União </t>
  </si>
  <si>
    <t xml:space="preserve">            3.4.2.3.4.00.00 - Juros e Encargos de Mora de Aquisição de Bens e 
            Serviços - Inter OFSS - Estado </t>
  </si>
  <si>
    <t xml:space="preserve">            3.4.2.3.5.00.00 - Juros e Encargos de Mora de Aquisição de Bens e 
            Serviços - Inter OFSS - Município </t>
  </si>
  <si>
    <t xml:space="preserve">          3.4.2.4.0.00.00 - Juros e Encargos de Mora de Obrigações Tributárias </t>
  </si>
  <si>
    <t xml:space="preserve">            3.4.2.4.1.00.00 - Juros e Encargos de Mora de Obrigações Tributárias - 
            Consolidação </t>
  </si>
  <si>
    <t xml:space="preserve">            3.4.2.4.2.00.00 - Juros e Encargos de Mora de Obrigações Tributárias - 
            Intra OFSS </t>
  </si>
  <si>
    <t xml:space="preserve">            3.4.2.4.3.00.00 - Juros e Encargos de Mora de Obrigações Tributárias - 
            Inter OFSS - União </t>
  </si>
  <si>
    <t xml:space="preserve">            3.4.2.4.4.00.00 - Juros e Encargos de Mora de Obrigações Tributárias - 
            Inter OFSS - Estado </t>
  </si>
  <si>
    <t xml:space="preserve">            3.4.2.4.5.00.00 - Juros e Encargos de Mora de Obrigações Tributárias - 
            Inter OFSS - Município </t>
  </si>
  <si>
    <t xml:space="preserve">          3.4.2.5.0.00.00 - Juros e Encargos de Mora de Obrigações 
          Previdenciárias </t>
  </si>
  <si>
    <t xml:space="preserve">            3.4.2.5.1.00.00 - Juros e Encargos de Mora de Obrigações 
            Previdenciárias - Consolidação </t>
  </si>
  <si>
    <t xml:space="preserve">            3.4.2.5.2.00.00 - Juros e Encargos de Mora de Obrigações 
            Previdenciárias - Intra OFSS </t>
  </si>
  <si>
    <t xml:space="preserve">            3.4.2.5.3.00.00 - Juros e Encargos de Mora de Obrigações 
            Previdenciárias - Inter OFSS - União </t>
  </si>
  <si>
    <t xml:space="preserve">            3.4.2.5.4.00.00 - Juros e Encargos de Mora de Obrigações 
            Previdenciárias - Inter OFSS - Estado </t>
  </si>
  <si>
    <t xml:space="preserve">            3.4.2.5.5.00.00 - Juros e Encargos de Mora de Obrigações 
            Previdenciárias - Inter OFSS - Município </t>
  </si>
  <si>
    <t xml:space="preserve">          3.4.2.6.0.00.00 - Juros e Encargos de Mora de Empréstimos e 
          Financiamentos Concedidos </t>
  </si>
  <si>
    <t xml:space="preserve">            3.4.2.6.1.00.00 - Juros e Encargos de Mora de Empréstimos e 
            Financiamentos Concedidos - Consolidação </t>
  </si>
  <si>
    <t xml:space="preserve">            3.4.2.6.2.00.00 - Juros e Encargos de Mora de Empréstimos e 
            Financiamentos Concedidos - Intra OFSS </t>
  </si>
  <si>
    <t xml:space="preserve">            3.4.2.6.3.00.00 - Juros e Encargos de Mora de Empréstimos e 
            Financiamentos Concedidos - Inter OFSS - União </t>
  </si>
  <si>
    <t xml:space="preserve">            3.4.2.6.4.00.00 - Juros e Encargos de Mora de Empréstimos e 
            Financiamentos Concedidos - Inter OFSS - Estado </t>
  </si>
  <si>
    <t xml:space="preserve">            3.4.2.6.5.00.00 - Juros e Encargos de Mora de Empréstimos e 
            Financiamentos Concedidos - Inter OFSS - Municipio </t>
  </si>
  <si>
    <t xml:space="preserve">          3.4.2.9.0.00.00 - Outros Juros e Encargos de Mora </t>
  </si>
  <si>
    <t xml:space="preserve">            3.4.2.9.1.00.00 - Outros Juros e Encargos de Mora - Consolidação </t>
  </si>
  <si>
    <t xml:space="preserve">            3.4.2.9.2.00.00 - Outros Juros e Encargos de Mora - Intra OFSS </t>
  </si>
  <si>
    <t xml:space="preserve">            3.4.2.9.3.00.00 - Outros Juros e Encargos de Mora - Inter OFSS - União </t>
  </si>
  <si>
    <t xml:space="preserve">            3.4.2.9.4.00.00 - Outros Juros e Encargos de Mora - Inter OFSS - 
            Estado </t>
  </si>
  <si>
    <t xml:space="preserve">            3.4.2.9.5.00.00 - Outros Juros e Encargos de Mora - Inter OFSS - 
            Município </t>
  </si>
  <si>
    <t xml:space="preserve">        3.4.3.0.0.00.00 - Variações Monetárias e Cambiais </t>
  </si>
  <si>
    <t xml:space="preserve">          3.4.3.1.0.00.00 - Variações Monetárias e Cambiais de Dívida Contratual 
          Interna </t>
  </si>
  <si>
    <t xml:space="preserve">            3.4.3.1.1.00.00 - Variações Monetárias e Cambiais de Dívida Contratual 
            Interna - Consolidação </t>
  </si>
  <si>
    <t xml:space="preserve">            3.4.3.1.2.00.00 - Variações Monetárias e Cambiais de Dívida Contratual 
            Interna - Intra OFSS </t>
  </si>
  <si>
    <t xml:space="preserve">            3.4.3.1.3.00.00 - Variações Monetárias e Cambiais de Dívida Contratual 
            Interna - Inter OFSS - União </t>
  </si>
  <si>
    <t xml:space="preserve">            3.4.3.1.4.00.00 - Variações Monetárias e Cambiais de Dívida Contratual 
            Interna - Inter OFSS - Estado </t>
  </si>
  <si>
    <t xml:space="preserve">            3.4.3.1.5.00.00 - Variações Monetárias e Cambiais de Dívida Contratual 
            Interna - Inter OFSS - Município </t>
  </si>
  <si>
    <t xml:space="preserve">          3.4.3.2.0.00.00 - Variações Monetárias e Cambiais de Dívida Contratual 
          Externa </t>
  </si>
  <si>
    <t xml:space="preserve">            3.4.3.2.1.00.00 - Variações Monetárias e Cambiais de Dívida Contratual 
            Externa - Consolidação </t>
  </si>
  <si>
    <t xml:space="preserve">          3.4.3.3.0.00.00 - Variações Monetárias e Cambiais de Dívida Mobiliária 
          Interna </t>
  </si>
  <si>
    <t xml:space="preserve">            3.4.3.3.1.00.00 - Variações Monetárias e Cambiais de Dívida Mobiliária 
            Interna - Consolidação </t>
  </si>
  <si>
    <t xml:space="preserve">            3.4.3.3.2.00.00 - Variações Monetárias e Cambiais de Dívida Mobiliária 
            Interna - Intra OFSS </t>
  </si>
  <si>
    <t xml:space="preserve">            3.4.3.3.3.00.00 - Variações Monetárias e Cambiais de Dívida Mobiliária 
            Interna - Inter OFSS - União </t>
  </si>
  <si>
    <t xml:space="preserve">            3.4.3.3.4.00.00 - Variações Monetárias e Cambiais de Dívida Mobiliária 
            Interna - Inter OFSS - Estado </t>
  </si>
  <si>
    <t xml:space="preserve">            3.4.3.3.5.00.00 - Variações Monetárias e Cambiais de Dívida Mobiliária 
            Interna - Inter OFSS - Município </t>
  </si>
  <si>
    <t xml:space="preserve">          3.4.3.4.0.00.00 - Variações Monetárias e Cambiais de Dívida Mobiliária 
          Externa </t>
  </si>
  <si>
    <t xml:space="preserve">            3.4.3.4.1.00.00 - Variações Monetárias e Cambiais de Dívida Mobiliária 
            Externa - Consolidação </t>
  </si>
  <si>
    <t xml:space="preserve">          3.4.3.5.0.00.00 - Variações Monetárias e Cambiais de Empréstimos e 
          Financiamentos Concedidos </t>
  </si>
  <si>
    <t xml:space="preserve">            3.4.3.5.1.00.00 - Variações Monetárias e Cambiais de Empréstimos e 
            Financiamentos Concedidos - Consolidação </t>
  </si>
  <si>
    <t xml:space="preserve">            3.4.3.5.2.00.00 - Variações Monetárias e Cambiais de Empréstimos e 
            Financiamentos - Intra OFSS </t>
  </si>
  <si>
    <t xml:space="preserve">            3.4.3.5.3.00.00 - Variações Monetárias e Cambiais de Empréstimos e 
            Financiamentos - Inter OFSS- União </t>
  </si>
  <si>
    <t xml:space="preserve">            3.4.3.5.4.00.00 - Variações Monetárias e Cambiais de Empréstimos e 
            Financiamentos - Inter OFSS - Estado </t>
  </si>
  <si>
    <t xml:space="preserve">            3.4.3.5.5.00.00 - Variações Monetárias e Cambiais de Empréstimos e 
            Financiamentos - Inter OFSS- Município </t>
  </si>
  <si>
    <t xml:space="preserve">          3.4.3.9.0.00.00 - Outras Variações Monetárias e Cambiais </t>
  </si>
  <si>
    <t xml:space="preserve">            3.4.3.9.1.00.00 - Outras Variações Monetárias e Cambiais - 
            Consolidação </t>
  </si>
  <si>
    <t xml:space="preserve">            3.4.3.9.2.00.00 - Outras Variações Monetárias e Cambiais - Intra OFSS </t>
  </si>
  <si>
    <t xml:space="preserve">            3.4.3.9.3.00.00 - Outras Variações Monetárias e Cambiais - Inter OFSS 
            - União </t>
  </si>
  <si>
    <t xml:space="preserve">            3.4.3.9.4.00.00 - Outras Variações Monetárias e Cambiais - Inter OFSS 
            - Estado </t>
  </si>
  <si>
    <t xml:space="preserve">            3.4.3.9.5.00.00 - Outras Variações Monetárias e Cambiais - Inter OFSS 
            - Município </t>
  </si>
  <si>
    <t xml:space="preserve">        3.4.4.0.0.00.00 - Descontos Financeiros Concedidos </t>
  </si>
  <si>
    <t xml:space="preserve">          3.4.4.1.0.00.00 - Descontos Financeiros Concedidos </t>
  </si>
  <si>
    <t xml:space="preserve">            3.4.4.1.1.00.00 - Descontos Financeiros Concedidos - Consolidação </t>
  </si>
  <si>
    <t xml:space="preserve">            3.4.4.1.2.00.00 - Descontos Financeiros Concedidos - Intra OFSS </t>
  </si>
  <si>
    <t xml:space="preserve">            3.4.4.1.3.00.00 - Descontos Financeiros Concedidos - Inter OFSS - 
            União </t>
  </si>
  <si>
    <t xml:space="preserve">            3.4.4.1.4.00.00 - Descontos Financeiros Concedidos - Inter OFSS - 
            Estado </t>
  </si>
  <si>
    <t xml:space="preserve">            3.4.4.1.5.00.00 - Descontos Financeiros Concedidos - Inter OFSS - 
            Município </t>
  </si>
  <si>
    <t xml:space="preserve">        3.4.5.0.0.00.00 - Remuneração Negativa de Depósitos Bancários e 
        Aplicações Financeiras </t>
  </si>
  <si>
    <t xml:space="preserve">          3.4.5.1.0.00.00 - Remuneração Negativa de Depósitos Bancários </t>
  </si>
  <si>
    <t xml:space="preserve">            3.4.5.1.1.00.00 - Remuneração Negativa de Depósitos Bancários - 
            Consolidação </t>
  </si>
  <si>
    <t xml:space="preserve">          3.4.5.2.0.00.00 - Remuneração Negativa de Aplicações Financeiras </t>
  </si>
  <si>
    <t xml:space="preserve">            3.4.5.2.1.00.00 - Remuneração Negativa de Aplicações Financeiras - 
            Consolidação </t>
  </si>
  <si>
    <t xml:space="preserve">        3.4.6.0.0.00.00 - Juros e Encargos de Empréstimos e Financiamentos 
        Concedidos </t>
  </si>
  <si>
    <t xml:space="preserve">          3.4.6.1.0.00.00 - Juros e Encargos de Empréstimos e Financiamentos 
          Concedidos </t>
  </si>
  <si>
    <t xml:space="preserve">            3.4.6.1.1.00.00 - Juros e Encargos de Empréstimos e Financiamentos 
            Concedidos - Consolidação </t>
  </si>
  <si>
    <t xml:space="preserve">            3.4.6.1.2.00.00 - Juros e Encargos de Empréstimos e Financiamentos 
            Concedidos - Intra OFSS </t>
  </si>
  <si>
    <t xml:space="preserve">            3.4.6.1.3.00.00 - Juros e Encargos de Empréstimos e Financiamentos 
            Concedidos - Inter OFSS - União </t>
  </si>
  <si>
    <t xml:space="preserve">            3.4.6.1.4.00.00 - Juros e Encargos de Empréstimos e Financiamentos 
            Concedidos - Inter OFSS - Estado </t>
  </si>
  <si>
    <t xml:space="preserve">            3.4.6.1.5.00.00 - Juros e Encargos de Empréstimos e Financiamentos 
            Concedidos - Inter OFSS - Municipio </t>
  </si>
  <si>
    <t xml:space="preserve">        3.4.8.0.0.00.00 - Aportes ao Banco Central </t>
  </si>
  <si>
    <t xml:space="preserve">          3.4.8.1.0.00.00 - Resultado Negativo do Banco Central </t>
  </si>
  <si>
    <t xml:space="preserve">            3.4.8.1.1.00.00 - Resultado Negativo do Banco Central - Consolidação </t>
  </si>
  <si>
    <t xml:space="preserve">          3.4.8.2.0.00.00 - Manutenção da Carteira de Títulos </t>
  </si>
  <si>
    <t xml:space="preserve">            3.4.8.2.1.00.00 - Manutenção da Carteira de Títulos - Consolidação </t>
  </si>
  <si>
    <t xml:space="preserve">        3.4.9.0.0.00.00 - Outras Variações Patrimoniais Diminutivas - 
        Financeiras </t>
  </si>
  <si>
    <t xml:space="preserve">          3.4.9.1.0.00.00 - Juros e Encargos em Sentenças Judiciais </t>
  </si>
  <si>
    <t xml:space="preserve">            3.4.9.1.1.00.00 - Juros e Encargos em Sentenças Judiciais - 
            Consolidação </t>
  </si>
  <si>
    <t xml:space="preserve">            3.4.9.1.2.00.00 - Juros e Encargos em Sentenças Judiciais - Intra OFSS </t>
  </si>
  <si>
    <t xml:space="preserve">            3.4.9.1.3.00.00 - Juros e Encargos em Sentenças Judiciais - Inter OFSS 
            - União </t>
  </si>
  <si>
    <t xml:space="preserve">            3.4.9.1.4.00.00 - Juros e Encargos em Sentenças Judiciais - Inter OFSS 
            - Estado </t>
  </si>
  <si>
    <t xml:space="preserve">            3.4.9.1.5.00.00 - Juros e Encargos em Sentenças Judiciais - Inter OFSS 
            - Município </t>
  </si>
  <si>
    <t xml:space="preserve">          3.4.9.2.0.00.00 - Juros e Encargos em Indenizações e Restituições </t>
  </si>
  <si>
    <t xml:space="preserve">            3.4.9.2.1.00.00 - Juros e Encargos em Indenizações e Restituições - 
            Consolidação </t>
  </si>
  <si>
    <t xml:space="preserve">            3.4.9.2.2.00.00 - Juros e Encargos em Indenizações e Restituições - 
            Intra OFSS </t>
  </si>
  <si>
    <t xml:space="preserve">            3.4.9.2.3.00.00 - Juros e Encargos em Indenizações e Restituições - 
            Inter OFSS - União </t>
  </si>
  <si>
    <t xml:space="preserve">            3.4.9.2.4.00.00 - Juros e Encargos em Indenizações e Restituições - 
            Inter OFSS - Estado </t>
  </si>
  <si>
    <t xml:space="preserve">            3.4.9.2.5.00.00 - Juros e Encargos em Indenizações e Restituições - 
            Inter OFSS - Município </t>
  </si>
  <si>
    <t xml:space="preserve">          3.4.9.9.0.00.00 - Outras Variações Patrimoniais Diminutivas Financeiras </t>
  </si>
  <si>
    <t xml:space="preserve">            3.4.9.9.1.00.00 - Outras Variações Patrimoniais Diminutivas 
            Financeiras - Consolidação </t>
  </si>
  <si>
    <t xml:space="preserve">            3.4.9.9.2.00.00 - Outras Variações Patrimoniais Diminutivas 
            Financeiras - Intra OFSS </t>
  </si>
  <si>
    <t xml:space="preserve">            3.4.9.9.3.00.00 - Outras Variações Patrimoniais Diminutivas 
            Financeiras - Inter OFSS - União </t>
  </si>
  <si>
    <t xml:space="preserve">            3.4.9.9.4.00.00 - Outras Variações Patrimoniais Diminutivas 
            Financeiras - Inter OFSS - Estado </t>
  </si>
  <si>
    <t xml:space="preserve">            3.4.9.9.5.00.00 - Outras Variações Patrimoniais Diminutivas 
            Financeiras - Inter OFSS - Município </t>
  </si>
  <si>
    <t xml:space="preserve">      3.5.0.0.0.00.00 - Transferências e Delegações Concedidas </t>
  </si>
  <si>
    <t xml:space="preserve">        3.5.1.0.0.00.00 - Transferências Intragovernamentais </t>
  </si>
  <si>
    <t xml:space="preserve">          3.5.1.1.0.00.00 - Transferências Concedidas para a Execução 
          Orçamentária </t>
  </si>
  <si>
    <t xml:space="preserve">            3.5.1.1.2.00.00 - Transferências Concedidas para a Execução 
            Orçamentária - Intra OFSS </t>
  </si>
  <si>
    <t xml:space="preserve">          3.5.1.2.0.00.00 - Transferências Concedidas - Independentes de Execução 
          Orçamentária </t>
  </si>
  <si>
    <t xml:space="preserve">            3.5.1.2.2.00.00 - Transferências Concedidas - Independentes de 
            Execução Orçamentária - Intra OFSS </t>
  </si>
  <si>
    <t xml:space="preserve">          3.5.1.3.0.00.00 - Transferências Concedidas para Aportes de Recursos 
          para o RPPS </t>
  </si>
  <si>
    <t xml:space="preserve">            3.5.1.3.2.00.00 - Transferências Concedidas para Aportes de Recursos 
            para o RPPS – Intra OFSS </t>
  </si>
  <si>
    <t xml:space="preserve">          3.5.1.4.0.00.00 - Transferências Concedidas para Aportes de Recursos 
          para o RGPS </t>
  </si>
  <si>
    <t xml:space="preserve">            3.5.1.4.2.00.00 - Transferências Concedidas para Aportes de Recursos 
            para o RGPS – Intra OFSS </t>
  </si>
  <si>
    <t xml:space="preserve">          3.5.1.5.0.00.00 - Transferências Concedidas para o Sistema de Proteção 
          Social dos Militares (SPSM) </t>
  </si>
  <si>
    <t xml:space="preserve">            3.5.1.5.2.00.00 - Transferências Concedidas para o Sistema de Proteção 
            Social dos Militares (SPSM) - Intra OFSS </t>
  </si>
  <si>
    <t xml:space="preserve">        3.5.2.0.0.00.00 - Transferências Inter Governamentais </t>
  </si>
  <si>
    <t xml:space="preserve">          3.5.2.1.0.00.00 - Distribuição Constitucional ou Legal de Receitas </t>
  </si>
  <si>
    <t xml:space="preserve">            3.5.2.1.1.00.00 - Distribuição Constitucional ou Legal de Receitas - 
            Consolidação </t>
  </si>
  <si>
    <t xml:space="preserve">            3.5.2.1.3.00.00 - Distribuição Constitucional ou Legal de Receitas – 
            Inter OFSS - União </t>
  </si>
  <si>
    <t xml:space="preserve">            3.5.2.1.4.00.00 - Distribuição Constitucional ou Legal de Receitas – 
            Inter OFSS - Estado </t>
  </si>
  <si>
    <t xml:space="preserve">            3.5.2.1.5.00.00 - Distribuição Constitucional ou Legal de Receitas – 
            Inter OFSS - Município </t>
  </si>
  <si>
    <t xml:space="preserve">          3.5.2.2.0.00.00 - Transferências ao FUNDEB </t>
  </si>
  <si>
    <t xml:space="preserve">            3.5.2.2.4.00.00 - Transferências ao FUNDEB - Inter OFSS - Estado </t>
  </si>
  <si>
    <t xml:space="preserve">          3.5.2.3.0.00.00 - Transferências Voluntárias </t>
  </si>
  <si>
    <t xml:space="preserve">            3.5.2.3.1.00.00 - Transferências Voluntárias - Consolidação </t>
  </si>
  <si>
    <t xml:space="preserve">            3.5.2.3.3.00.00 - Transferências Voluntárias - Inter OFSS - União </t>
  </si>
  <si>
    <t xml:space="preserve">            3.5.2.3.4.00.00 - Transferências Voluntárias - Inter OFSS - Estado </t>
  </si>
  <si>
    <t xml:space="preserve">            3.5.2.3.5.00.00 - Transferências Voluntárias - Inter OFSS - Município </t>
  </si>
  <si>
    <t xml:space="preserve">          3.5.2.4.0.00.00 - Outras Transferências </t>
  </si>
  <si>
    <t xml:space="preserve">            3.5.2.4.1.00.00 - Outras Transferências - Consolidação </t>
  </si>
  <si>
    <t xml:space="preserve">            3.5.2.4.3.00.00 - Outras Transferências – Inter OFSS - União </t>
  </si>
  <si>
    <t xml:space="preserve">            3.5.2.4.4.00.00 - Outras Transferências – Inter OFSS - Estado </t>
  </si>
  <si>
    <t xml:space="preserve">            3.5.2.4.5.00.00 - Outras Transferências – Inter OFSS - Município </t>
  </si>
  <si>
    <t xml:space="preserve">        3.5.3.0.0.00.00 - Transferências a Instituições Privadas </t>
  </si>
  <si>
    <t xml:space="preserve">          3.5.3.1.0.00.00 - Transferências a Instituições Privadas sem Fins 
          Lucrativos </t>
  </si>
  <si>
    <t xml:space="preserve">            3.5.3.1.1.00.00 - Transferências a Instituições Privadas sem Fins 
            Lucrativos - Consolidação </t>
  </si>
  <si>
    <t xml:space="preserve">          3.5.3.2.0.00.00 - Transferências a Instituições Privadas com Fins 
          Lucrativos </t>
  </si>
  <si>
    <t xml:space="preserve">            3.5.3.2.1.00.00 - Transferências a Instituições Privadas com Fins 
            Lucrativos - Consolidação </t>
  </si>
  <si>
    <t xml:space="preserve">        3.5.4.0.0.00.00 - Transferências a Instituições Multigovernamentais </t>
  </si>
  <si>
    <t xml:space="preserve">          3.5.4.1.0.00.00 - Transferências a Instituições Multigovernamentais </t>
  </si>
  <si>
    <t xml:space="preserve">            3.5.4.1.1.00.00 - Transferências a Instituições Multigovernamentais - 
            Consolidação </t>
  </si>
  <si>
    <t xml:space="preserve">        3.5.5.0.0.00.00 - Transferências a Consórcios Públicos </t>
  </si>
  <si>
    <t xml:space="preserve">          3.5.5.1.0.00.00 - Transferências a Consórcios Públicos </t>
  </si>
  <si>
    <t xml:space="preserve">            3.5.5.1.1.00.00 - Transferências a Consórcios Públicos - Consolidação </t>
  </si>
  <si>
    <t xml:space="preserve">        3.5.6.0.0.00.00 - Transferências ao Exterior </t>
  </si>
  <si>
    <t xml:space="preserve">          3.5.6.1.0.00.00 - Transferências ao Exterior </t>
  </si>
  <si>
    <t xml:space="preserve">            3.5.6.1.1.00.00 - Transferências ao Exterior - Consolidação </t>
  </si>
  <si>
    <t xml:space="preserve">        3.5.7.0.0.00.00 - Execução Orçamentária Delegada </t>
  </si>
  <si>
    <t xml:space="preserve">          3.5.7.1.0.00.00 - Execução Orçamentária Delegada a Entes </t>
  </si>
  <si>
    <t xml:space="preserve">            3.5.7.1.3.00.00 - Execução Orçamentária Delegada a Entes – Inter OFSS 
            - União </t>
  </si>
  <si>
    <t xml:space="preserve">            3.5.7.1.4.00.00 - Execução Orçamentária Delegada a Entes – Inter OFSS 
            - Estado </t>
  </si>
  <si>
    <t xml:space="preserve">            3.5.7.1.5.00.00 - Execução Orçamentária Delegada a Entes – Inter OFSS 
            - Município </t>
  </si>
  <si>
    <t xml:space="preserve">          3.5.7.2.0.00.00 - Execução Orçamentária Delegada a Consórcios </t>
  </si>
  <si>
    <t xml:space="preserve">            3.5.7.2.1.00.00 - Execução Orçamentária Delegada a Consórcios - 
            Consolidação </t>
  </si>
  <si>
    <t xml:space="preserve">        3.5.9.0.0.00.00 - Outras Transferências e Delegações Concedidas </t>
  </si>
  <si>
    <t xml:space="preserve">          3.5.9.1.0.00.00 - Outras Transferências e Delegações Concedidas </t>
  </si>
  <si>
    <t xml:space="preserve">            3.5.9.1.1.00.00 - Outras Transferências e Delegações Concedidas - 
            Consolidação </t>
  </si>
  <si>
    <t xml:space="preserve">            3.5.9.1.2.00.00 - Outras Transferências Concedidas - Intra OFSS </t>
  </si>
  <si>
    <t xml:space="preserve">            3.5.9.1.3.00.00 - Outras Transferências Concedidas - Inter OFSS - 
            União </t>
  </si>
  <si>
    <t xml:space="preserve">            3.5.9.1.4.00.00 - Outras Transferências Concedidas - Inter OFSS - 
            Estado </t>
  </si>
  <si>
    <t xml:space="preserve">            3.5.9.1.5.00.00 - Outras Transferências Concedidas - Inter OFSS - 
            Município </t>
  </si>
  <si>
    <t xml:space="preserve">      3.6.0.0.0.00.00 - Desvalorização e Perda de Ativos e Incorporação de 
      Passivos </t>
  </si>
  <si>
    <t xml:space="preserve">        3.6.1.0.0.00.00 - Reavaliação, Redução a Valor Recuperável e Ajuste para 
        Perdas </t>
  </si>
  <si>
    <t xml:space="preserve">          3.6.1.1.0.00.00 - Reavaliação de Imobilizado </t>
  </si>
  <si>
    <t xml:space="preserve">            3.6.1.1.1.00.00 - Reavaliação de Imobilizado - Consolidação </t>
  </si>
  <si>
    <t xml:space="preserve">          3.6.1.2.0.00.00 - Reavaliação de Intangíveis </t>
  </si>
  <si>
    <t xml:space="preserve">            3.6.1.2.1.00.00 - Reavaliação de Intangíveis - Consolidação </t>
  </si>
  <si>
    <t xml:space="preserve">          3.6.1.3.0.00.00 - Reavaliação de Outros Ativos </t>
  </si>
  <si>
    <t xml:space="preserve">            3.6.1.3.1.00.00 - Reavaliação de Outros Ativos - Consolidação </t>
  </si>
  <si>
    <t xml:space="preserve">          3.6.1.4.0.00.00 - Redução a Valor Recuperável de Investimentos </t>
  </si>
  <si>
    <t xml:space="preserve">            3.6.1.4.1.00.00 - Redução a Valor Recuperável de Investimentos - 
            Consolidação </t>
  </si>
  <si>
    <t xml:space="preserve">            3.6.1.4.2.00.00 - Redução a Valor Recuperável de Investimentos - Intra 
            OFSS </t>
  </si>
  <si>
    <t xml:space="preserve">            3.6.1.4.3.00.00 - Redução a Valor Recuperável de Investimentos - Inter 
            OFSS - União </t>
  </si>
  <si>
    <t xml:space="preserve">            3.6.1.4.4.00.00 - Redução a Valor Recuperável de Investimentos - Inter 
            OFSS - Estado </t>
  </si>
  <si>
    <t xml:space="preserve">            3.6.1.4.5.00.00 - Redução a Valor Recuperável de Investimentos - Inter 
            OFSS - Município </t>
  </si>
  <si>
    <t xml:space="preserve">          3.6.1.5.0.00.00 - Redução a Valor Recuperável de Imobilizado </t>
  </si>
  <si>
    <t xml:space="preserve">            3.6.1.5.1.00.00 - Redução a Valor Recuperável de Imobilizado - 
            Consolidação </t>
  </si>
  <si>
    <t xml:space="preserve">          3.6.1.6.0.00.00 - Redução a Valor Recuperável de Intangíveis </t>
  </si>
  <si>
    <t xml:space="preserve">            3.6.1.6.1.00.00 - Redução a Valor Recuperável de Intangíveis - 
            Consolidação </t>
  </si>
  <si>
    <t xml:space="preserve">          3.6.1.7.0.00.00 - Variação Patrimonial Diminutiva com Ajuste de Perdas 
          de Créditos e de Investimentos e Aplicações Temporários </t>
  </si>
  <si>
    <t xml:space="preserve">            3.6.1.7.1.00.00 - Variação Patrimonial Diminutiva com Ajuste de Perdas 
            de Créditos e de Investimentos e Aplicações Temporários - Consolidação </t>
  </si>
  <si>
    <t xml:space="preserve">            3.6.1.7.2.00.00 - Variação Patrimonial Diminutiva com Ajuste de Perdas 
            de Créditos e de Investimentos e Aplicações Temporários - Intra OFSS </t>
  </si>
  <si>
    <t xml:space="preserve">            3.6.1.7.3.00.00 - Variação Patrimonial Diminutiva com Ajuste de Perdas 
            de Créditos e de Investimentos e Aplicações Temporários - Inter OFSS - 
            União </t>
  </si>
  <si>
    <t xml:space="preserve">            3.6.1.7.4.00.00 - Variação Patrimonial Diminutiva com Ajuste de Perdas 
            de Créditos e de Investimentos e Aplicações Temporários - Inter OFSS - 
            Estado </t>
  </si>
  <si>
    <t xml:space="preserve">            3.6.1.7.5.00.00 - Variação Patrimonial Diminutiva com Ajuste de Perdas 
            de Créditos e de Investimentos e Aplicações Temporários - Inter OFSS - 
            Município </t>
  </si>
  <si>
    <t xml:space="preserve">          3.6.1.8.0.00.00 - Variação Patrimonial Diminutiva com Ajuste de Perdas 
          de Estoques </t>
  </si>
  <si>
    <t xml:space="preserve">            3.6.1.8.1.00.00 - Variação Patrimonial Diminutiva com Ajuste de Perdas 
            de Estoques - Consolidação </t>
  </si>
  <si>
    <t xml:space="preserve">        3.6.2.0.0.00.00 - Perdas com Alienação </t>
  </si>
  <si>
    <t xml:space="preserve">          3.6.2.1.0.00.00 - Perdas com Alienação de Investimentos </t>
  </si>
  <si>
    <t xml:space="preserve">            3.6.2.1.1.00.00 - Perdas com Alienação de Investimentos - Consolidação </t>
  </si>
  <si>
    <t xml:space="preserve">            3.6.2.1.2.00.00 - Perdas com Alienação de Investimentos - Intra OFSS </t>
  </si>
  <si>
    <t xml:space="preserve">            3.6.2.1.3.00.00 - Perdas com Alienação de Investimentos - Inter OFSS - 
            União </t>
  </si>
  <si>
    <t xml:space="preserve">            3.6.2.1.4.00.00 - Perdas com Alienação de Investimentos - Inter OFSS - 
            Estado </t>
  </si>
  <si>
    <t xml:space="preserve">            3.6.2.1.5.00.00 - Perdas com Alienação de Investimentos - Inter OFSS - 
            Município </t>
  </si>
  <si>
    <t xml:space="preserve">          3.6.2.2.0.00.00 - Perdas com Alienação de Imobilizado </t>
  </si>
  <si>
    <t xml:space="preserve">            3.6.2.2.1.00.00 - Perdas com Alienação de Imobilizado - Consolidação </t>
  </si>
  <si>
    <t xml:space="preserve">          3.6.2.3.0.00.00 - Perdas com Alienação de Intangíveis </t>
  </si>
  <si>
    <t xml:space="preserve">            3.6.2.3.1.00.00 - Perdas com Alienação de Intangíveis - Consolidação </t>
  </si>
  <si>
    <t xml:space="preserve">          3.6.2.9.0.00.00 - Perdas com Alienação de Demais Ativos </t>
  </si>
  <si>
    <t xml:space="preserve">            3.6.2.9.1.00.00 - Perdas com Alienação de Demais Ativos - Consolidação </t>
  </si>
  <si>
    <t xml:space="preserve">            3.6.2.9.2.00.00 - Perdas com Alienação de Demais Ativos - Intra OFSS </t>
  </si>
  <si>
    <t xml:space="preserve">            3.6.2.9.3.00.00 - Perdas com Alienação de Demais Ativos - Inter OFSS - 
            União </t>
  </si>
  <si>
    <t xml:space="preserve">            3.6.2.9.4.00.00 - Perdas com Alienação de Demais Ativos - Inter OFSS - 
            Estado </t>
  </si>
  <si>
    <t xml:space="preserve">            3.6.2.9.5.00.00 - Perdas com Alienação de Demais Ativos - Inter OFSS - 
            Município </t>
  </si>
  <si>
    <t xml:space="preserve">        3.6.3.0.0.00.00 - Perdas Involuntárias </t>
  </si>
  <si>
    <t xml:space="preserve">          3.6.3.1.0.00.00 - Perdas Involuntárias com Imobilizado </t>
  </si>
  <si>
    <t xml:space="preserve">            3.6.3.1.1.00.00 - Perdas Involuntárias com Imobilizado - Consolidação </t>
  </si>
  <si>
    <t xml:space="preserve">          3.6.3.2.0.00.00 - Perdas Involuntárias com Intangíveis </t>
  </si>
  <si>
    <t xml:space="preserve">            3.6.3.2.1.00.00 - Perdas Involuntárias com Intangíveis - Consolidação </t>
  </si>
  <si>
    <t xml:space="preserve">          3.6.3.3.0.00.00 - Perdas Involuntárias com Estoques </t>
  </si>
  <si>
    <t xml:space="preserve">            3.6.3.3.1.00.00 - Perdas Involuntárias com Estoques - Consolidação </t>
  </si>
  <si>
    <t xml:space="preserve">          3.6.3.9.0.00.00 - Outras Perdas Involuntárias </t>
  </si>
  <si>
    <t xml:space="preserve">            3.6.3.9.1.00.00 - Outras Perdas Involuntárias - Consolidação </t>
  </si>
  <si>
    <t xml:space="preserve">        3.6.4.0.0.00.00 - Incorporação de Passivos </t>
  </si>
  <si>
    <t xml:space="preserve">          3.6.4.1.0.00.00 - Incorporação de Passivos </t>
  </si>
  <si>
    <t xml:space="preserve">            3.6.4.1.1.00.00 - Incorporação de Passivos - Consolidação </t>
  </si>
  <si>
    <t xml:space="preserve">            3.6.4.1.2.00.00 - Incorporação de Passivos - Intra OFSS </t>
  </si>
  <si>
    <t xml:space="preserve">            3.6.4.1.3.00.00 - Incorporação de Passivos - Inter OFSS - União </t>
  </si>
  <si>
    <t xml:space="preserve">            3.6.4.1.4.00.00 - Incorporação de Passivos - Inter OFSS - Estado </t>
  </si>
  <si>
    <t xml:space="preserve">            3.6.4.1.5.00.00 - Incorporação de Passivos - Inter OFSS - Município </t>
  </si>
  <si>
    <t xml:space="preserve">        3.6.5.0.0.00.00 - Desincorporação de Ativos </t>
  </si>
  <si>
    <t xml:space="preserve">          3.6.5.1.0.00.00 - Desincorporação de Ativos </t>
  </si>
  <si>
    <t xml:space="preserve">            3.6.5.1.1.00.00 - Desincorporação de Ativos - Consolidação </t>
  </si>
  <si>
    <t xml:space="preserve">            3.6.5.1.2.00.00 - Desincorporação de Ativos - Intra OFSS </t>
  </si>
  <si>
    <t xml:space="preserve">            3.6.5.1.3.00.00 - Desincorporação de Ativos - Inter OFSS - União </t>
  </si>
  <si>
    <t xml:space="preserve">            3.6.5.1.4.00.00 - Desincorporação de Ativos - Inter OFSS - Estado </t>
  </si>
  <si>
    <t xml:space="preserve">            3.6.5.1.5.00.00 - Desincorporação de Ativos - Inter OFSS - Município </t>
  </si>
  <si>
    <t xml:space="preserve">      3.7.0.0.0.00.00 - Tributárias </t>
  </si>
  <si>
    <t xml:space="preserve">        3.7.1.0.0.00.00 - Impostos, Taxas e Contribuições de Melhoria </t>
  </si>
  <si>
    <t xml:space="preserve">          3.7.1.1.0.00.00 - Impostos </t>
  </si>
  <si>
    <t xml:space="preserve">            3.7.1.1.1.00.00 - Impostos- Consolidação </t>
  </si>
  <si>
    <t xml:space="preserve">            3.7.1.1.2.00.00 - Impostos- Intra OFSS </t>
  </si>
  <si>
    <t xml:space="preserve">            3.7.1.1.3.00.00 - Impostos - Inter OFSS - União </t>
  </si>
  <si>
    <t xml:space="preserve">            3.7.1.1.4.00.00 - Impostos - Inter OFSS - Estado </t>
  </si>
  <si>
    <t xml:space="preserve">            3.7.1.1.5.00.00 - Impostos - Inter OFSS - Município </t>
  </si>
  <si>
    <t xml:space="preserve">          3.7.1.2.0.00.00 - Taxas </t>
  </si>
  <si>
    <t xml:space="preserve">            3.7.1.2.1.00.00 - Taxas - Consolidação </t>
  </si>
  <si>
    <t xml:space="preserve">            3.7.1.2.2.00.00 - Taxas - Intra OFSS </t>
  </si>
  <si>
    <t xml:space="preserve">            3.7.1.2.3.00.00 - Taxas - Inter OFSS - União </t>
  </si>
  <si>
    <t xml:space="preserve">            3.7.1.2.4.00.00 - Taxas - Inter OFSS - Estado </t>
  </si>
  <si>
    <t xml:space="preserve">            3.7.1.2.5.00.00 - Taxas - Inter OFSS - Município </t>
  </si>
  <si>
    <t xml:space="preserve">          3.7.1.3.0.00.00 - Contribuições de Melhoria </t>
  </si>
  <si>
    <t xml:space="preserve">            3.7.1.3.1.00.00 - Contribuições de Melhoria - Consolidação </t>
  </si>
  <si>
    <t xml:space="preserve">            3.7.1.3.2.00.00 - Contribuições de Melhoria - Intra OFSS </t>
  </si>
  <si>
    <t xml:space="preserve">            3.7.1.3.3.00.00 - Contribuições de Melhoria - Inter OFSS - União </t>
  </si>
  <si>
    <t xml:space="preserve">            3.7.1.3.4.00.00 - Contribuições de Melhoria - Inter OFSS - Estado </t>
  </si>
  <si>
    <t xml:space="preserve">            3.7.1.3.5.00.00 - Contribuições de Melhoria - Inter OFSS - Município </t>
  </si>
  <si>
    <t xml:space="preserve">        3.7.2.0.0.00.00 - Contribuições </t>
  </si>
  <si>
    <t xml:space="preserve">          3.7.2.1.0.00.00 - Contribuições Sociais </t>
  </si>
  <si>
    <t xml:space="preserve">            3.7.2.1.1.00.00 - Contribuições Sociais - Consolidação </t>
  </si>
  <si>
    <t xml:space="preserve">            3.7.2.1.2.00.00 - Contribuições Sociais - Intra OFSS </t>
  </si>
  <si>
    <t xml:space="preserve">            3.7.2.1.3.00.00 - Contribuições Sociais - Inter OFSS - União </t>
  </si>
  <si>
    <t xml:space="preserve">            3.7.2.1.4.00.00 - Contribuições Sociais - Inter OFSS - Estado </t>
  </si>
  <si>
    <t xml:space="preserve">            3.7.2.1.5.00.00 - Contribuições Sociais - Inter OFSS - Município </t>
  </si>
  <si>
    <t xml:space="preserve">          3.7.2.2.0.00.00 - Contribuições de Intervenção no Domínio Econômico </t>
  </si>
  <si>
    <t xml:space="preserve">            3.7.2.2.1.00.00 - Contribuições de Intervenção no Domínio Econômico - 
            Consolidação </t>
  </si>
  <si>
    <t xml:space="preserve">            3.7.2.2.2.00.00 - Contribuições de Intervenção no Domínio Econômico - 
            Intra OFSS </t>
  </si>
  <si>
    <t xml:space="preserve">            3.7.2.2.3.00.00 - Contribuições de Intervenção no Domínio Econômico - 
            Inter OFSS - União </t>
  </si>
  <si>
    <t xml:space="preserve">            3.7.2.2.4.00.00 - Contribuições de Intervenção no Domínio Econômico - 
            Inter OFSS - Estado </t>
  </si>
  <si>
    <t xml:space="preserve">            3.7.2.2.5.00.00 - Contribuições de Intervenção no Domínio Econômico - 
            Inter OFSS - Município </t>
  </si>
  <si>
    <t xml:space="preserve">          3.7.2.3.0.00.00 - Contribuição para o Custeio do Serviço de Iluminação 
          Pública - Cosip </t>
  </si>
  <si>
    <t xml:space="preserve">            3.7.2.3.1.00.00 - Contribuição para o Custeio do Serviço de Iluminação 
            Pública - Cosip - Consolidação </t>
  </si>
  <si>
    <t xml:space="preserve">            3.7.2.3.2.00.00 - Contribuição para o Custeio do Serviço de Iluminação 
            Pública - Cosip - Intra OFSS </t>
  </si>
  <si>
    <t xml:space="preserve">            3.7.2.3.3.00.00 - Contribuição para o Custeio do Serviço de Iluminação 
            Pública - Cosip - Inter OFSS - União </t>
  </si>
  <si>
    <t xml:space="preserve">            3.7.2.3.4.00.00 - Contribuição para o Custeio do Serviço de Iluminação 
            Pública - Cosip - Inter OFSS - Estado </t>
  </si>
  <si>
    <t xml:space="preserve">            3.7.2.3.5.00.00 - Contribuição para o Custeio do Serviço de Iluminação 
            Pública - Cosip - Inter OFSS - Município </t>
  </si>
  <si>
    <t xml:space="preserve">          3.7.2.9.0.00.00 - Outras Contribuições </t>
  </si>
  <si>
    <t xml:space="preserve">            3.7.2.9.1.00.00 - Outras Contribuições - Consolidação </t>
  </si>
  <si>
    <t xml:space="preserve">            3.7.2.9.2.00.00 - Outras Contribuições - Intra OFSS </t>
  </si>
  <si>
    <t xml:space="preserve">            3.7.2.9.3.00.00 - Outras Contribuições - Inter OFSS - União </t>
  </si>
  <si>
    <t xml:space="preserve">            3.7.2.9.4.00.00 - Outras Contribuições - Inter OFSS - Estado </t>
  </si>
  <si>
    <t xml:space="preserve">            3.7.2.9.5.00.00 - Outras Contribuições - Inter OFSS - Município </t>
  </si>
  <si>
    <t xml:space="preserve">      3.8.0.0.0.00.00 - Custo das Mercadorias Vendidas, dos Produtos Vendidos e 
      dos Serviços Prestados </t>
  </si>
  <si>
    <t xml:space="preserve">        3.8.1.0.0.00.00 - Custo das Mercadorias Vendidas - CMV </t>
  </si>
  <si>
    <t xml:space="preserve">          3.8.1.1.0.00.00 - Custo das Mercadorias Vendidas - CMV </t>
  </si>
  <si>
    <t xml:space="preserve">            3.8.1.1.1.00.00 - CMV - Consolidação </t>
  </si>
  <si>
    <t xml:space="preserve">            3.8.1.1.2.00.00 - CMV - Intra OFSS </t>
  </si>
  <si>
    <t xml:space="preserve">            3.8.1.1.3.00.00 - CMV - Inter OFSS - União </t>
  </si>
  <si>
    <t xml:space="preserve">            3.8.1.1.4.00.00 - CMV - Inter OFSS - Estado </t>
  </si>
  <si>
    <t xml:space="preserve">            3.8.1.1.5.00.00 - CMV - Inter OFSS - Município </t>
  </si>
  <si>
    <t xml:space="preserve">        3.8.2.0.0.00.00 - Custo dos Produtos Vendidos - CPV </t>
  </si>
  <si>
    <t xml:space="preserve">          3.8.2.1.0.00.00 - Custo dos Produtos Vendidos - CPV </t>
  </si>
  <si>
    <t xml:space="preserve">            3.8.2.1.1.00.00 - CPV - Consolidação </t>
  </si>
  <si>
    <t xml:space="preserve">            3.8.2.1.2.00.00 - CPV - Intra OFSS </t>
  </si>
  <si>
    <t xml:space="preserve">            3.8.2.1.3.00.00 - CPV - Inter OFSS - União </t>
  </si>
  <si>
    <t xml:space="preserve">            3.8.2.1.4.00.00 - CPV - Inter OFSS - Estado </t>
  </si>
  <si>
    <t xml:space="preserve">            3.8.2.1.5.00.00 - CPV - Inter OFSS - Município </t>
  </si>
  <si>
    <t xml:space="preserve">        3.8.3.0.0.00.00 - Custo dos Serviços Prestados - CSP </t>
  </si>
  <si>
    <t xml:space="preserve">          3.8.3.1.0.00.00 - Custo dos Serviços Prestados - CSP </t>
  </si>
  <si>
    <t xml:space="preserve">            3.8.3.1.1.00.00 - CSP - Consolidação </t>
  </si>
  <si>
    <t xml:space="preserve">            3.8.3.1.2.00.00 - CSP - Intra OFSS </t>
  </si>
  <si>
    <t xml:space="preserve">            3.8.3.1.3.00.00 - CSP - Inter OFSS - União </t>
  </si>
  <si>
    <t xml:space="preserve">            3.8.3.1.4.00.00 - CSP - Inter OFSS - Estado </t>
  </si>
  <si>
    <t xml:space="preserve">            3.8.3.1.5.00.00 - CSP - Inter OFSS - Município </t>
  </si>
  <si>
    <t xml:space="preserve">      3.9.0.0.0.00.00 - Outras Variações Patrimoniais Diminutivas </t>
  </si>
  <si>
    <t xml:space="preserve">        3.9.1.0.0.00.00 - Premiações </t>
  </si>
  <si>
    <t xml:space="preserve">          3.9.1.1.0.00.00 - Premiações Culturais </t>
  </si>
  <si>
    <t xml:space="preserve">            3.9.1.1.1.00.00 - Premiações Culturais - Consolidação </t>
  </si>
  <si>
    <t xml:space="preserve">            3.9.1.1.2.00.00 - Premiações Culturais - Intra OFSS </t>
  </si>
  <si>
    <t xml:space="preserve">            3.9.1.1.3.00.00 - Premiações Culturais - Inter OFSS - União </t>
  </si>
  <si>
    <t xml:space="preserve">            3.9.1.1.4.00.00 - Premiações Culturais - Inter OFSS - Estado </t>
  </si>
  <si>
    <t xml:space="preserve">            3.9.1.1.5.00.00 - Premiações Culturais - Inter OFSS - Município </t>
  </si>
  <si>
    <t xml:space="preserve">          3.9.1.2.0.00.00 - Premiações Artísticas </t>
  </si>
  <si>
    <t xml:space="preserve">            3.9.1.2.1.00.00 - Premiações Artísticas - Consolidação </t>
  </si>
  <si>
    <t xml:space="preserve">            3.9.1.2.2.00.00 - Premiações Artísticas - Intra OFSS </t>
  </si>
  <si>
    <t xml:space="preserve">            3.9.1.2.3.00.00 - Premiações Artísticas - Inter OFSS - União </t>
  </si>
  <si>
    <t xml:space="preserve">            3.9.1.2.4.00.00 - Premiações Artísticas - Inter OFSS - Estado </t>
  </si>
  <si>
    <t xml:space="preserve">            3.9.1.2.5.00.00 - Premiações Artísticas - Inter OFSS - Município </t>
  </si>
  <si>
    <t xml:space="preserve">          3.9.1.3.0.00.00 - Premiações Cientificas </t>
  </si>
  <si>
    <t xml:space="preserve">            3.9.1.3.1.00.00 - Premiações Cientificas - Consolidação </t>
  </si>
  <si>
    <t xml:space="preserve">            3.9.1.3.2.00.00 - Premiações Cientificas - Intra OFSS </t>
  </si>
  <si>
    <t xml:space="preserve">            3.9.1.3.3.00.00 - Premiações Cientificas - Inter OFSS - União </t>
  </si>
  <si>
    <t xml:space="preserve">            3.9.1.3.4.00.00 - Premiações Cientificas - Inter OFSS - Estado </t>
  </si>
  <si>
    <t xml:space="preserve">            3.9.1.3.5.00.00 - Premiações Cientificas - Inter OFSS - Município </t>
  </si>
  <si>
    <t xml:space="preserve">          3.9.1.4.0.00.00 - Premiações Desportivas </t>
  </si>
  <si>
    <t xml:space="preserve">            3.9.1.4.1.00.00 - Premiações Desportivas - Consolidação </t>
  </si>
  <si>
    <t xml:space="preserve">            3.9.1.4.2.00.00 - Premiações Desportivas - Intra OFSS </t>
  </si>
  <si>
    <t xml:space="preserve">            3.9.1.4.3.00.00 - Premiações Desportivas - Inter OFSS - União </t>
  </si>
  <si>
    <t xml:space="preserve">            3.9.1.4.4.00.00 - Premiações Desportivas - Inter OFSS - Estado </t>
  </si>
  <si>
    <t xml:space="preserve">            3.9.1.4.5.00.00 - Premiações Desportivas - Inter OFSS - Município </t>
  </si>
  <si>
    <t xml:space="preserve">          3.9.1.5.0.00.00 - Ordens Honorificas </t>
  </si>
  <si>
    <t xml:space="preserve">            3.9.1.5.1.00.00 - Ordens Honorificas - Consolidação </t>
  </si>
  <si>
    <t xml:space="preserve">            3.9.1.5.2.00.00 - Ordens Honorificas - Intra OFSS </t>
  </si>
  <si>
    <t xml:space="preserve">            3.9.1.5.3.00.00 - Ordens Honorificas - Inter OFSS - União </t>
  </si>
  <si>
    <t xml:space="preserve">            3.9.1.5.4.00.00 - Ordens Honorificas - Inter OFSS - Estado </t>
  </si>
  <si>
    <t xml:space="preserve">            3.9.1.5.5.00.00 - Ordens Honorificas - Inter OFSS - Município </t>
  </si>
  <si>
    <t xml:space="preserve">          3.9.1.9.0.00.00 - Outras Premiações </t>
  </si>
  <si>
    <t xml:space="preserve">            3.9.1.9.1.00.00 - Outras Premiações - Consolidação </t>
  </si>
  <si>
    <t xml:space="preserve">            3.9.1.9.2.00.00 - Outras Premiações - Intra OFSS </t>
  </si>
  <si>
    <t xml:space="preserve">            3.9.1.9.3.00.00 - Outras Premiações - Inter OFSS - União </t>
  </si>
  <si>
    <t xml:space="preserve">            3.9.1.9.4.00.00 - Outras Premiações - Inter OFSS - Estado </t>
  </si>
  <si>
    <t xml:space="preserve">            3.9.1.9.5.00.00 - Outras Premiações - Inter OFSS - Município </t>
  </si>
  <si>
    <t xml:space="preserve">        3.9.2.0.0.00.00 - Resultado Negativo de Participações </t>
  </si>
  <si>
    <t xml:space="preserve">          3.9.2.1.0.00.00 - Resultado Negativo de Equivalência Patrimonial </t>
  </si>
  <si>
    <t xml:space="preserve">            3.9.2.1.1.00.00 - Resultado Negativo de Equivalência Patrimonial - 
            Consolidação </t>
  </si>
  <si>
    <t xml:space="preserve">            3.9.2.1.2.00.00 - Resultado Negativo de Equivalência Patrimonial - 
            Intra OFSS </t>
  </si>
  <si>
    <t xml:space="preserve">            3.9.2.1.3.00.00 - Resultado Negativo de Equivalência Patrimonial - 
            Inter OFSS - União </t>
  </si>
  <si>
    <t xml:space="preserve">            3.9.2.1.4.00.00 - Resultado Negativo de Equivalência Patrimonial - 
            Inter OFSS - Estado </t>
  </si>
  <si>
    <t xml:space="preserve">            3.9.2.1.5.00.00 - Resultado Negativo de Equivalência Patrimonial - 
            Inter OFSS - Município </t>
  </si>
  <si>
    <t xml:space="preserve">        3.9.3.0.0.00.00 - Operações da Autoridade Monetária </t>
  </si>
  <si>
    <t xml:space="preserve">          3.9.3.1.0.00.00 - Juros </t>
  </si>
  <si>
    <t xml:space="preserve">            3.9.3.1.1.00.00 - Juros - Consolidação </t>
  </si>
  <si>
    <t xml:space="preserve">          3.9.3.2.0.00.00 - Posição de Negociação </t>
  </si>
  <si>
    <t xml:space="preserve">            3.9.3.2.1.00.00 - Posição de Negociação - Consolidação </t>
  </si>
  <si>
    <t xml:space="preserve">          3.9.3.3.0.00.00 - Posição de Investimentos </t>
  </si>
  <si>
    <t xml:space="preserve">            3.9.3.3.1.00.00 - Posição de Investimentos - Consolidação </t>
  </si>
  <si>
    <t xml:space="preserve">          3.9.3.4.0.00.00 - Correção Cambial </t>
  </si>
  <si>
    <t xml:space="preserve">            3.9.3.4.1.00.00 - Correção Cambial - Consolidação </t>
  </si>
  <si>
    <t xml:space="preserve">          3.9.3.9.0.00.00 - Outras VPD de Operações da Autoridade Monetária </t>
  </si>
  <si>
    <t xml:space="preserve">            3.9.3.9.1.00.00 - Outras VPD de Operações da Autoridade Monetária - 
            Consolidação </t>
  </si>
  <si>
    <t xml:space="preserve">        3.9.4.0.0.00.00 - Incentivos </t>
  </si>
  <si>
    <t xml:space="preserve">          3.9.4.1.0.00.00 - Incentivos a Educação </t>
  </si>
  <si>
    <t xml:space="preserve">            3.9.4.1.1.00.00 - Incentivos a Educação - Consolidação </t>
  </si>
  <si>
    <t xml:space="preserve">          3.9.4.2.0.00.00 - Incentivos a Ciência </t>
  </si>
  <si>
    <t xml:space="preserve">            3.9.4.2.1.00.00 - Incentivos a Ciência - Consolidação </t>
  </si>
  <si>
    <t xml:space="preserve">          3.9.4.3.0.00.00 - Incentivos a Cultura </t>
  </si>
  <si>
    <t xml:space="preserve">            3.9.4.3.1.00.00 - Incentivos a Cultura - Consolidação </t>
  </si>
  <si>
    <t xml:space="preserve">            3.9.4.3.2.00.00 - Incentivos a Cultura - Intra OFSS </t>
  </si>
  <si>
    <t xml:space="preserve">            3.9.4.3.3.00.00 - Incentivos a Cultura - Inter OFSS - União </t>
  </si>
  <si>
    <t xml:space="preserve">            3.9.4.3.4.00.00 - Incentivos a Cultura - Inter OFSS - Estado </t>
  </si>
  <si>
    <t xml:space="preserve">            3.9.4.3.5.00.00 - Incentivos a Cultura - Inter OFSS - Município </t>
  </si>
  <si>
    <t xml:space="preserve">          3.9.4.4.0.00.00 - Incentivos ao Esporte </t>
  </si>
  <si>
    <t xml:space="preserve">            3.9.4.4.1.00.00 - Incentivos ao Esporte - Consolidação </t>
  </si>
  <si>
    <t xml:space="preserve">            3.9.4.4.2.00.00 - Incentivos ao Esporte - Intra OFSS </t>
  </si>
  <si>
    <t xml:space="preserve">            3.9.4.4.3.00.00 - Incentivos ao Esporte - Inter OFSS - União </t>
  </si>
  <si>
    <t xml:space="preserve">            3.9.4.4.4.00.00 - Incentivos ao Esporte - Inter OFSS - Estado </t>
  </si>
  <si>
    <t xml:space="preserve">            3.9.4.4.5.00.00 - Incentivos ao Esporte - Inter OFSS - Município </t>
  </si>
  <si>
    <t xml:space="preserve">          3.9.4.9.0.00.00 - Outros Incentivos </t>
  </si>
  <si>
    <t xml:space="preserve">            3.9.4.9.1.00.00 - Outros Incentivos - Consolidação </t>
  </si>
  <si>
    <t xml:space="preserve">            3.9.4.9.2.00.00 - Outros Incentivos - Intra OFSS </t>
  </si>
  <si>
    <t xml:space="preserve">            3.9.4.9.3.00.00 - Outros Incentivos - Inter OFSS - União </t>
  </si>
  <si>
    <t xml:space="preserve">            3.9.4.9.4.00.00 - Outros Incentivos - Inter OFSS - Estado </t>
  </si>
  <si>
    <t xml:space="preserve">            3.9.4.9.5.00.00 - Outros Incentivos - Inter OFSS - Município </t>
  </si>
  <si>
    <t xml:space="preserve">        3.9.5.0.0.00.00 - Subvenções Econômicas </t>
  </si>
  <si>
    <t xml:space="preserve">          3.9.5.1.0.00.00 - Subvenções Econômicas </t>
  </si>
  <si>
    <t xml:space="preserve">            3.9.5.1.1.00.00 - Subvenções Econômicas - Consolidação </t>
  </si>
  <si>
    <t xml:space="preserve">            3.9.5.1.2.00.00 - Subvenções Econômicas - Intra OFSS </t>
  </si>
  <si>
    <t xml:space="preserve">            3.9.5.1.3.00.00 - Subvenções Econômicas - Inter OFSS - União </t>
  </si>
  <si>
    <t xml:space="preserve">            3.9.5.1.4.00.00 - Subvenções Econômicas - Inter OFSS - Estado </t>
  </si>
  <si>
    <t xml:space="preserve">            3.9.5.1.5.00.00 - Subvenções Econômicas - Inter OFSS - Município </t>
  </si>
  <si>
    <t xml:space="preserve">        3.9.6.0.0.00.00 - Participações e Contribuições </t>
  </si>
  <si>
    <t xml:space="preserve">          3.9.6.1.0.00.00 - Participações de Debêntures </t>
  </si>
  <si>
    <t xml:space="preserve">            3.9.6.1.1.00.00 - Participações de Debêntures - Consolidação </t>
  </si>
  <si>
    <t xml:space="preserve">            3.9.6.1.2.00.00 - Participações de Debêntures - Intra OFSS </t>
  </si>
  <si>
    <t xml:space="preserve">            3.9.6.1.3.00.00 - Participações de Debêntures - Inter OFSS - União </t>
  </si>
  <si>
    <t xml:space="preserve">            3.9.6.1.4.00.00 - Participações de Debêntures - Inter OFSS - Estado </t>
  </si>
  <si>
    <t xml:space="preserve">            3.9.6.1.5.00.00 - Participações de Debêntures - Inter OFSS - Município </t>
  </si>
  <si>
    <t xml:space="preserve">          3.9.6.2.0.00.00 - Participações de Empregados </t>
  </si>
  <si>
    <t xml:space="preserve">            3.9.6.2.1.00.00 - Participações de Empregados - Consolidação </t>
  </si>
  <si>
    <t xml:space="preserve">          3.9.6.3.0.00.00 - Participações de Administradores </t>
  </si>
  <si>
    <t xml:space="preserve">            3.9.6.3.1.00.00 - Participações de Administradores - Consolidação </t>
  </si>
  <si>
    <t xml:space="preserve">          3.9.6.4.0.00.00 - Participações de Partes Beneficiarias </t>
  </si>
  <si>
    <t xml:space="preserve">            3.9.6.4.1.00.00 - Participações de Partes Beneficiarias - Consolidação </t>
  </si>
  <si>
    <t xml:space="preserve">            3.9.6.4.2.00.00 - Participações de Partes Beneficiarias - Intra OFSS </t>
  </si>
  <si>
    <t xml:space="preserve">            3.9.6.4.3.00.00 - Participações de Partes Beneficiarias - Inter OFSS - 
            União </t>
  </si>
  <si>
    <t xml:space="preserve">            3.9.6.4.4.00.00 - Participações de Partes Beneficiarias - Inter OFSS - 
            Estado </t>
  </si>
  <si>
    <t xml:space="preserve">            3.9.6.4.5.00.00 - Participações de Partes Beneficiarias - Inter OFSS - 
            Município </t>
  </si>
  <si>
    <t xml:space="preserve">          3.9.6.5.0.00.00 - Participações de Instituições ou Fundos de 
          Assistência ou Previdência de Empregados </t>
  </si>
  <si>
    <t xml:space="preserve">            3.9.6.5.1.00.00 - Participações de Instituições ou Fundos de 
            Assistência ou Previdência de Empregados - Consolidação </t>
  </si>
  <si>
    <t xml:space="preserve">            3.9.6.5.2.00.00 - Participações de Instituições ou Fundos de 
            Assistência ou Previdência de Empregados - Intra OFSS </t>
  </si>
  <si>
    <t xml:space="preserve">            3.9.6.5.3.00.00 - Participações de Instituições ou Fundos de 
            Assistência ou Previdência de Empregados - Inter OFSS - União </t>
  </si>
  <si>
    <t xml:space="preserve">            3.9.6.5.4.00.00 - Participações de Instituições ou Fundos de 
            Assistência ou Previdência de Empregados - Inter OFSS - Estado </t>
  </si>
  <si>
    <t xml:space="preserve">            3.9.6.5.5.00.00 - Participações de Instituições ou Fundos de 
            Assistência ou Previdência de Empregados - Inter OFSS - Município </t>
  </si>
  <si>
    <t xml:space="preserve">        3.9.7.0.0.00.00 - VPD de Constituição de Provisões </t>
  </si>
  <si>
    <t xml:space="preserve">          3.9.7.1.0.00.00 - VPD de Provisão para Riscos Trabalhistas </t>
  </si>
  <si>
    <t xml:space="preserve">            3.9.7.1.1.00.00 - VPD de Provisão para Riscos Trabalhistas - 
            Consolidação </t>
  </si>
  <si>
    <t xml:space="preserve">            3.9.7.1.2.00.00 - VPD de Provisão para Riscos Trabalhistas - Intra 
            OFSS </t>
  </si>
  <si>
    <t xml:space="preserve">            3.9.7.1.3.00.00 - VPD de Provisão para Riscos Trabalhistas - Inter 
            OFSS - União </t>
  </si>
  <si>
    <t xml:space="preserve">            3.9.7.1.4.00.00 - VPD de Provisão para Riscos Trabalhistas - Inter 
            OFSS - Estado </t>
  </si>
  <si>
    <t xml:space="preserve">            3.9.7.1.5.00.00 - VPD de Provisão para Riscos Trabalhistas - Inter 
            OFSS - Município </t>
  </si>
  <si>
    <t xml:space="preserve">          3.9.7.2.0.00.00 - VPD de Provisões Matemáticas Previdenciárias a Longo 
          Prazo </t>
  </si>
  <si>
    <t xml:space="preserve">            3.9.7.2.1.00.00 - VPD de Provisões Matemáticas Previdenciárias a Longo 
            Prazo - Consolidação </t>
  </si>
  <si>
    <t xml:space="preserve">            3.9.7.2.2.00.00 - VPD de Provisões Matemáticas Previdenciárias a Longo 
            Prazo - Intra OFSS </t>
  </si>
  <si>
    <t xml:space="preserve">            3.9.7.2.3.00.00 - VPD de Provisões Matemáticas Previdenciárias a Longo 
            Prazo - Inter OFSS - União </t>
  </si>
  <si>
    <t xml:space="preserve">            3.9.7.2.4.00.00 - VPD de Provisões Matemáticas Previdenciárias a Longo 
            Prazo - Inter OFSS - Estado </t>
  </si>
  <si>
    <t xml:space="preserve">            3.9.7.2.5.00.00 - VPD de Provisões Matemáticas Previdenciárias a Longo 
            Prazo - Inter OFSS - Município </t>
  </si>
  <si>
    <t xml:space="preserve">          3.9.7.3.0.00.00 - VPD de Provisões para Riscos Fiscais </t>
  </si>
  <si>
    <t xml:space="preserve">            3.9.7.3.1.00.00 - VPD de Provisões para Riscos Fiscais – Consolidação </t>
  </si>
  <si>
    <t xml:space="preserve">            3.9.7.3.2.00.00 - VPD de Provisões para Riscos Fiscais – Intra OFSS </t>
  </si>
  <si>
    <t xml:space="preserve">            3.9.7.3.3.00.00 - VPD de Provisões para Riscos Fiscais – Inter OFSS - 
            União </t>
  </si>
  <si>
    <t xml:space="preserve">            3.9.7.3.4.00.00 - VPD de Provisões para Riscos Fiscais – Inter OFSS - 
            Estado </t>
  </si>
  <si>
    <t xml:space="preserve">            3.9.7.3.5.00.00 - VPD de Provisões para Riscos Fiscais – Inter OFSS - 
            Município </t>
  </si>
  <si>
    <t xml:space="preserve">          3.9.7.4.0.00.00 - VPD de Provisão para Riscos Cíveis </t>
  </si>
  <si>
    <t xml:space="preserve">            3.9.7.4.1.00.00 - VPD de Provisão para Riscos Cíveis – Consolidação </t>
  </si>
  <si>
    <t xml:space="preserve">            3.9.7.4.2.00.00 - VPD de Provisão para Riscos Cíveis – Intra OFSS </t>
  </si>
  <si>
    <t xml:space="preserve">            3.9.7.4.3.00.00 - VPD de Provisão para Riscos Cíveis – Inter OFSS - 
            União </t>
  </si>
  <si>
    <t xml:space="preserve">            3.9.7.4.4.00.00 - VPD de Provisão para Riscos Cíveis – Inter OFSS - 
            Estado </t>
  </si>
  <si>
    <t xml:space="preserve">            3.9.7.4.5.00.00 - VPD de Provisão para Riscos Cíveis – Inter OFSS - 
            Município </t>
  </si>
  <si>
    <t xml:space="preserve">          3.9.7.5.0.00.00 - VPD de Provisão para Repartição de Créditos </t>
  </si>
  <si>
    <t xml:space="preserve">            3.9.7.5.3.00.00 - VPD de Provisão para Repartição de Créditos - Inter 
            OFSS - União </t>
  </si>
  <si>
    <t xml:space="preserve">            3.9.7.5.4.00.00 - VPD de Provisão para Repartição de Créditos - Inter 
            OFSS - Estados </t>
  </si>
  <si>
    <t xml:space="preserve">            3.9.7.5.5.00.00 - VPD de Provisão para Repartição de Créditos - Inter 
            OFSS - Município </t>
  </si>
  <si>
    <t xml:space="preserve">          3.9.7.6.0.00.00 - VPD de Provisão para Riscos Decorrentes de Contratos 
          de PPP </t>
  </si>
  <si>
    <t xml:space="preserve">            3.9.7.6.1.00.00 - VPD de Provisão para Riscos Decorrentes de Contratos 
            de PPP - Consolidação </t>
  </si>
  <si>
    <t xml:space="preserve">          3.9.7.7.0.00.00 - VPD de Provisão para Obrigações Decorrentes da 
          Atuação Governamental </t>
  </si>
  <si>
    <t xml:space="preserve">            3.9.7.7.1.00.00 - VPD de Provisão para Obrigações Decorrentes da 
            Atuação Governamental - Consolidação </t>
  </si>
  <si>
    <t xml:space="preserve">            3.9.7.7.2.00.00 - VPD de Provisão para Obrigações Decorrentes da 
            Atuação Governamental - Intra OFSS </t>
  </si>
  <si>
    <t xml:space="preserve">            3.9.7.7.3.00.00 - VPD de Provisão para Obrigações Decorrentes da 
            Atuação Governamental - Inter OFSS - União </t>
  </si>
  <si>
    <t xml:space="preserve">            3.9.7.7.4.00.00 - VPD de Provisão para Obrigações Decorrentes da 
            Atuação Governamental - Inter OFSS - Estado </t>
  </si>
  <si>
    <t xml:space="preserve">            3.9.7.7.5.00.00 - VPD de Provisão para Obrigações Decorrentes da 
            Atuação Governamental - Inter OFSS - Município </t>
  </si>
  <si>
    <t xml:space="preserve">          3.9.7.9.0.00.00 - VPD de Outras Provisões </t>
  </si>
  <si>
    <t xml:space="preserve">            3.9.7.9.1.00.00 - VPD de Outras Provisões - Consolidação </t>
  </si>
  <si>
    <t xml:space="preserve">            3.9.7.9.2.00.00 - VPD de Outras Provisões - Intra OFSS </t>
  </si>
  <si>
    <t xml:space="preserve">            3.9.7.9.3.00.00 - VPD de Outras Provisões - Inter OFSS - União </t>
  </si>
  <si>
    <t xml:space="preserve">            3.9.7.9.4.00.00 - VPD de Outras Provisões - Inter OFSS - Estado </t>
  </si>
  <si>
    <t xml:space="preserve">            3.9.7.9.5.00.00 - VPD de Outras Provisões - Inter OFSS - Município </t>
  </si>
  <si>
    <t xml:space="preserve">        3.9.9.0.0.00.00 - Diversas Variações Patrimoniais Diminutivas </t>
  </si>
  <si>
    <t xml:space="preserve">          3.9.9.1.0.00.00 - Compensação Financeira entre RGPS e RPPS/SPSM </t>
  </si>
  <si>
    <t xml:space="preserve">            3.9.9.1.2.00.00 - Compensação Financeira entre RGPS e RPPS/SPSM - 
            Intra OFSS </t>
  </si>
  <si>
    <t xml:space="preserve">            3.9.9.1.3.00.00 - Compensação Financeira entre RGPS e RPPS/SPSM - 
            Inter OFSS - União </t>
  </si>
  <si>
    <t xml:space="preserve">            3.9.9.1.4.00.00 - Compensação Financeira entre RGPS e RPPS/SPSM - 
            Inter OFSS - Estado </t>
  </si>
  <si>
    <t xml:space="preserve">            3.9.9.1.5.00.00 - Compensação Financeira entre RGPS e RPPS/SPSM - 
            Inter OFSS - Município </t>
  </si>
  <si>
    <t xml:space="preserve">          3.9.9.2.0.00.00 - Compensação Financeira entre Regimes Próprios </t>
  </si>
  <si>
    <t xml:space="preserve">            3.9.9.2.3.00.00 - Compensação Financeira entre Regimes Próprios - 
            Inter OFSS - União </t>
  </si>
  <si>
    <t xml:space="preserve">            3.9.9.2.4.00.00 - Compensação Financeira entre Regimes Próprios - 
            Inter OFSS - Estado </t>
  </si>
  <si>
    <t xml:space="preserve">            3.9.9.2.5.00.00 - Compensação Financeira entre Regimes Próprios - 
            Inter OFSS - Município </t>
  </si>
  <si>
    <t xml:space="preserve">          3.9.9.3.0.00.00 - Variação Patrimonial Diminutiva com Bonificações </t>
  </si>
  <si>
    <t xml:space="preserve">            3.9.9.3.1.00.00 - Variação Patrimonial Diminutiva com Bonificações - 
            Consolidação </t>
  </si>
  <si>
    <t xml:space="preserve">            3.9.9.3.2.00.00 - Variação Patrimonial Diminutiva com Bonificações - 
            Intra OFSS </t>
  </si>
  <si>
    <t xml:space="preserve">            3.9.9.3.3.00.00 - Variação Patrimonial Diminutiva com Bonificações - 
            Inter OFSS - União </t>
  </si>
  <si>
    <t xml:space="preserve">            3.9.9.3.4.00.00 - Variação Patrimonial Diminutiva com Bonificações - 
            Inter OFSS - Estado </t>
  </si>
  <si>
    <t xml:space="preserve">            3.9.9.3.5.00.00 - Variação Patrimonial Diminutiva com Bonificações - 
            Inter OFSS - Município </t>
  </si>
  <si>
    <t xml:space="preserve">          3.9.9.4.0.00.00 - Amortização de Ágio em Investimentos </t>
  </si>
  <si>
    <t xml:space="preserve">            3.9.9.4.1.00.00 - Amortização de Ágio em Investimentos - Consolidação </t>
  </si>
  <si>
    <t xml:space="preserve">            3.9.9.4.2.00.00 - Amortização de Ágio em Investimentos - Intra OFSS </t>
  </si>
  <si>
    <t xml:space="preserve">            3.9.9.4.3.00.00 - Amortização de Ágio em Investimentos - Inter OFSS - 
            União </t>
  </si>
  <si>
    <t xml:space="preserve">            3.9.9.4.4.00.00 - Amortização de Ágio em Investimentos - Inter OFSS - 
            Estado </t>
  </si>
  <si>
    <t xml:space="preserve">            3.9.9.4.5.00.00 - Amortização de Ágio em Investimentos - Inter OFSS - 
            Município </t>
  </si>
  <si>
    <t xml:space="preserve">          3.9.9.5.0.00.00 - Multas Administrativas </t>
  </si>
  <si>
    <t xml:space="preserve">            3.9.9.5.1.00.00 - Multas Administrativas - Consolidação </t>
  </si>
  <si>
    <t xml:space="preserve">            3.9.9.5.2.00.00 - Multas Administrativas - Intra OFSS </t>
  </si>
  <si>
    <t xml:space="preserve">            3.9.9.5.3.00.00 - Multas Administrativas - Inter OFSS - União </t>
  </si>
  <si>
    <t xml:space="preserve">            3.9.9.5.4.00.00 - Multas Administrativas - Inter OFSS - Estado </t>
  </si>
  <si>
    <t xml:space="preserve">            3.9.9.5.5.00.00 - Multas Administrativas - Inter OFSS - Município </t>
  </si>
  <si>
    <t xml:space="preserve">          3.9.9.6.0.00.00 - Indenizações, Restituições e Ressarcimentos </t>
  </si>
  <si>
    <t xml:space="preserve">            3.9.9.6.1.00.00 - Indenizações, Restituições e Ressarcimentos - 
            Consolidação </t>
  </si>
  <si>
    <t xml:space="preserve">            3.9.9.6.2.00.00 - Indenizações, Restituições e Ressarcimentos - Intra 
            OFSS </t>
  </si>
  <si>
    <t xml:space="preserve">            3.9.9.6.3.00.00 - Indenizações, Restituições e Ressarcimentos - Inter 
            OFSS - União </t>
  </si>
  <si>
    <t xml:space="preserve">            3.9.9.6.4.00.00 - Indenizações, Restituições e Ressarcimentos - Inter 
            OFSS - Estado </t>
  </si>
  <si>
    <t xml:space="preserve">            3.9.9.6.5.00.00 - Indenizações, Restituições e Ressarcimentos - Inter 
            OFSS - Município </t>
  </si>
  <si>
    <t xml:space="preserve">          3.9.9.7.0.00.00 - Compensações ao RGPS </t>
  </si>
  <si>
    <t xml:space="preserve">            3.9.9.7.1.00.00 - Compensações ao RGPS - Consolidação </t>
  </si>
  <si>
    <t xml:space="preserve">            3.9.9.7.2.00.00 - Compensações ao RGPS - Intra OFSS </t>
  </si>
  <si>
    <t xml:space="preserve">            3.9.9.7.3.00.00 - Compensações ao RGPS - Inter OFSS - União </t>
  </si>
  <si>
    <t xml:space="preserve">          3.9.9.9.0.00.00 - Variações Patrimoniais Diminutivas Decorrentes de 
          Fatos Geradores Diversos </t>
  </si>
  <si>
    <t xml:space="preserve">            3.9.9.9.1.00.00 - Variações Patrimoniais Diminutivas Decorrentes de 
            Fatos Geradores Diversos - Consolidação </t>
  </si>
  <si>
    <t xml:space="preserve">            3.9.9.9.2.00.00 - Variações Patrimoniais Diminutivas Decorrentes de 
            Fatos Geradores Diversos - Intra OFSS </t>
  </si>
  <si>
    <t xml:space="preserve">            3.9.9.9.3.00.00 - Variações Patrimoniais Diminutivas Decorrentes de 
            Fatos Geradores Diversos - Inter OFSS - União </t>
  </si>
  <si>
    <t xml:space="preserve">            3.9.9.9.4.00.00 - Variações Patrimoniais Diminutivas Decorrentes de 
            Fatos Geradores Diversos - Inter OFSS - Estado </t>
  </si>
  <si>
    <t xml:space="preserve">            3.9.9.9.5.00.00 - Variações Patrimoniais Diminutivas Decorrentes de 
            Fatos Geradores Diversos - Inter OFSS - Município </t>
  </si>
  <si>
    <t xml:space="preserve">Variação Patrimonial Aumentativa </t>
  </si>
  <si>
    <t xml:space="preserve">  Variação Patrimonial Aumentativa </t>
  </si>
  <si>
    <t xml:space="preserve">    4.0.0.0.0.00.00 - Variação Patrimonial Aumentativa </t>
  </si>
  <si>
    <t xml:space="preserve">      4.1.0.0.0.00.00 - Impostos, Taxas e Contribuições de Melhoria </t>
  </si>
  <si>
    <t xml:space="preserve">        4.1.1.0.0.00.00 - Impostos </t>
  </si>
  <si>
    <t xml:space="preserve">          4.1.1.1.0.00.00 - Impostos sobre Comercio Exterior </t>
  </si>
  <si>
    <t xml:space="preserve">            4.1.1.1.1.00.00 - Impostos sobre Comercio Exterior - Consolidação </t>
  </si>
  <si>
    <t xml:space="preserve">            4.1.1.1.2.00.00 - Impostos sobre Comercio Exterior - Intra OFSS </t>
  </si>
  <si>
    <t xml:space="preserve">            4.1.1.1.3.00.00 - Impostos sobre Comercio Exterior - Inter OFSS - 
            União </t>
  </si>
  <si>
    <t xml:space="preserve">            4.1.1.1.4.00.00 - Impostos sobre Comercio Exterior - Inter OFSS - 
            Estado </t>
  </si>
  <si>
    <t xml:space="preserve">            4.1.1.1.5.00.00 - Impostos sobre Comercio Exterior - Inter OFSS - 
            Município </t>
  </si>
  <si>
    <t xml:space="preserve">          4.1.1.2.0.00.00 - Impostos sobre Patrimônio e a Renda </t>
  </si>
  <si>
    <t xml:space="preserve">            4.1.1.2.1.00.00 - Impostos sobre Patrimônio e a Renda - Consolidação </t>
  </si>
  <si>
    <t xml:space="preserve">            4.1.1.2.2.00.00 - Impostos sobre Patrimônio e a Renda - Intra OFSS </t>
  </si>
  <si>
    <t xml:space="preserve">            4.1.1.2.3.00.00 - Impostos sobre Patrimônio e a Renda - Inter OFSS - 
            União </t>
  </si>
  <si>
    <t xml:space="preserve">            4.1.1.2.4.00.00 - Impostos sobre Patrimônio e a Renda - Inter OFSS - 
            Estado </t>
  </si>
  <si>
    <t xml:space="preserve">            4.1.1.2.5.00.00 - Impostos sobre Patrimônio e a Renda - Inter OFSS - 
            Município </t>
  </si>
  <si>
    <t xml:space="preserve">          4.1.1.3.0.00.00 - Impostos sobre a Produção e a Circulação </t>
  </si>
  <si>
    <t xml:space="preserve">            4.1.1.3.1.00.00 - Impostos sobre a Produção e a Circulação - 
            Consolidação </t>
  </si>
  <si>
    <t xml:space="preserve">            4.1.1.3.2.00.00 - Impostos sobre a Produção e a Circulação - Intra 
            OFSS </t>
  </si>
  <si>
    <t xml:space="preserve">            4.1.1.3.3.00.00 - Impostos sobre a Produção e a Circulação - Inter 
            OFSS - União </t>
  </si>
  <si>
    <t xml:space="preserve">            4.1.1.3.4.00.00 - Impostos sobre a Produção e a Circulação - Inter 
            OFSS - Estado </t>
  </si>
  <si>
    <t xml:space="preserve">            4.1.1.3.5.00.00 - Impostos sobre a Produção e a Circulação - Inter 
            OFSS - Município </t>
  </si>
  <si>
    <t xml:space="preserve">          4.1.1.4.0.00.00 - Impostos Extraordinários </t>
  </si>
  <si>
    <t xml:space="preserve">            4.1.1.4.1.00.00 - Impostos Extraordinários - Consolidação </t>
  </si>
  <si>
    <t xml:space="preserve">            4.1.1.4.2.00.00 - Impostos Extraordinários - Intra OFSS </t>
  </si>
  <si>
    <t xml:space="preserve">            4.1.1.4.3.00.00 - Impostos Extraordinários - Inter OFSS - União </t>
  </si>
  <si>
    <t xml:space="preserve">            4.1.1.4.4.00.00 - Impostos Extraordinários - Inter OFSS - Estado </t>
  </si>
  <si>
    <t xml:space="preserve">            4.1.1.4.5.00.00 - Impostos Extraordinários - Inter OFSS - Município </t>
  </si>
  <si>
    <t xml:space="preserve">          4.1.1.9.0.00.00 - Outros Impostos </t>
  </si>
  <si>
    <t xml:space="preserve">            4.1.1.9.1.00.00 - Outros Impostos - Consolidação </t>
  </si>
  <si>
    <t xml:space="preserve">            4.1.1.9.2.00.00 - Outros Impostos - Intra OFSS </t>
  </si>
  <si>
    <t xml:space="preserve">            4.1.1.9.3.00.00 - Outros Impostos - Inter OFSS - União </t>
  </si>
  <si>
    <t xml:space="preserve">            4.1.1.9.4.00.00 - Outros Impostos - Inter OFSS - Estado </t>
  </si>
  <si>
    <t xml:space="preserve">            4.1.1.9.5.00.00 - Outros Impostos - Inter OFSS - Município </t>
  </si>
  <si>
    <t xml:space="preserve">        4.1.2.0.0.00.00 - Taxas </t>
  </si>
  <si>
    <t xml:space="preserve">          4.1.2.1.0.00.00 - Taxas pelo Exercício do Poder de Policia </t>
  </si>
  <si>
    <t xml:space="preserve">            4.1.2.1.1.00.00 - Taxas pelo Exercício do Poder de Polícia - 
            Consolidação </t>
  </si>
  <si>
    <t xml:space="preserve">            4.1.2.1.2.00.00 - Taxas pelo Exercício do Poder de Polícia - Intra 
            OFSS </t>
  </si>
  <si>
    <t xml:space="preserve">            4.1.2.1.3.00.00 - Taxas pelo Exercício do Poder de Polícia - Inter 
            OFSS - União </t>
  </si>
  <si>
    <t xml:space="preserve">            4.1.2.1.4.00.00 - Taxas pelo Exercício do Poder de Polícia - Inter 
            OFSS - Estado </t>
  </si>
  <si>
    <t xml:space="preserve">            4.1.2.1.5.00.00 - Taxas pelo Exercício do Poder de Polícia - Inter 
            OFSS - Município </t>
  </si>
  <si>
    <t xml:space="preserve">          4.1.2.2.0.00.00 - Taxas Pela Prestação de Serviços </t>
  </si>
  <si>
    <t xml:space="preserve">            4.1.2.2.1.00.00 - Taxas Pela Prestação de Serviços - Consolidação </t>
  </si>
  <si>
    <t xml:space="preserve">            4.1.2.2.2.00.00 - Taxas Pela Prestação de Serviços - Intra OFSS </t>
  </si>
  <si>
    <t xml:space="preserve">            4.1.2.2.3.00.00 - Taxas Pela Prestação de Serviços - Inter OFSS - 
            União </t>
  </si>
  <si>
    <t xml:space="preserve">            4.1.2.2.4.00.00 - Taxas Pela Prestação de Serviços - Inter OFSS - 
            Estado </t>
  </si>
  <si>
    <t xml:space="preserve">            4.1.2.2.5.00.00 - Taxas Pela Prestação de Serviços - Inter OFSS - 
            Município </t>
  </si>
  <si>
    <t xml:space="preserve">        4.1.3.0.0.00.00 - Contribuições de Melhoria </t>
  </si>
  <si>
    <t xml:space="preserve">          4.1.3.1.0.00.00 - Contribuição de Melhoria Pela Expansão da Rede de 
          Água Potável e Esgoto Sanitário </t>
  </si>
  <si>
    <t xml:space="preserve">            4.1.3.1.1.00.00 - Contribuição de Melhoria Pela Expansão da Rede de 
            Água Potável e Esgoto Sanitário - Consolidação </t>
  </si>
  <si>
    <t xml:space="preserve">            4.1.3.1.2.00.00 - Contribuição de Melhoria Pela Expansão da Rede de 
            Água Potável e Esgoto Sanitário - Intra OFSS </t>
  </si>
  <si>
    <t xml:space="preserve">            4.1.3.1.3.00.00 - Contribuição de Melhoria Pela Expansão da Rede de 
            Água Potável e Esgoto Sanitário - Inter OFSS - União </t>
  </si>
  <si>
    <t xml:space="preserve">            4.1.3.1.4.00.00 - Contribuição de Melhoria Pela Expansão da Rede de 
            Água Potável e Esgoto Sanitário - Inter OFSS - Estado </t>
  </si>
  <si>
    <t xml:space="preserve">            4.1.3.1.5.00.00 - Contribuição de Melhoria Pela Expansão da Rede de 
            Água Potável e Esgoto Sanitário - Inter OFSS - Município </t>
  </si>
  <si>
    <t xml:space="preserve">          4.1.3.2.0.00.00 - Contribuição de Melhoria Pela Expansão da Rede de 
          Iluminação Pública na Cidade </t>
  </si>
  <si>
    <t xml:space="preserve">            4.1.3.2.1.00.00 - Contribuição de Melhoria Pela Expansão da Rede de 
            Iluminação Pública na Cidade - Consolidação </t>
  </si>
  <si>
    <t xml:space="preserve">            4.1.3.2.2.00.00 - Contribuição de Melhoria Pela Expansão da Rede de 
            Iluminação Pública na Cidade - Intra OFSS </t>
  </si>
  <si>
    <t xml:space="preserve">            4.1.3.2.3.00.00 - Contribuição de Melhoria Pela Expansão da Rede de 
            Iluminação Pública na Cidade - Inter OFSS - União </t>
  </si>
  <si>
    <t xml:space="preserve">            4.1.3.2.4.00.00 - Contribuição de Melhoria Pela Expansão da Rede de 
            Iluminação Pública na Cidade - Inter OFSS - Estado </t>
  </si>
  <si>
    <t xml:space="preserve">            4.1.3.2.5.00.00 - Contribuição de Melhoria Pela Expansão da Rede de 
            Iluminação Pública na Cidade - Inter OFSS - Município </t>
  </si>
  <si>
    <t xml:space="preserve">          4.1.3.3.0.00.00 - Contribuição de Melhoria Pela Expansão de Rede de 
          Iluminação Pública Rural </t>
  </si>
  <si>
    <t xml:space="preserve">            4.1.3.3.1.00.00 - Contribuição de Melhoria Pela Expansão de Rede de 
            Iluminação Pública Rural - Consolidação </t>
  </si>
  <si>
    <t xml:space="preserve">            4.1.3.3.2.00.00 - Contribuição de Melhoria Pela Expansão de Rede de 
            Iluminação Pública Rural - Intra OFSS </t>
  </si>
  <si>
    <t xml:space="preserve">            4.1.3.3.3.00.00 - Contribuição de Melhoria Pela Expansão de Rede de 
            Iluminação Pública Rural - Inter OFSS - União </t>
  </si>
  <si>
    <t xml:space="preserve">            4.1.3.3.4.00.00 - Contribuição de Melhoria Pela Expansão de Rede de 
            Iluminação Pública Rural - Inter OFSS - Estado </t>
  </si>
  <si>
    <t xml:space="preserve">            4.1.3.3.5.00.00 - Contribuição de Melhoria Pela Expansão de Rede de 
            Iluminação Pública Rural - Inter OFSS - Município </t>
  </si>
  <si>
    <t xml:space="preserve">          4.1.3.4.0.00.00 - Contribuição de Melhoria Pela Pavimentação e Obras 
          Complementares </t>
  </si>
  <si>
    <t xml:space="preserve">            4.1.3.4.1.00.00 - Contribuição de Melhoria Pela Pavimentação e Obras 
            Complementares - Consolidação </t>
  </si>
  <si>
    <t xml:space="preserve">            4.1.3.4.2.00.00 - Contribuição de Melhoria Pela Pavimentação e Obras 
            Complementares - Intra OFSS </t>
  </si>
  <si>
    <t xml:space="preserve">            4.1.3.4.3.00.00 - Contribuição de Melhoria Pela Pavimentação e Obras 
            Complementares - Inter OFSS - União </t>
  </si>
  <si>
    <t xml:space="preserve">            4.1.3.4.4.00.00 - Contribuição de Melhoria Pela Pavimentação e Obras 
            Complementares - Inter OFSS - Estado </t>
  </si>
  <si>
    <t xml:space="preserve">            4.1.3.4.5.00.00 - Contribuição de Melhoria Pela Pavimentação e Obras 
            Complementares - Inter OFSS - Município </t>
  </si>
  <si>
    <t xml:space="preserve">          4.1.3.9.0.00.00 - Outras Contribuições de Melhoria </t>
  </si>
  <si>
    <t xml:space="preserve">            4.1.3.9.1.00.00 - Outras Contribuições de Melhoria - Consolidação </t>
  </si>
  <si>
    <t xml:space="preserve">            4.1.3.9.2.00.00 - Outras Contribuições de Melhoria - Intra OFSS </t>
  </si>
  <si>
    <t xml:space="preserve">            4.1.3.9.3.00.00 - Outras Contribuições de Melhoria - Inter OFSS - 
            União </t>
  </si>
  <si>
    <t xml:space="preserve">            4.1.3.9.4.00.00 - Outras Contribuições de Melhoria - Inter OFSS - 
            Estado </t>
  </si>
  <si>
    <t xml:space="preserve">            4.1.3.9.5.00.00 - Outras Contribuições de Melhoria - Inter OFSS - 
            Município </t>
  </si>
  <si>
    <t xml:space="preserve">      4.2.0.0.0.00.00 - Contribuições </t>
  </si>
  <si>
    <t xml:space="preserve">        4.2.1.0.0.00.00 - Contribuições Sociais </t>
  </si>
  <si>
    <t xml:space="preserve">          4.2.1.1.0.00.00 - Contribuições Sociais - RPPS e Militares </t>
  </si>
  <si>
    <t xml:space="preserve">            4.2.1.1.1.00.00 - Contribuições Sociais - RPPS e Militares - 
            Consolidação </t>
  </si>
  <si>
    <t xml:space="preserve">              4.2.1.1.1.02.00 - Contribuição do Segurado ao RPPS </t>
  </si>
  <si>
    <t xml:space="preserve">              4.2.1.1.1.03.00 - Contribuição Previdenciária para Amortização do 
              Déficit Atuarial </t>
  </si>
  <si>
    <t xml:space="preserve">              4.2.1.1.1.04.00 - Contribuições para Custeio das Pensões e 
              Inatividade Militares </t>
  </si>
  <si>
    <t xml:space="preserve">              4.2.1.1.1.97.00 - (-) Deduções </t>
  </si>
  <si>
    <t xml:space="preserve">              4.2.1.1.1.99.00 - Outras Contribuições Sociais - RPPS </t>
  </si>
  <si>
    <t xml:space="preserve">            4.2.1.1.2.00.00 - Contribuições Sociais - RPPS e Militares - Intra 
            OFSS </t>
  </si>
  <si>
    <t xml:space="preserve">            4.2.1.1.3.00.00 - Contribuições Sociais - RPPS - Inter OFSS – União </t>
  </si>
  <si>
    <t xml:space="preserve">            4.2.1.1.4.00.00 - Contribuições Sociais - RPPS - Inter OFSS - Estado </t>
  </si>
  <si>
    <t xml:space="preserve">            4.2.1.1.5.00.00 - Contribuições Sociais - RPPS - Inter OFSS - 
            Município </t>
  </si>
  <si>
    <t xml:space="preserve">          4.2.1.2.0.00.00 - Contribuições Sociais - RGPS </t>
  </si>
  <si>
    <t xml:space="preserve">            4.2.1.2.1.00.00 - Contribuições Sociais - RGPS - Consolidação </t>
  </si>
  <si>
    <t xml:space="preserve">            4.2.1.2.2.00.00 - Contribuições Sociais - RGPS - Intra OFSS </t>
  </si>
  <si>
    <t xml:space="preserve">            4.2.1.2.3.00.00 - Contribuições Sociais - RGPS - Inter OFSS - União </t>
  </si>
  <si>
    <t xml:space="preserve">            4.2.1.2.4.00.00 - Contribuições Sociais - RGPS - Inter OFSS - Estado </t>
  </si>
  <si>
    <t xml:space="preserve">            4.2.1.2.5.00.00 - Contribuições Sociais - RGPS - Inter OFSS - 
            Município </t>
  </si>
  <si>
    <t xml:space="preserve">          4.2.1.3.0.00.00 - Contribuição sobre a Receita ou o Faturamento </t>
  </si>
  <si>
    <t xml:space="preserve">            4.2.1.3.1.00.00 - Contribuição sobre a Receita ou o Faturamento - 
            Consolidação </t>
  </si>
  <si>
    <t xml:space="preserve">            4.2.1.3.2.00.00 - Contribuição sobre a Receita ou o Faturamento - 
            Intra OFSS </t>
  </si>
  <si>
    <t xml:space="preserve">            4.2.1.3.3.00.00 - Contribuição sobre a Receita ou o Faturamento - 
            Inter OFSS - União </t>
  </si>
  <si>
    <t xml:space="preserve">            4.2.1.3.4.00.00 - Contribuição sobre a Receita ou o Faturamento - 
            Inter OFSS - Estado </t>
  </si>
  <si>
    <t xml:space="preserve">            4.2.1.3.5.00.00 - Contribuição sobre a Receita ou o Faturamento - 
            Inter OFSS - Município </t>
  </si>
  <si>
    <t xml:space="preserve">          4.2.1.4.0.00.00 - Contribuição sobre o Lucro </t>
  </si>
  <si>
    <t xml:space="preserve">            4.2.1.4.1.00.00 - Contribuição sobre o Lucro - Consolidação </t>
  </si>
  <si>
    <t xml:space="preserve">            4.2.1.4.2.00.00 - Contribuição sobre o Lucro - Intra OFSS </t>
  </si>
  <si>
    <t xml:space="preserve">            4.2.1.4.3.00.00 - Contribuição sobre o Lucro - Inter OFSS - União </t>
  </si>
  <si>
    <t xml:space="preserve">            4.2.1.4.4.00.00 - Contribuição sobre o Lucro - Inter OFSS - Estado </t>
  </si>
  <si>
    <t xml:space="preserve">            4.2.1.4.5.00.00 - Contribuição sobre o Lucro - Inter OFSS - Município </t>
  </si>
  <si>
    <t xml:space="preserve">          4.2.1.5.0.00.00 - Contribuição sobre Receita de Concurso de Prognostico </t>
  </si>
  <si>
    <t xml:space="preserve">            4.2.1.5.1.00.00 - Contribuição sobre Receita de Concurso de 
            Prognostico - Consolidação </t>
  </si>
  <si>
    <t xml:space="preserve">            4.2.1.5.2.00.00 - Contribuição sobre Receita de Concurso de 
            Prognostico - Intra OFSS </t>
  </si>
  <si>
    <t xml:space="preserve">            4.2.1.5.3.00.00 - Contribuição sobre Receita de Concurso de 
            Prognostico - Inter OFSS - União </t>
  </si>
  <si>
    <t xml:space="preserve">            4.2.1.5.4.00.00 - Contribuição sobre Receita de Concurso de 
            Prognostico - Inter OFSS - Estado </t>
  </si>
  <si>
    <t xml:space="preserve">            4.2.1.5.5.00.00 - Contribuição sobre Receita de Concurso de 
            Prognostico - Inter OFSS - Município </t>
  </si>
  <si>
    <t xml:space="preserve">          4.2.1.6.0.00.00 - Contribuição do Importador de Bens ou Serviços do 
          Exterior </t>
  </si>
  <si>
    <t xml:space="preserve">            4.2.1.6.1.00.00 - Contribuição do Importador de Bens ou Serviços do 
            Exterior - Consolidação </t>
  </si>
  <si>
    <t xml:space="preserve">            4.2.1.6.2.00.00 - Contribuição do Importador de Bens ou Serviços do 
            Exterior - Intra OFSS </t>
  </si>
  <si>
    <t xml:space="preserve">            4.2.1.6.3.00.00 - Contribuição do Importador de Bens ou Serviços do 
            Exterior - Inter OFSS - União </t>
  </si>
  <si>
    <t xml:space="preserve">            4.2.1.6.4.00.00 - Contribuição do Importador de Bens ou Serviços do 
            Exterior - Inter OFSS - Estado </t>
  </si>
  <si>
    <t xml:space="preserve">            4.2.1.6.5.00.00 - Contribuição do Importador de Bens ou Serviços do 
            Exterior - Inter OFSS - Município </t>
  </si>
  <si>
    <t xml:space="preserve">          4.2.1.9.0.00.00 - Outras Contribuições Sociais </t>
  </si>
  <si>
    <t xml:space="preserve">            4.2.1.9.1.00.00 - Outras Contribuições Sociais - Consolidação </t>
  </si>
  <si>
    <t xml:space="preserve">            4.2.1.9.2.00.00 - Outras Contribuições Sociais - Intra OFSS </t>
  </si>
  <si>
    <t xml:space="preserve">            4.2.1.9.3.00.00 - Outras Contribuições Sociais - Inter OFSS - União </t>
  </si>
  <si>
    <t xml:space="preserve">            4.2.1.9.4.00.00 - Outras Contribuições Sociais - Inter OFSS - Estado </t>
  </si>
  <si>
    <t xml:space="preserve">            4.2.1.9.5.00.00 - Outras Contribuições Sociais - Inter OFSS - 
            Município </t>
  </si>
  <si>
    <t xml:space="preserve">        4.2.2.0.0.00.00 - Contribuições de Intervenção no Domínio Econômico </t>
  </si>
  <si>
    <t xml:space="preserve">          4.2.2.1.0.00.00 - Contribuições de Intervenção no Domínio Econômico </t>
  </si>
  <si>
    <t xml:space="preserve">            4.2.2.1.1.00.00 - Contribuições de Intervenção no Domínio Econômico - 
            Consolidação </t>
  </si>
  <si>
    <t xml:space="preserve">            4.2.2.1.2.00.00 - Contribuições de Intervenção no Domínio Econômico - 
            Intra OFSS </t>
  </si>
  <si>
    <t xml:space="preserve">            4.2.2.1.3.00.00 - Contribuições de Intervenção no Domínio Econômico - 
            Inter OFSS - União </t>
  </si>
  <si>
    <t xml:space="preserve">            4.2.2.1.4.00.00 - Contribuições de Intervenção no Domínio Econômico - 
            Inter OFSS - Estado </t>
  </si>
  <si>
    <t xml:space="preserve">            4.2.2.1.5.00.00 - Contribuições de Intervenção no Domínio Econômico - 
            Inter OFSS - Município </t>
  </si>
  <si>
    <t xml:space="preserve">        4.2.3.0.0.00.00 - Contribuição de Iluminação Pública </t>
  </si>
  <si>
    <t xml:space="preserve">          4.2.3.1.0.00.00 - Contribuição de Iluminação Pública </t>
  </si>
  <si>
    <t xml:space="preserve">            4.2.3.1.1.00.00 - Contribuição de Iluminação Pública - Consolidação </t>
  </si>
  <si>
    <t xml:space="preserve">            4.2.3.1.2.00.00 - Contribuição de Iluminação Pública - Intra OFSS </t>
  </si>
  <si>
    <t xml:space="preserve">            4.2.3.1.5.00.00 - Contribuição de Iluminação Pública - Inter OFSS - 
            Município </t>
  </si>
  <si>
    <t xml:space="preserve">        4.2.4.0.0.00.00 - Contribuições de Interesse das Categorias 
        Profissionais </t>
  </si>
  <si>
    <t xml:space="preserve">          4.2.4.1.0.00.00 - Contribuições de Interesse das Categorias 
          Profissionais </t>
  </si>
  <si>
    <t xml:space="preserve">            4.2.4.1.1.00.00 - Contribuições de Interesse das Categorias 
            Profissionais - Consolidação </t>
  </si>
  <si>
    <t xml:space="preserve">            4.2.4.1.2.00.00 - Contribuições de Interesse das Categorias 
            Profissionais - Intra OFSS </t>
  </si>
  <si>
    <t xml:space="preserve">            4.2.4.1.3.00.00 - Contribuições de Interesse das Categorias 
            Profissionais - Inter OFSS - União </t>
  </si>
  <si>
    <t xml:space="preserve">      4.3.0.0.0.00.00 - Exploração e Venda de Bens, Serviços e Direitos </t>
  </si>
  <si>
    <t xml:space="preserve">        4.3.1.0.0.00.00 - Venda de Mercadorias </t>
  </si>
  <si>
    <t xml:space="preserve">          4.3.1.1.0.00.00 - Venda Bruta de Mercadorias </t>
  </si>
  <si>
    <t xml:space="preserve">            4.3.1.1.1.00.00 - Venda Bruta de Mercadorias - Consolidação </t>
  </si>
  <si>
    <t xml:space="preserve">            4.3.1.1.2.00.00 - Venda Bruta de Mercadorias - Intra OFSS </t>
  </si>
  <si>
    <t xml:space="preserve">            4.3.1.1.3.00.00 - Venda Bruta de Mercadorias - Inter OFSS - União </t>
  </si>
  <si>
    <t xml:space="preserve">            4.3.1.1.4.00.00 - Venda Bruta de Mercadorias - Inter OFSS - Estado </t>
  </si>
  <si>
    <t xml:space="preserve">            4.3.1.1.5.00.00 - Venda Bruta de Mercadorias - Inter OFSS - Município </t>
  </si>
  <si>
    <t xml:space="preserve">          4.3.1.9.0.00.00 - (-) Deduções da Venda Bruta de Mercadorias </t>
  </si>
  <si>
    <t xml:space="preserve">            4.3.1.9.1.00.00 - (-) Deduções da Venda Bruta de Mercadorias - 
            Consolidação </t>
  </si>
  <si>
    <t xml:space="preserve">            4.3.1.9.2.00.00 - (-) Deduções da Venda Bruta de Mercadorias - Intra 
            OFSS </t>
  </si>
  <si>
    <t xml:space="preserve">            4.3.1.9.3.00.00 - (-) Deduções da Venda Bruta de Mercadorias - Inter 
            OFSS - União </t>
  </si>
  <si>
    <t xml:space="preserve">            4.3.1.9.4.00.00 - (-) Deduções da Venda Bruta de Mercadorias - Inter 
            OFSS - Estado </t>
  </si>
  <si>
    <t xml:space="preserve">            4.3.1.9.5.00.00 - (-) Deduções da Venda Bruta de Mercadorias - Inter 
            OFSS - Município </t>
  </si>
  <si>
    <t xml:space="preserve">        4.3.2.0.0.00.00 - Venda de Produtos </t>
  </si>
  <si>
    <t xml:space="preserve">          4.3.2.1.0.00.00 - Venda Bruta de Produtos </t>
  </si>
  <si>
    <t xml:space="preserve">            4.3.2.1.1.00.00 - Venda Bruta de Produtos - Consolidação </t>
  </si>
  <si>
    <t xml:space="preserve">            4.3.2.1.2.00.00 - Venda Bruta de Produtos - Intra OFSS </t>
  </si>
  <si>
    <t xml:space="preserve">            4.3.2.1.3.00.00 - Venda Bruta de Produtos - Inter OFSS - União </t>
  </si>
  <si>
    <t xml:space="preserve">            4.3.2.1.4.00.00 - Venda Bruta de Produtos - Inter OFSS - Estado </t>
  </si>
  <si>
    <t xml:space="preserve">            4.3.2.1.5.00.00 - Venda Bruta de Produtos - Inter OFSS - Município </t>
  </si>
  <si>
    <t xml:space="preserve">          4.3.2.9.0.00.00 - (-) Deduções de Venda Bruta de Produtos </t>
  </si>
  <si>
    <t xml:space="preserve">            4.3.2.9.1.00.00 - (-) Deduções da Venda Bruta de Produtos - 
            Consolidação </t>
  </si>
  <si>
    <t xml:space="preserve">            4.3.2.9.2.00.00 - (-) Deduções da Venda Bruta de Produtos - Intra OFSS </t>
  </si>
  <si>
    <t xml:space="preserve">            4.3.2.9.3.00.00 - (-) Deduções da Venda Bruta de Produtos - Inter OFSS 
            - União </t>
  </si>
  <si>
    <t xml:space="preserve">            4.3.2.9.4.00.00 - (-) Deduções da Venda Bruta de Produtos - Inter OFSS 
            - Estado </t>
  </si>
  <si>
    <t xml:space="preserve">            4.3.2.9.5.00.00 - (-) Deduções da Venda Bruta de Produtos - Inter OFSS 
            - Município </t>
  </si>
  <si>
    <t xml:space="preserve">        4.3.3.0.0.00.00 - Exploração de Bens e Direitos e Prestação de Serviços </t>
  </si>
  <si>
    <t xml:space="preserve">          4.3.3.1.0.00.00 - Valor Bruto de Exploração de Bens e Direitos e 
          Prestação de Serviços </t>
  </si>
  <si>
    <t xml:space="preserve">            4.3.3.1.1.00.00 - Valor Bruto de Exploração de Bens, Direitos e 
            Prestação de Serviços - Consolidação </t>
  </si>
  <si>
    <t xml:space="preserve">            4.3.3.1.2.00.00 - Valor Bruto de Exploração de Bens, Direitos e 
            Prestação de Serviços - Intra OFSS </t>
  </si>
  <si>
    <t xml:space="preserve">            4.3.3.1.3.00.00 - Valor Bruto de Exploração de Bens, Direitos e 
            Prestação de Serviços - Inter OFSS - União </t>
  </si>
  <si>
    <t xml:space="preserve">            4.3.3.1.4.00.00 - Valor Bruto de Exploração de Bens, Direitos e 
            Prestação de Serviços - Inter OFSS - Estado </t>
  </si>
  <si>
    <t xml:space="preserve">            4.3.3.1.5.00.00 - Valor Bruto de Exploração de Bens, Direitos e 
            Prestação de Serviços - Inter OFSS - Município </t>
  </si>
  <si>
    <t xml:space="preserve">          4.3.3.9.0.00.00 - (-) Deduções do Valor Bruto de Exploração de Bens, 
          Direitos e Prestação de Serviços </t>
  </si>
  <si>
    <t xml:space="preserve">            4.3.3.9.1.00.00 - (-) Deduções do Valor Bruto de Exploração de Bens, 
            Direitos e Prestação de Serviços - Consolidação </t>
  </si>
  <si>
    <t xml:space="preserve">            4.3.3.9.2.00.00 - (-) Deduções do Valor Bruto de Exploração de Bens, 
            Direitos e Prestação de Serviços - Intra OFSS </t>
  </si>
  <si>
    <t xml:space="preserve">            4.3.3.9.3.00.00 - (-) Deduções do Valor Bruto de Exploração de Bens, 
            Direitos e Prestação de Serviços - Inter OFSS - União </t>
  </si>
  <si>
    <t xml:space="preserve">            4.3.3.9.4.00.00 - (-) Deduções do Valor Bruto de Exploração de Bens, 
            Direitos e Prestação de Serviços - Inter OFSS - Estado </t>
  </si>
  <si>
    <t xml:space="preserve">            4.3.3.9.5.00.00 - (-) Deduções do Valor Bruto de Exploração de Bens, 
            Direitos e Prestação de Serviços - Inter OFSS - Município </t>
  </si>
  <si>
    <t xml:space="preserve">      4.4.0.0.0.00.00 - Variações Patrimoniais Aumentativas Financeiras </t>
  </si>
  <si>
    <t xml:space="preserve">        4.4.1.0.0.00.00 - Juros e Encargos de Empréstimos e Financiamentos 
        Concedidos </t>
  </si>
  <si>
    <t xml:space="preserve">          4.4.1.1.0.00.00 - Juros e Encargos de Empréstimos Internos Concedidos </t>
  </si>
  <si>
    <t xml:space="preserve">            4.4.1.1.1.00.00 - Juros e Encargos de Empréstimos Internos Concedidos 
            - Consolidação </t>
  </si>
  <si>
    <t xml:space="preserve">            4.4.1.1.2.00.00 - Juros e Encargos de Empréstimos Internos Concedidos 
            - Intra OFSS </t>
  </si>
  <si>
    <t xml:space="preserve">            4.4.1.1.3.00.00 - Juros e Encargos de Empréstimos Internos Concedidos 
            - Inter OFSS - União </t>
  </si>
  <si>
    <t xml:space="preserve">            4.4.1.1.4.00.00 - Juros e Encargos de Empréstimos Internos Concedidos 
            - Inter OFSS - Estado </t>
  </si>
  <si>
    <t xml:space="preserve">            4.4.1.1.5.00.00 - Juros e Encargos de Empréstimos Internos Concedidos 
            - Inter OFSS - Município </t>
  </si>
  <si>
    <t xml:space="preserve">          4.4.1.2.0.00.00 - Juros e Encargos de Empréstimos Externos Concedidos </t>
  </si>
  <si>
    <t xml:space="preserve">            4.4.1.2.1.00.00 - Juros e Encargos de Empréstimos Externos Concedidos 
            - Consolidação </t>
  </si>
  <si>
    <t xml:space="preserve">            4.4.1.2.2.00.00 - Juros e Encargos de Empréstimos Externos Concedidos 
            - Intra OFSS </t>
  </si>
  <si>
    <t xml:space="preserve">            4.4.1.2.3.00.00 - Juros e Encargos de Empréstimos Externos Concedidos 
            - Inter OFSS - União </t>
  </si>
  <si>
    <t xml:space="preserve">            4.4.1.2.4.00.00 - Juros e Encargos de Empréstimos Externos Concedidos 
            - Inter OFSS - Estado </t>
  </si>
  <si>
    <t xml:space="preserve">            4.4.1.2.5.00.00 - Juros e Encargos de Empréstimos Externos Concedidos 
            - Inter OFSS - Município </t>
  </si>
  <si>
    <t xml:space="preserve">          4.4.1.3.0.00.00 - Juros e Encargos de Financiamentos Internos 
          Concedidos </t>
  </si>
  <si>
    <t xml:space="preserve">            4.4.1.3.1.00.00 - Juros e Encargos de Financiamentos Internos 
            Concedidos - Consolidação </t>
  </si>
  <si>
    <t xml:space="preserve">            4.4.1.3.2.00.00 - Juros e Encargos de Financiamentos Internos 
            Concedidos - Intra OFSS </t>
  </si>
  <si>
    <t xml:space="preserve">            4.4.1.3.3.00.00 - Juros e Encargos de Financiamentos Internos 
            Concedidos - Inter OFSS - União </t>
  </si>
  <si>
    <t xml:space="preserve">            4.4.1.3.4.00.00 - Juros e Encargos de Financiamentos Internos 
            Concedidos - Inter OFSS - Estado </t>
  </si>
  <si>
    <t xml:space="preserve">            4.4.1.3.5.00.00 - Juros e Encargos de Financiamentos Internos 
            Concedidos - Inter OFSS - Município </t>
  </si>
  <si>
    <t xml:space="preserve">          4.4.1.4.0.00.00 - Juros e Encargos de Financiamentos Externos 
          Concedidos </t>
  </si>
  <si>
    <t xml:space="preserve">            4.4.1.4.1.00.00 - Juros e Encargos de Financiamentos Externos 
            Concedidos - Consolidação </t>
  </si>
  <si>
    <t xml:space="preserve">        4.4.2.0.0.00.00 - Juros e Encargos de Mora </t>
  </si>
  <si>
    <t xml:space="preserve">          4.4.2.1.0.00.00 - Juros e Encargos de Mora sobre Empréstimos e 
          Financiamentos Internos Concedidos </t>
  </si>
  <si>
    <t xml:space="preserve">            4.4.2.1.1.00.00 - Juros e Encargos de Mora sobre Empréstimos e 
            Financiamentos Internos Concedidos - Consolidação </t>
  </si>
  <si>
    <t xml:space="preserve">            4.4.2.1.2.00.00 - Juros e Encargos de Mora sobre Empréstimos e 
            Financiamentos Internos Concedidos - Intra OFSS </t>
  </si>
  <si>
    <t xml:space="preserve">            4.4.2.1.3.00.00 - Juros e Encargos de Mora sobre Empréstimos e 
            Financiamentos Internos Concedidos - Inter OFSS - União </t>
  </si>
  <si>
    <t xml:space="preserve">            4.4.2.1.4.00.00 - Juros e Encargos de Mora sobre Empréstimos e 
            Financiamentos Internos Concedidos - Inter OFSS - Estado </t>
  </si>
  <si>
    <t xml:space="preserve">            4.4.2.1.5.00.00 - Juros e Encargos de Mora sobre Empréstimos e 
            Financiamentos Internos Concedidos - Inter OFSS - Município </t>
  </si>
  <si>
    <t xml:space="preserve">          4.4.2.2.0.00.00 - Juros e Encargos de Mora sobre Empréstimos e 
          Financiamentos Externos Concedidos </t>
  </si>
  <si>
    <t xml:space="preserve">            4.4.2.2.1.00.00 - Juros e Encargos de Mora sobre Empréstimos e 
            Financiamentos Externos Concedidos - Consolidação </t>
  </si>
  <si>
    <t xml:space="preserve">          4.4.2.3.0.00.00 - Juros e Encargos de Mora sobre Fornecimentos de Bens 
          e Serviços </t>
  </si>
  <si>
    <t xml:space="preserve">            4.4.2.3.1.00.00 - Juros e Encargos de Mora sobre Fornecimentos de Bens 
            e Serviços - Consolidação </t>
  </si>
  <si>
    <t xml:space="preserve">            4.4.2.3.2.00.00 - Juros e Encargos de Mora sobre Fornecimentos de Bens 
            e Serviços - Intra OFSS </t>
  </si>
  <si>
    <t xml:space="preserve">            4.4.2.3.3.00.00 - Juros e Encargos de Mora sobre Fornecimentos de Bens 
            e Serviços - Inter OFSS - União </t>
  </si>
  <si>
    <t xml:space="preserve">            4.4.2.3.4.00.00 - Juros e Encargos de Mora sobre Fornecimentos de Bens 
            e Serviços - Inter OFSS - Estado </t>
  </si>
  <si>
    <t xml:space="preserve">            4.4.2.3.5.00.00 - Juros e Encargos de Mora sobre Fornecimentos de Bens 
            e Serviços - Inter OFSS - Município </t>
  </si>
  <si>
    <t xml:space="preserve">          4.4.2.4.0.00.00 - Juros e Encargos de Mora sobre Créditos Tributários </t>
  </si>
  <si>
    <t xml:space="preserve">            4.4.2.4.1.00.00 - Juros e Encargos de Mora sobre Créditos Tributários 
            - Consolidação </t>
  </si>
  <si>
    <t xml:space="preserve">            4.4.2.4.2.00.00 - Juros e Encargos de Mora sobre Créditos Tributários 
            - Intra OFSS </t>
  </si>
  <si>
    <t xml:space="preserve">            4.4.2.4.3.00.00 - Juros e Encargos de Mora sobre Créditos Tributários 
            - Inter OFSS - União </t>
  </si>
  <si>
    <t xml:space="preserve">            4.4.2.4.4.00.00 - Juros e Encargos de Mora sobre Créditos Tributários 
            - Inter OFSS - Estado </t>
  </si>
  <si>
    <t xml:space="preserve">            4.4.2.4.5.00.00 - Juros e Encargos de Mora sobre Créditos Tributários 
            - Inter OFSS - Município </t>
  </si>
  <si>
    <t xml:space="preserve">          4.4.2.5.0.00.00 - Juros e Encargos de Mora sobre Créditos 
          Previdenciários </t>
  </si>
  <si>
    <t xml:space="preserve">            4.4.2.5.1.00.00 - Juros e Encargos de Mora sobre Créditos 
            Previdenciários - Consolidação </t>
  </si>
  <si>
    <t xml:space="preserve">            4.4.2.5.2.00.00 - Juros e Encargos de Mora sobre Créditos 
            Previdenciários - Intra OFSS </t>
  </si>
  <si>
    <t xml:space="preserve">            4.4.2.5.3.00.00 - Juros e Encargos de Mora sobre Créditos 
            Previdenciários - Inter OFSS - União </t>
  </si>
  <si>
    <t xml:space="preserve">            4.4.2.5.4.00.00 - Juros e Encargos de Mora sobre Créditos 
            Previdenciários - Inter OFSS - Estado </t>
  </si>
  <si>
    <t xml:space="preserve">            4.4.2.5.5.00.00 - Juros e Encargos de Mora sobre Créditos 
            Previdenciários - Inter OFSS - Município </t>
  </si>
  <si>
    <t xml:space="preserve">          4.4.2.6.0.00.00 - Juros e Encargos de Mora de Empréstimos e 
          Financiamentos Obtidos </t>
  </si>
  <si>
    <t xml:space="preserve">            4.4.2.6.1.00.00 - Juros e Encargos de Mora de Empréstimos e 
            Financiamentos Obtidos - Consolidação </t>
  </si>
  <si>
    <t xml:space="preserve">            4.4.2.6.2.00.00 - Juros e Encargos de Mora de Empréstimos e 
            Financiamentos Obtidos - Intra OFSS </t>
  </si>
  <si>
    <t xml:space="preserve">            4.4.2.6.3.00.00 - Juros e Encargos de Mora de Empréstimos e 
            Financiamentos Obtidos - Inter OFSS - União </t>
  </si>
  <si>
    <t xml:space="preserve">            4.4.2.6.4.00.00 - Juros e Encargos de Mora de Empréstimos e 
            Financiamentos Obtidos - Inter OFSS - Estado </t>
  </si>
  <si>
    <t xml:space="preserve">            4.4.2.6.5.00.00 - Juros e Encargos de Mora de Empréstimos e 
            Financiamentos Obtidos - Inter OFSS - Municipio </t>
  </si>
  <si>
    <t xml:space="preserve">          4.4.2.9.0.00.00 - Outros Juros e Encargos de Mora </t>
  </si>
  <si>
    <t xml:space="preserve">            4.4.2.9.1.00.00 - Outros Juros e Encargos de Mora - Consolidação </t>
  </si>
  <si>
    <t xml:space="preserve">            4.4.2.9.2.00.00 - Outros Juros e Encargos de Mora - Intra OFSS </t>
  </si>
  <si>
    <t xml:space="preserve">            4.4.2.9.3.00.00 - Outros Juros e Encargos de Mora - Inter OFSS - União </t>
  </si>
  <si>
    <t xml:space="preserve">            4.4.2.9.4.00.00 - Outros Juros e Encargos de Mora - Inter OFSS - 
            Estado </t>
  </si>
  <si>
    <t xml:space="preserve">            4.4.2.9.5.00.00 - Outros Juros e Encargos de Mora - Inter OFSS - 
            Município </t>
  </si>
  <si>
    <t xml:space="preserve">        4.4.3.0.0.00.00 - Variações Monetárias e Cambiais </t>
  </si>
  <si>
    <t xml:space="preserve">          4.4.3.1.0.00.00 - Variações Monetárias e Cambiais de Empréstimos 
          Internos Concedidos </t>
  </si>
  <si>
    <t xml:space="preserve">            4.4.3.1.1.00.00 - Variações Monetárias e Cambiais de Empréstimos 
            Internos Concedidos - Consolidação </t>
  </si>
  <si>
    <t xml:space="preserve">            4.4.3.1.2.00.00 - Variações Monetárias e Cambiais de Empréstimos 
            Internos Concedidos - Intra OFSS </t>
  </si>
  <si>
    <t xml:space="preserve">            4.4.3.1.3.00.00 - Variações Monetárias e Cambiais de Empréstimos 
            Internos Concedidos - Inter OFSS - União </t>
  </si>
  <si>
    <t xml:space="preserve">            4.4.3.1.4.00.00 - Variações Monetárias e Cambiais de Empréstimos 
            Internos Concedidos - Inter OFSS - Estado </t>
  </si>
  <si>
    <t xml:space="preserve">            4.4.3.1.5.00.00 - Variações Monetárias e Cambiais de Empréstimos 
            Internos Concedidos - Inter OFSS - Município </t>
  </si>
  <si>
    <t xml:space="preserve">          4.4.3.2.0.00.00 - Variações Monetárias e Cambiais de Empréstimos 
          Externos Concedidos </t>
  </si>
  <si>
    <t xml:space="preserve">            4.4.3.2.1.00.00 - Variações Monetárias e Cambiais de Empréstimos 
            Externos Concedidos - Consolidação </t>
  </si>
  <si>
    <t xml:space="preserve">          4.4.3.3.0.00.00 - Variações Monetárias e Cambiais de Financiamentos 
          Internos Concedidos </t>
  </si>
  <si>
    <t xml:space="preserve">            4.4.3.3.1.00.00 - Variações Monetárias e Cambiais de Financiamentos 
            Internos Concedidos - Consolidação </t>
  </si>
  <si>
    <t xml:space="preserve">            4.4.3.3.2.00.00 - Variações Monetárias e Cambiais de Financiamentos 
            Internos Concedidos - Intra OFSS </t>
  </si>
  <si>
    <t xml:space="preserve">            4.4.3.3.3.00.00 - Variações Monetárias e Cambiais de Financiamentos 
            Internos Concedidos - Inter OFSS - União </t>
  </si>
  <si>
    <t xml:space="preserve">            4.4.3.3.4.00.00 - Variações Monetárias e Cambiais de Financiamentos 
            Internos Concedidos - Inter OFSS - Estado </t>
  </si>
  <si>
    <t xml:space="preserve">            4.4.3.3.5.00.00 - Variações Monetárias e Cambiais de Financiamentos 
            Internos Concedidos - Inter OFSS - Município </t>
  </si>
  <si>
    <t xml:space="preserve">          4.4.3.4.0.00.00 - Variações Monetárias e Cambiais de Financiamentos 
          Externos Concedidos </t>
  </si>
  <si>
    <t xml:space="preserve">            4.4.3.4.1.00.00 - Variações Monetárias e Cambiais de Financiamentos 
            Externos Concedidos - Consolidação </t>
  </si>
  <si>
    <t xml:space="preserve">          4.4.3.5.0.00.00 - Variações Monetárias e Cambiais de Empréstimos e 
          Financiamentos Obtidos </t>
  </si>
  <si>
    <t xml:space="preserve">            4.4.3.5.1.00.00 - Variações Monetárias e Cambiais de Empréstimos e 
            Financiamentos Obtidos - Consolidação </t>
  </si>
  <si>
    <t xml:space="preserve">              4.4.3.5.1.01.00 - Variações Monetárias de Empréstimos e 
              Financiamentos Obtidos - Consolidação </t>
  </si>
  <si>
    <t xml:space="preserve">              4.4.3.5.1.02.00 - Variações Cambiais de Empréstimos e Financiamentos 
              Obtidos - Consolidação </t>
  </si>
  <si>
    <t xml:space="preserve">            4.4.3.5.2.00.00 - Variações Monetárias e Cambiais de Empréstimos e 
            Financiamentos Obtidos - Intra OFSS </t>
  </si>
  <si>
    <t xml:space="preserve">              4.4.3.5.2.01.00 - Variações Monetárias de Empréstimos e 
              Financiamentos Obtidos - Intra OFSS </t>
  </si>
  <si>
    <t xml:space="preserve">              4.4.3.5.2.02.00 - Variações Cambiais de Empréstimos e Financiamentos 
              Obtidos - Intra OFSS </t>
  </si>
  <si>
    <t xml:space="preserve">            4.4.3.5.3.00.00 - Variações Monetárias e Cambiais de Empréstimos e 
            Financiamentos Obtidos - Inter OFSS - União </t>
  </si>
  <si>
    <t xml:space="preserve">              4.4.3.5.3.01.00 - Variações Monetárias de Empréstimos e 
              Financiamentos Obtidos - Inter OFSS - União </t>
  </si>
  <si>
    <t xml:space="preserve">              4.4.3.5.3.02.00 - Variações Cambiais de Empréstimos e Financiamentos 
              Obtidos - Inter OFSS - União </t>
  </si>
  <si>
    <t xml:space="preserve">            4.4.3.5.4.00.00 - Variações Monetárias e Cambiais de Empréstimos e 
            Financiamentos Obtidos - Inter OFSS - Estado </t>
  </si>
  <si>
    <t xml:space="preserve">              4.4.3.5.4.01.00 - Variações Monetárias de Empréstimos e 
              Financiamentos Obtidos - Inter OFSS - Estado </t>
  </si>
  <si>
    <t xml:space="preserve">              4.4.3.5.4.02.00 - Variações Cambiais de Empréstimos e Financiamentos 
              Obtidos - Inter OFSS - Estado </t>
  </si>
  <si>
    <t xml:space="preserve">            4.4.3.5.5.00.00 - Variações Monetárias e Cambiais de Empréstimos e 
            Financiamentos Obtidos - Inter OFSS - Municipio </t>
  </si>
  <si>
    <t xml:space="preserve">              4.4.3.5.5.01.00 - Variações Monetárias de Empréstimos e 
              Financiamentos Obtidos - Inter OFSS - Municipio </t>
  </si>
  <si>
    <t xml:space="preserve">              4.4.3.5.5.02.00 - Variações Cambiais de Empréstimos e Financiamentos 
              Obtidos - Inter OFSS - Municipio </t>
  </si>
  <si>
    <t xml:space="preserve">          4.4.3.9.0.00.00 - Outras Variações Monetárias e Cambiais </t>
  </si>
  <si>
    <t xml:space="preserve">            4.4.3.9.1.00.00 - Outras Variações Monetárias e Cambiais - 
            Consolidação </t>
  </si>
  <si>
    <t xml:space="preserve">            4.4.3.9.2.00.00 - Outras Variações Monetárias e Cambiais - Intra OFSS </t>
  </si>
  <si>
    <t xml:space="preserve">            4.4.3.9.3.00.00 - Outras Variações Monetárias e Cambiais - Inter OFSS 
            - União </t>
  </si>
  <si>
    <t xml:space="preserve">            4.4.3.9.4.00.00 - Outras Variações Monetárias e Cambiais - Inter OFSS 
            - Estado </t>
  </si>
  <si>
    <t xml:space="preserve">            4.4.3.9.5.00.00 - Outras Variações Monetárias e Cambiais - Inter OFSS 
            - Município </t>
  </si>
  <si>
    <t xml:space="preserve">        4.4.4.0.0.00.00 - Descontos Financeiros Obtidos </t>
  </si>
  <si>
    <t xml:space="preserve">          4.4.4.1.0.00.00 - Descontos Financeiros Obtidos </t>
  </si>
  <si>
    <t xml:space="preserve">            4.4.4.1.1.00.00 - Descontos Financeiros Obtidos - Consolidação </t>
  </si>
  <si>
    <t xml:space="preserve">            4.4.4.1.2.00.00 - Descontos Financeiros Obtidos - Intra OFSS </t>
  </si>
  <si>
    <t xml:space="preserve">            4.4.4.1.3.00.00 - Descontos Financeiros Obtidos - Inter OFSS - União </t>
  </si>
  <si>
    <t xml:space="preserve">            4.4.4.1.4.00.00 - Descontos Financeiros Obtidos - Inter OFSS - Estado </t>
  </si>
  <si>
    <t xml:space="preserve">            4.4.4.1.5.00.00 - Descontos Financeiros Obtidos - Inter OFSS - 
            Município </t>
  </si>
  <si>
    <t xml:space="preserve">        4.4.5.0.0.00.00 - Remuneração de Depósitos Bancários e Aplicações 
        Financeiras </t>
  </si>
  <si>
    <t xml:space="preserve">          4.4.5.1.0.00.00 - Remuneração de Depósitos Bancários </t>
  </si>
  <si>
    <t xml:space="preserve">            4.4.5.1.1.00.00 - Remuneração de Depósitos Bancários - Consolidação </t>
  </si>
  <si>
    <t xml:space="preserve">          4.4.5.2.0.00.00 - Remuneração de Aplicações Financeiras </t>
  </si>
  <si>
    <t xml:space="preserve">            4.4.5.2.1.00.00 - Remuneração de Aplicações Financeiras - Consolidação </t>
  </si>
  <si>
    <t xml:space="preserve">            4.4.5.2.2.00.00 - Remuneração de Aplicações Financeiras - Intra OFSS </t>
  </si>
  <si>
    <t xml:space="preserve">        4.4.6.0.0.00.00 - Juros e Encargos de Empréstimos e Financiamentos 
        Obtidos </t>
  </si>
  <si>
    <t xml:space="preserve">          4.4.6.1.0.00.00 - Juros e Encargos de Empréstimos Obtidos </t>
  </si>
  <si>
    <t xml:space="preserve">            4.4.6.1.1.00.00 - Juros e Encargos de Empréstimos Obtidos - 
            Consolidação </t>
  </si>
  <si>
    <t xml:space="preserve">            4.4.6.1.2.00.00 - Juros e Encargos de Empréstimos Obtidos - Intra - 
            OFSS </t>
  </si>
  <si>
    <t xml:space="preserve">            4.4.6.1.3.00.00 - Juros e Encargos de Empréstimos Obtidos - Inter OFSS 
            - União </t>
  </si>
  <si>
    <t xml:space="preserve">            4.4.6.1.4.00.00 - Juros e Encargos de Empréstimos Obtidos - Inter OFSS 
            - Estado </t>
  </si>
  <si>
    <t xml:space="preserve">            4.4.6.1.5.00.00 - Juros e Encargos de Empréstimos Obtidos - Inter OFSS 
            - Município </t>
  </si>
  <si>
    <t xml:space="preserve">          4.4.6.2.0.00.00 - Juros e Encargos de Financiamentos Obtidos </t>
  </si>
  <si>
    <t xml:space="preserve">            4.4.6.2.1.00.00 - Juros e Encargos de Financiamentos Obtidos - 
            Consolidação </t>
  </si>
  <si>
    <t xml:space="preserve">            4.4.6.2.2.00.00 - Juros e Encargos de Financiamentos Obtidos - Intra - 
            OFSS </t>
  </si>
  <si>
    <t xml:space="preserve">            4.4.6.2.3.00.00 - Juros e Encargos de Financiamentos Obtidos - Inter 
            OFSS - União </t>
  </si>
  <si>
    <t xml:space="preserve">            4.4.6.2.4.00.00 - Juros e Encargos de Financiamentos Obtidos - Inter 
            OFSS - Estado </t>
  </si>
  <si>
    <t xml:space="preserve">            4.4.6.2.5.00.00 - Juros e Encargos de Financiamentos Obtidos - Inter 
            OFSS - Município </t>
  </si>
  <si>
    <t xml:space="preserve">        4.4.8.0.0.00.00 - Aportes do Banco Central </t>
  </si>
  <si>
    <t xml:space="preserve">          4.4.8.1.0.00.00 - Resultado Positivo do Banco Central </t>
  </si>
  <si>
    <t xml:space="preserve">            4.4.8.1.1.00.00 - Resultado Positivo do Banco Central - Consolidação </t>
  </si>
  <si>
    <t xml:space="preserve">        4.4.9.0.0.00.00 - Outras Variações Patrimoniais Aumentativas – 
        Financeiras </t>
  </si>
  <si>
    <t xml:space="preserve">          4.4.9.1.0.00.00 - Outras Variações Patrimoniais Aumentativas – 
          Financeiras </t>
  </si>
  <si>
    <t xml:space="preserve">            4.4.9.1.1.00.00 - Outras Variações Patrimoniais Aumentativas – 
            Financeiras - Consolidação </t>
  </si>
  <si>
    <t xml:space="preserve">            4.4.9.1.2.00.00 - Outras Variações Patrimoniais Aumentativas – 
            Financeiras - Intra OFSS </t>
  </si>
  <si>
    <t xml:space="preserve">            4.4.9.1.3.00.00 - Outras Variações Patrimoniais Aumentativas – 
            Financeiras - Inter OFSS - União </t>
  </si>
  <si>
    <t xml:space="preserve">            4.4.9.1.4.00.00 - Outras Variações Patrimoniais Aumentativas – 
            Financeiras - Inter OFSS - Estado </t>
  </si>
  <si>
    <t xml:space="preserve">            4.4.9.1.5.00.00 - Outras Variações Patrimoniais Aumentativas – 
            Financeiras - Inter OFSS - Município </t>
  </si>
  <si>
    <t xml:space="preserve">      4.5.0.0.0.00.00 - Transferências e Delegações Recebidas </t>
  </si>
  <si>
    <t xml:space="preserve">        4.5.1.0.0.00.00 - Transferências Intragovernamentais </t>
  </si>
  <si>
    <t xml:space="preserve">          4.5.1.1.0.00.00 - Transferências Recebidas para a Execução Orçamentária </t>
  </si>
  <si>
    <t xml:space="preserve">            4.5.1.1.2.00.00 - Transferências Recebidas para a Execução 
            Orçamentária - Intra OFSS </t>
  </si>
  <si>
    <t xml:space="preserve">          4.5.1.2.0.00.00 - Transferências Recebidas Independentes de Execução 
          Orçamentária </t>
  </si>
  <si>
    <t xml:space="preserve">            4.5.1.2.2.00.00 - Transferências Recebidas Independentes de Execução 
            Orçamentária - Intra OFSS </t>
  </si>
  <si>
    <t xml:space="preserve">          4.5.1.3.0.00.00 - Transferências Recebidas para Aportes de Recursos 
          para o RPPS </t>
  </si>
  <si>
    <t xml:space="preserve">            4.5.1.3.2.00.00 - Transferências Recebidas para Aportes de Recursos 
            para o RPPS – Intra OFSS </t>
  </si>
  <si>
    <t xml:space="preserve">          4.5.1.4.0.00.00 - Transferências Recebidas para Aportes de Recursos 
          para o RGPS </t>
  </si>
  <si>
    <t xml:space="preserve">            4.5.1.4.2.00.00 - Transferências Recebidas para Aportes de Recursos 
            para o RGPS – Intra OFSS </t>
  </si>
  <si>
    <t xml:space="preserve">          4.5.1.5.0.00.00 - Transferências Recebidas para o Sistema de Proteção 
          Social dos Militares (SPSM) </t>
  </si>
  <si>
    <t xml:space="preserve">            4.5.1.5.2.00.00 - Transferências Recebidas para o Sistema de Proteção 
            Social dos Militares (SPSM) - Intra OFSS </t>
  </si>
  <si>
    <t xml:space="preserve">        4.5.2.0.0.00.00 - Transferências Intergovernamentais </t>
  </si>
  <si>
    <t xml:space="preserve">          4.5.2.1.0.00.00 - Transferências Constitucionais e Legais de Receitas </t>
  </si>
  <si>
    <t xml:space="preserve">            4.5.2.1.1.00.00 - Transferências Constitucionais e Legais de Receitas 
            - Consolidação </t>
  </si>
  <si>
    <t xml:space="preserve">            4.5.2.1.3.00.00 - Transferências Constitucionais e Legais de Receitas 
            - Inter OFSS – União </t>
  </si>
  <si>
    <t xml:space="preserve">            4.5.2.1.4.00.00 - Transferências Constitucionais e Legais de Receitas 
            - Inter OFSS - Estado </t>
  </si>
  <si>
    <t xml:space="preserve">          4.5.2.2.0.00.00 - Transferências do FUNDEB </t>
  </si>
  <si>
    <t xml:space="preserve">            4.5.2.2.3.00.00 - Transferências do FUNDEB - Inter OFSS - União </t>
  </si>
  <si>
    <t xml:space="preserve">            4.5.2.2.4.00.00 - Transferências do FUNDEB - Inter OFSS - Estado </t>
  </si>
  <si>
    <t xml:space="preserve">          4.5.2.3.0.00.00 - Transferências Voluntárias </t>
  </si>
  <si>
    <t xml:space="preserve">            4.5.2.3.1.00.00 - Transferências Voluntárias - Consolidação </t>
  </si>
  <si>
    <t xml:space="preserve">            4.5.2.3.3.00.00 - Transferências Voluntárias – Inter OFSS - União </t>
  </si>
  <si>
    <t xml:space="preserve">            4.5.2.3.4.00.00 - Transferências Voluntárias – Inter OFSS - Estado </t>
  </si>
  <si>
    <t xml:space="preserve">            4.5.2.3.5.00.00 - Transferências Voluntárias - Inter OFSS - Município </t>
  </si>
  <si>
    <t xml:space="preserve">          4.5.2.4.0.00.00 - Outras Transferências </t>
  </si>
  <si>
    <t xml:space="preserve">            4.5.2.4.1.00.00 - Outras Transferências - Consolidação </t>
  </si>
  <si>
    <t xml:space="preserve">            4.5.2.4.3.00.00 - Outras Transferências – Inter OFSS - União </t>
  </si>
  <si>
    <t xml:space="preserve">            4.5.2.4.4.00.00 - Outras Transferências – Inter OFSS - Estado </t>
  </si>
  <si>
    <t xml:space="preserve">            4.5.2.4.5.00.00 - Outras Transferências – Inter OFSS - Município </t>
  </si>
  <si>
    <t xml:space="preserve">        4.5.3.0.0.00.00 - Transferências das Instituições Privadas </t>
  </si>
  <si>
    <t xml:space="preserve">          4.5.3.1.0.00.00 - Transferências das Instituições Privadas sem Fins 
          Lucrativos </t>
  </si>
  <si>
    <t xml:space="preserve">            4.5.3.1.1.00.00 - Transferências das Instituições Privadas sem Fins 
            Lucrativos - Consolidação </t>
  </si>
  <si>
    <t xml:space="preserve">          4.5.3.2.0.00.00 - Transferências das Instituições Privadas com Fins 
          Lucrativos </t>
  </si>
  <si>
    <t xml:space="preserve">            4.5.3.2.1.00.00 - Transferências das Instituições Privadas com Fins 
            Lucrativos - Consolidação </t>
  </si>
  <si>
    <t xml:space="preserve">        4.5.4.0.0.00.00 - Transferências das Instituições Multigovernamentais </t>
  </si>
  <si>
    <t xml:space="preserve">          4.5.4.1.0.00.00 - Transferências das Instituições Multigovernamentais </t>
  </si>
  <si>
    <t xml:space="preserve">            4.5.4.1.1.00.00 - Transferências das Instituições Multigovernamentais 
            - Consolidação </t>
  </si>
  <si>
    <t xml:space="preserve">        4.5.5.0.0.00.00 - Transferências de Consórcios Públicos </t>
  </si>
  <si>
    <t xml:space="preserve">          4.5.5.1.0.00.00 - Transferências de Consórcios Públicos </t>
  </si>
  <si>
    <t xml:space="preserve">            4.5.5.1.1.00.00 - Transferências de Consórcios Públicos - Consolidação </t>
  </si>
  <si>
    <t xml:space="preserve">        4.5.6.0.0.00.00 - Transferências do Exterior </t>
  </si>
  <si>
    <t xml:space="preserve">          4.5.6.1.0.00.00 - Transferências do Exterior </t>
  </si>
  <si>
    <t xml:space="preserve">            4.5.6.1.1.00.00 - Transferências do Exterior - Consolidação </t>
  </si>
  <si>
    <t xml:space="preserve">        4.5.7.0.0.00.00 - Execução Orçamentária Delegada </t>
  </si>
  <si>
    <t xml:space="preserve">          4.5.7.1.0.00.00 - Execução Orçamentária Delegada de Entes </t>
  </si>
  <si>
    <t xml:space="preserve">            4.5.7.1.3.00.00 - Execução Orçamentária Delegada de Entes – Inter OFSS 
            - União </t>
  </si>
  <si>
    <t xml:space="preserve">            4.5.7.1.4.00.00 - Execução Orçamentária Delegada de Entes – Inter OFSS 
            - Estado </t>
  </si>
  <si>
    <t xml:space="preserve">            4.5.7.1.5.00.00 - Execução Orçamentária Delegada de Entes – Inter OFSS 
            - Município </t>
  </si>
  <si>
    <t xml:space="preserve">          4.5.7.2.0.00.00 - Execução Orçamentária Delegada de Consórcios </t>
  </si>
  <si>
    <t xml:space="preserve">            4.5.7.2.1.00.00 - Execução Orçamentária Delegada de Consórcios - 
            Consolidação </t>
  </si>
  <si>
    <t xml:space="preserve">        4.5.8.0.0.00.00 - Transferências de Pessoas Físicas </t>
  </si>
  <si>
    <t xml:space="preserve">          4.5.8.1.0.00.00 - Transferências de Pessoas Físicas </t>
  </si>
  <si>
    <t xml:space="preserve">            4.5.8.1.1.00.00 - Transferências de Pessoas Físicas - Consolidação </t>
  </si>
  <si>
    <t xml:space="preserve">        4.5.9.0.0.00.00 - Outras Transferências e Delegações Recebidas </t>
  </si>
  <si>
    <t xml:space="preserve">          4.5.9.1.0.00.00 - Outras Transferências e Delegações Recebidas </t>
  </si>
  <si>
    <t xml:space="preserve">            4.5.9.1.1.00.00 - Outras Transferências e Delegações Recebidas - 
            Consolidação </t>
  </si>
  <si>
    <t xml:space="preserve">            4.5.9.1.2.00.00 - Outras Transferências e Delegações Recebidas - Intra 
            OFSS </t>
  </si>
  <si>
    <t xml:space="preserve">            4.5.9.1.3.00.00 - Outras Transferências e Delegações Recebidas - Inter 
            OFSS - União </t>
  </si>
  <si>
    <t xml:space="preserve">            4.5.9.1.4.00.00 - Outras Transferências e Delegações Recebidas - Inter 
            OFSS - Estado </t>
  </si>
  <si>
    <t xml:space="preserve">            4.5.9.1.5.00.00 - Outras Transferências e Delegações Recebidas - Inter 
            OFSS - Município </t>
  </si>
  <si>
    <t xml:space="preserve">      4.6.0.0.0.00.00 - Valorização e Ganhos com Ativos e Desincorporação de 
      Passivos </t>
  </si>
  <si>
    <t xml:space="preserve">        4.6.1.0.0.00.00 - Reavaliação de Ativos </t>
  </si>
  <si>
    <t xml:space="preserve">          4.6.1.1.0.00.00 - Reavaliação de Imobilizado </t>
  </si>
  <si>
    <t xml:space="preserve">            4.6.1.1.1.00.00 - Reavaliação de Imobilizado - Consolidação </t>
  </si>
  <si>
    <t xml:space="preserve">          4.6.1.2.0.00.00 - Reavaliação de Intangíveis </t>
  </si>
  <si>
    <t xml:space="preserve">            4.6.1.2.1.00.00 - Reavaliação de Intangíveis - Consolidação </t>
  </si>
  <si>
    <t xml:space="preserve">          4.6.1.7.0.00.00 - Variação Patrimonial Aumentativa com Ajuste de Ganhos 
          de Créditos e de Investimentos e Aplicações Temporários </t>
  </si>
  <si>
    <t xml:space="preserve">            4.6.1.7.1.00.00 - Variação Patrimonial Aumentativa com Ajuste de 
            Ganhos de Créditos e de Investimentos e Aplicações Temporários - 
            Consolidação </t>
  </si>
  <si>
    <t xml:space="preserve">          4.6.1.9.0.00.00 - Reavaliação de Outros Ativos </t>
  </si>
  <si>
    <t xml:space="preserve">            4.6.1.9.1.00.00 - Reavaliação de Outros Ativos - Consolidação </t>
  </si>
  <si>
    <t xml:space="preserve">        4.6.2.0.0.00.00 - Ganhos com Alienação </t>
  </si>
  <si>
    <t xml:space="preserve">          4.6.2.1.0.00.00 - Ganhos com Alienação de Investimentos </t>
  </si>
  <si>
    <t xml:space="preserve">            4.6.2.1.1.00.00 - Ganhos com Alienação de Investimentos - Consolidação </t>
  </si>
  <si>
    <t xml:space="preserve">            4.6.2.1.2.00.00 - Ganhos com Alienação de Investimentos - Intra OFSS </t>
  </si>
  <si>
    <t xml:space="preserve">          4.6.2.2.0.00.00 - Ganhos com Alienação de Imobilizado </t>
  </si>
  <si>
    <t xml:space="preserve">            4.6.2.2.1.00.00 - Ganhos com Alienação de Imobilizado - Consolidação </t>
  </si>
  <si>
    <t xml:space="preserve">          4.6.2.3.0.00.00 - Ganhos com Alienação de Intangíveis </t>
  </si>
  <si>
    <t xml:space="preserve">            4.6.2.3.1.00.00 - Ganhos com Alienação de Intangíveis - Consolidação </t>
  </si>
  <si>
    <t xml:space="preserve">          4.6.2.9.0.00.00 - Ganhos com Alienação de Demais Ativos </t>
  </si>
  <si>
    <t xml:space="preserve">            4.6.2.9.1.00.00 - Ganhos com Alienação de Demais Ativos - Consolidação </t>
  </si>
  <si>
    <t xml:space="preserve">        4.6.3.0.0.00.00 - Ganhos com Incorporação de Ativos </t>
  </si>
  <si>
    <t xml:space="preserve">          4.6.3.1.0.00.00 - Ganhos com Incorporação de Ativos por Descobertas </t>
  </si>
  <si>
    <t xml:space="preserve">            4.6.3.1.1.00.00 - Ganhos com Incorporação de Ativos por Descobertas - 
            Consolidação </t>
  </si>
  <si>
    <t xml:space="preserve">          4.6.3.2.0.00.00 - Ganhos com Incorporação de Ativos por Nascimentos </t>
  </si>
  <si>
    <t xml:space="preserve">            4.6.3.2.1.00.00 - Ganhos com Incorporação de Ativos por Nascimentos - 
            Consolidação </t>
  </si>
  <si>
    <t xml:space="preserve">          4.6.3.3.0.00.00 - Ganhos com Incorporação de Ativos Apreendidos </t>
  </si>
  <si>
    <t xml:space="preserve">            4.6.3.3.1.00.00 - Ganhos com Incorporação de Ativos Apreendidos - 
            Consolidação </t>
  </si>
  <si>
    <t xml:space="preserve">          4.6.3.4.0.00.00 - Ganhos com Incorporação de Ativos Por Produção </t>
  </si>
  <si>
    <t xml:space="preserve">            4.6.3.4.1.00.00 - Ganhos com Incorporação de Ativos Por Produção - 
            Consolidação </t>
  </si>
  <si>
    <t xml:space="preserve">          4.6.3.9.0.00.00 - Outros Ganhos com Incorporação de Ativos </t>
  </si>
  <si>
    <t xml:space="preserve">            4.6.3.9.1.00.00 - Outros Ganhos com Incorporação de Ativos - 
            Consolidação </t>
  </si>
  <si>
    <t xml:space="preserve">            4.6.3.9.2.00.00 - Outros Ganhos com Incorporação de Ativos - Intra 
            OFSS </t>
  </si>
  <si>
    <t xml:space="preserve">            4.6.3.9.3.00.00 - Outros Ganhos com Incorporação de Ativos - Inter 
            OFSS - União </t>
  </si>
  <si>
    <t xml:space="preserve">            4.6.3.9.4.00.00 - Outros Ganhos com Incorporação de Ativos - Inter 
            OFSS - Estado </t>
  </si>
  <si>
    <t xml:space="preserve">            4.6.3.9.5.00.00 - Outros Ganhos com Incorporação de Ativos - Inter 
            OFSS - Município </t>
  </si>
  <si>
    <t xml:space="preserve">        4.6.4.0.0.00.00 - Ganhos com Desincorporação de Passivos </t>
  </si>
  <si>
    <t xml:space="preserve">          4.6.4.1.0.00.00 - Ganhos com Desincorporação de Passivos </t>
  </si>
  <si>
    <t xml:space="preserve">            4.6.4.1.1.00.00 - Ganhos com Desincorporação de Passivos - 
            Consolidação </t>
  </si>
  <si>
    <t xml:space="preserve">            4.6.4.1.2.00.00 - Ganhos com Desincorporação de Passivos - Intra OFSS </t>
  </si>
  <si>
    <t xml:space="preserve">            4.6.4.1.3.00.00 - Ganhos com Desincorporação de Passivos - Inter OFSS 
            - União </t>
  </si>
  <si>
    <t xml:space="preserve">            4.6.4.1.4.00.00 - Ganhos com Desincorporação de Passivos - Inter OFSS 
            - Estado </t>
  </si>
  <si>
    <t xml:space="preserve">            4.6.4.1.5.00.00 - Ganhos com Desincorporação de Passivos - Inter OFSS 
            - Município </t>
  </si>
  <si>
    <t xml:space="preserve">        4.6.5.0.0.00.00 - Reversão de Redução a Valor Recuperável </t>
  </si>
  <si>
    <t xml:space="preserve">          4.6.5.1.0.00.00 - Reversão de Redução a Valor Recuperável de 
          Investimentos </t>
  </si>
  <si>
    <t xml:space="preserve">            4.6.5.1.1.00.00 - Reversão de Redução a Valor Recuperável de 
            Investimentos - Consolidação </t>
  </si>
  <si>
    <t xml:space="preserve">            4.6.5.1.2.00.00 - Reversão de Redução a Valor Recuperável de 
            Investimentos - Intra OFSS </t>
  </si>
  <si>
    <t xml:space="preserve">            4.6.5.1.3.00.00 - Reversão de Redução a Valor Recuperável de 
            Investimentos - Inter OFSS - União </t>
  </si>
  <si>
    <t xml:space="preserve">            4.6.5.1.4.00.00 - Reversão de Redução a Valor Recuperável de 
            Investimentos - Inter OFSS - Estado </t>
  </si>
  <si>
    <t xml:space="preserve">            4.6.5.1.5.00.00 - Reversão de Redução a Valor Recuperável de 
            Investimentos - Inter OFSS - Município </t>
  </si>
  <si>
    <t xml:space="preserve">          4.6.5.2.0.00.00 - Reversão de Redução a Valor Recuperável de 
          Imobilizado </t>
  </si>
  <si>
    <t xml:space="preserve">            4.6.5.2.1.00.00 - Reversão de Redução a Valor Recuperável de 
            Imobilizado - Consolidação </t>
  </si>
  <si>
    <t xml:space="preserve">          4.6.5.3.0.00.00 - Reversão de Redução a Valor Recuperável de 
          Intangíveis </t>
  </si>
  <si>
    <t xml:space="preserve">            4.6.5.3.1.00.00 - Reversão de Redução a Valor Recuperável de 
            Intangíveis - Consolidação </t>
  </si>
  <si>
    <t xml:space="preserve">        4.6.6.0.0.00.00 - Reversão de Reavaliação </t>
  </si>
  <si>
    <t xml:space="preserve">          4.6.6.1.0.00.00 - Reversão de Reavaliação de Imobilizado </t>
  </si>
  <si>
    <t xml:space="preserve">            4.6.6.1.1.00.00 - Reversão de Reavaliação de Imobilizado – 
            Consolidação </t>
  </si>
  <si>
    <t xml:space="preserve">      4.9.0.0.0.00.00 - Outras Variações Patrimoniais Aumentativas </t>
  </si>
  <si>
    <t xml:space="preserve">        4.9.1.0.0.00.00 - Variação Patrimonial Aumentativa a Classificar </t>
  </si>
  <si>
    <t xml:space="preserve">          4.9.1.1.0.00.00 - Variação Patrimonial Aumentativa a Classificar </t>
  </si>
  <si>
    <t xml:space="preserve">            4.9.1.1.1.00.00 - Variação Patrimonial Aumentativa a Classificar - 
            Consolidação </t>
  </si>
  <si>
    <t xml:space="preserve">            4.9.1.1.2.00.00 - Variação Patrimonial Aumentativa a Classificar - 
            Intra OFSS </t>
  </si>
  <si>
    <t xml:space="preserve">            4.9.1.1.3.00.00 - Variação Patrimonial Aumentativa a Classificar - 
            Inter OFSS - União </t>
  </si>
  <si>
    <t xml:space="preserve">            4.9.1.1.4.00.00 - Variação Patrimonial Aumentativa a Classificar - 
            Inter OFSS - Estado </t>
  </si>
  <si>
    <t xml:space="preserve">            4.9.1.1.5.00.00 - Variação Patrimonial Aumentativa a Classificar - 
            Inter OFSS - Município </t>
  </si>
  <si>
    <t xml:space="preserve">          4.9.2.0.0.00.00 - Resultado Positivo de Participações </t>
  </si>
  <si>
    <t xml:space="preserve">            4.9.2.1.0.00.00 - Resultado Positivo de Equivalência Patrimonial </t>
  </si>
  <si>
    <t xml:space="preserve">              4.9.2.1.1.00.00 - Resultado Positivo de Equivalência Patrimonial - 
              Consolidação </t>
  </si>
  <si>
    <t xml:space="preserve">              4.9.2.1.2.00.00 - Resultado Positivo de Equivalência Patrimonial - 
              Intra OFSS </t>
  </si>
  <si>
    <t xml:space="preserve">              4.9.2.1.3.00.00 - Resultado Positivo de Equivalência Patrimonial - 
              Inter OFSS - União </t>
  </si>
  <si>
    <t xml:space="preserve">              4.9.2.1.4.00.00 - Resultado Positivo de Equivalência Patrimonial - 
              Inter OFSS - Estado </t>
  </si>
  <si>
    <t xml:space="preserve">              4.9.2.1.5.00.00 - Resultado Positivo de Equivalência Patrimonial - 
              Inter OFSS - Município </t>
  </si>
  <si>
    <t xml:space="preserve">            4.9.2.2.0.00.00 - Dividendos e Rendimentos de Outros Investimentos </t>
  </si>
  <si>
    <t xml:space="preserve">              4.9.2.2.1.00.00 - Dividendos e Rendimentos de Outros Investimentos - 
              Consolidação </t>
  </si>
  <si>
    <t xml:space="preserve">              4.9.2.2.2.00.00 - Dividendos e Rendimentos de Outros Investimentos - 
              Intra OFSS </t>
  </si>
  <si>
    <t xml:space="preserve">              4.9.2.2.3.00.00 - Dividendos e Rendimentos de Outros Investimentos - 
              Inter OFSS - União </t>
  </si>
  <si>
    <t xml:space="preserve">              4.9.2.2.4.00.00 - Dividendos e Rendimentos de Outros Investimentos - 
              Inter OFSS - Estado </t>
  </si>
  <si>
    <t xml:space="preserve">              4.9.2.2.5.00.00 - Dividendos e Rendimentos de Outros Investimentos - 
              Inter OFSS - Município </t>
  </si>
  <si>
    <t xml:space="preserve">          4.9.3.0.0.00.00 - Operações da Autoridade Monetária </t>
  </si>
  <si>
    <t xml:space="preserve">            4.9.3.1.0.00.00 - Juros </t>
  </si>
  <si>
    <t xml:space="preserve">              4.9.3.1.1.00.00 - Juros - Consolidação </t>
  </si>
  <si>
    <t xml:space="preserve">            4.9.3.2.0.00.00 - Posição de Negociação </t>
  </si>
  <si>
    <t xml:space="preserve">              4.9.3.2.1.00.00 - Posição de Negociação - Consolidação </t>
  </si>
  <si>
    <t xml:space="preserve">            4.9.3.3.0.00.00 - Posição de Investimentos </t>
  </si>
  <si>
    <t xml:space="preserve">              4.9.3.3.1.00.00 - Posição de Investimentos - Consolidação </t>
  </si>
  <si>
    <t xml:space="preserve">            4.9.3.4.0.00.00 - Correção Cambial </t>
  </si>
  <si>
    <t xml:space="preserve">              4.9.3.4.1.00.00 - Correção Cambial - Consolidação </t>
  </si>
  <si>
    <t xml:space="preserve">            4.9.3.9.0.00.00 - Outras VPD de Operações da Autoridade Monetária </t>
  </si>
  <si>
    <t xml:space="preserve">              4.9.3.9.1.00.00 - Outras VPD de Operações da Autoridade Monetária - 
              Consolidação </t>
  </si>
  <si>
    <t xml:space="preserve">          4.9.5.0.0.00.00 - Subvenções Econômicas </t>
  </si>
  <si>
    <t xml:space="preserve">            4.9.5.1.0.00.00 - Subvenções Econômicas </t>
  </si>
  <si>
    <t xml:space="preserve">              4.9.5.1.1.00.00 - Subvenções Econômicas - Consolidação </t>
  </si>
  <si>
    <t xml:space="preserve">              4.9.5.1.2.00.00 - Subvenções Econômicas - Intra OFSS </t>
  </si>
  <si>
    <t xml:space="preserve">              4.9.5.1.3.00.00 - Subvenções Econômicas - Inter OFSS - União </t>
  </si>
  <si>
    <t xml:space="preserve">              4.9.5.1.4.00.00 - Subvenções Econômicas - Inter OFSS - Estado </t>
  </si>
  <si>
    <t xml:space="preserve">              4.9.5.1.5.00.00 - Subvenções Econômicas - Inter OFSS - Município </t>
  </si>
  <si>
    <t xml:space="preserve">          4.9.7.0.0.00.00 - Reversão de Provisões e Ajustes de Perdas </t>
  </si>
  <si>
    <t xml:space="preserve">            4.9.7.1.0.00.00 - Reversão de Provisões </t>
  </si>
  <si>
    <t xml:space="preserve">              4.9.7.1.1.00.00 - Reversão de Provisões – Consolidação </t>
  </si>
  <si>
    <t xml:space="preserve">              4.9.7.1.2.00.00 - Reversão de Provisões – Intra OFSS </t>
  </si>
  <si>
    <t xml:space="preserve">              4.9.7.1.3.00.00 - Reversão de Provisões – Inter OFSS - União </t>
  </si>
  <si>
    <t xml:space="preserve">              4.9.7.1.4.00.00 - Reversão de Provisões – Inter OFSS - Estados </t>
  </si>
  <si>
    <t xml:space="preserve">              4.9.7.1.5.00.00 - Reversão de Provisões – Inter OFSS - Municípios </t>
  </si>
  <si>
    <t xml:space="preserve">            4.9.7.2.0.00.00 - Reversão de Ajustes de Perdas </t>
  </si>
  <si>
    <t xml:space="preserve">              4.9.7.2.1.00.00 - Reversão de Ajustes de Perdas – Consolidação </t>
  </si>
  <si>
    <t xml:space="preserve">              4.9.7.2.2.00.00 - Reversão de Ajustes de Perdas - Intra OFSS </t>
  </si>
  <si>
    <t xml:space="preserve">              4.9.7.2.3.00.00 - Reversão de Ajustes de Perdas –Inter OFSS – União </t>
  </si>
  <si>
    <t xml:space="preserve">              4.9.7.2.4.00.00 - Reversão de Ajustes de Perdas –Inter OFSS – Estado </t>
  </si>
  <si>
    <t xml:space="preserve">              4.9.7.2.5.00.00 - Reversão de Ajustes de Perdas –Inter OFSS - 
              Município </t>
  </si>
  <si>
    <t xml:space="preserve">          4.9.9.0.0.00.00 - Diversas Variações Patrimoniais Aumentativas </t>
  </si>
  <si>
    <t xml:space="preserve">            4.9.9.1.0.00.00 - Compensação Financeira entre RGPS e RPPS/SPSM </t>
  </si>
  <si>
    <t xml:space="preserve">              4.9.9.1.2.00.00 - Compensação Financeira entre RGPS e RPPS/SPSM - 
              Intra OFSS </t>
  </si>
  <si>
    <t xml:space="preserve">              4.9.9.1.3.00.00 - Compensação Financeira entre RGPS e RPPS/SPSM - 
              Inter OFSS - União </t>
  </si>
  <si>
    <t xml:space="preserve">              4.9.9.1.4.00.00 - Compensação Financeira entre RGPS e RPPS/SPSM - 
              Inter OFSS - Estado </t>
  </si>
  <si>
    <t xml:space="preserve">              4.9.9.1.5.00.00 - Compensação Financeira entre RGPS e RPPS/SPSM - 
              Inter OFSS - Município </t>
  </si>
  <si>
    <t xml:space="preserve">            4.9.9.2.0.00.00 - Compensação Financeira entre Regimes Próprios </t>
  </si>
  <si>
    <t xml:space="preserve">              4.9.9.2.3.00.00 - Compensação Financeira entre Regimes Próprios - 
              Inter OFSS - União </t>
  </si>
  <si>
    <t xml:space="preserve">              4.9.9.2.4.00.00 - Compensação Financeira entre Regimes Próprios - 
              Inter OFSS - Estado </t>
  </si>
  <si>
    <t xml:space="preserve">              4.9.9.2.5.00.00 - Compensação Financeira entre Regimes Próprios - 
              Inter OFSS - Município </t>
  </si>
  <si>
    <t xml:space="preserve">            4.9.9.3.0.00.00 - Variação Patrimonial Aumentativa com Bonificações </t>
  </si>
  <si>
    <t xml:space="preserve">              4.9.9.3.1.00.00 - Variação Patrimonial Aumentativa com Bonificações - 
              Consolidação </t>
  </si>
  <si>
    <t xml:space="preserve">              4.9.9.3.2.00.00 - Variação Patrimonial Aumentativa com Bonificações - 
              Intra OFSS </t>
  </si>
  <si>
    <t xml:space="preserve">              4.9.9.3.3.00.00 - Variação Patrimonial Aumentativa com Bonificações - 
              Inter OFSS - União </t>
  </si>
  <si>
    <t xml:space="preserve">              4.9.9.3.4.00.00 - Variação Patrimonial Aumentativa com Bonificações - 
              Inter OFSS - Estado </t>
  </si>
  <si>
    <t xml:space="preserve">              4.9.9.3.5.00.00 - Variação Patrimonial Aumentativa com Bonificações - 
              Inter OFSS - Município </t>
  </si>
  <si>
    <t xml:space="preserve">            4.9.9.4.0.00.00 - Amortização de Deságio em Investimentos </t>
  </si>
  <si>
    <t xml:space="preserve">              4.9.9.4.1.00.00 - Amortização de Deságio em Investimentos - 
              Consolidação </t>
  </si>
  <si>
    <t xml:space="preserve">              4.9.9.4.2.00.00 - Amortização de Deságio em Investimentos - Intra 
              OFSS </t>
  </si>
  <si>
    <t xml:space="preserve">              4.9.9.4.3.00.00 - Amortização de Deságio em Investimentos - Inter 
              OFSS - União </t>
  </si>
  <si>
    <t xml:space="preserve">              4.9.9.4.4.00.00 - Amortização de Deságio em Investimentos - Inter 
              OFSS - Estado </t>
  </si>
  <si>
    <t xml:space="preserve">              4.9.9.4.5.00.00 - Amortização de Deságio em Investimentos - Inter 
              OFSS - Município </t>
  </si>
  <si>
    <t xml:space="preserve">            4.9.9.5.0.00.00 - Multas Administrativas, Contratuais e Judiciais </t>
  </si>
  <si>
    <t xml:space="preserve">              4.9.9.5.1.00.00 - Multas Administrativas, Contratuais e Judiciais - 
              Consolidação </t>
  </si>
  <si>
    <t xml:space="preserve">              4.9.9.5.2.00.00 - Multas Administrativas, Contratuais e Judiciais - 
              Intra OFSS </t>
  </si>
  <si>
    <t xml:space="preserve">              4.9.9.5.3.00.00 - Multas Administrativas, Contratuais e Judiciais - 
              Inter OFSS - União </t>
  </si>
  <si>
    <t xml:space="preserve">              4.9.9.5.4.00.00 - Multas Administrativas, Contratuais e Judiciais - 
              Inter OFSS - Estado </t>
  </si>
  <si>
    <t xml:space="preserve">              4.9.9.5.5.00.00 - Multas Administrativas, Contratuais e Judiciais - 
              Inter OFSS - Município </t>
  </si>
  <si>
    <t xml:space="preserve">            4.9.9.6.0.00.00 - Indenizações, Restituições e Ressarcimentos </t>
  </si>
  <si>
    <t xml:space="preserve">              4.9.9.6.1.00.00 - Indenizações, Restituições e Ressarcimentos - 
              Consolidação </t>
  </si>
  <si>
    <t xml:space="preserve">              4.9.9.6.2.00.00 - Indenizações, Restituições e Ressarcimentos - Intra 
              OFSS </t>
  </si>
  <si>
    <t xml:space="preserve">              4.9.9.6.3.00.00 - Indenizações, Restituições e Ressarcimentos - Inter 
              OFSS - União </t>
  </si>
  <si>
    <t xml:space="preserve">              4.9.9.6.4.00.00 - Indenizações, Restituições e Ressarcimentos - Inter 
              OFSS - Estado </t>
  </si>
  <si>
    <t xml:space="preserve">              4.9.9.6.5.00.00 - Indenizações, Restituições e Ressarcimentos - Inter 
              OFSS - Município </t>
  </si>
  <si>
    <t xml:space="preserve">            4.9.9.8.0.00.00 - Créditos para Amortização de Déficit Atuarial - 
            Fundo em Capitalização </t>
  </si>
  <si>
    <t xml:space="preserve">              4.9.9.8.2.00.00 - Créditos para Amortização de Déficit Atuarial - 
              Fundo em Capitalização - Intra OFSS </t>
  </si>
  <si>
    <t xml:space="preserve">            4.9.9.9.0.00.00 - Variações Patrimoniais Aumentativas Decorrentes de 
            Fatos Geradores Diversos </t>
  </si>
  <si>
    <t xml:space="preserve">              4.9.9.9.1.00.00 - Variações Patrimoniais Aumentativas Decorrentes de 
              Fatos Geradores Diversos - Consolidação </t>
  </si>
  <si>
    <t xml:space="preserve">              4.9.9.9.2.00.00 - Variações Patrimoniais Aumentativas Decorrentes de 
              Fatos Geradores Diversos - Intra OFSS </t>
  </si>
  <si>
    <t xml:space="preserve">              4.9.9.9.3.00.00 - Variações Patrimoniais Aumentativas Decorrentes de 
              Fatos Geradores Diversos - Inter OFSS - União </t>
  </si>
  <si>
    <t xml:space="preserve">              4.9.9.9.4.00.00 - Variações Patrimoniais Aumentativas Decorrentes de 
              Fatos Geradores Diversos - Inter OFSS - Estado </t>
  </si>
  <si>
    <t xml:space="preserve">              4.9.9.9.5.00.00 - Variações Patrimoniais Aumentativas Decorrentes de 
              Fatos Geradores Diversos - Inter OFSS - Município </t>
  </si>
  <si>
    <t xml:space="preserve">Resultado Patrimonial do Período </t>
  </si>
  <si>
    <t xml:space="preserve">  Resultado Patrimonial do Período </t>
  </si>
  <si>
    <t xml:space="preserve">    Resultado Patrimonial do Período </t>
  </si>
  <si>
    <t xml:space="preserve">Quadro: Notas Explicativas Variações Patrimoniais </t>
  </si>
  <si>
    <t xml:space="preserve">Notas Explicativas Variações Patrimoniais </t>
  </si>
  <si>
    <t>[DCA-Anexo I-AB]</t>
  </si>
  <si>
    <t>'DCA-Anexo I-AB'!B22=+'DCA-Anexo I-AB'!B23+'DCA-Anexo I-AB'!B32+'DCA-Anexo I-AB'!B75+'DCA-Anexo I-AB'!B124+'DCA-Anexo I-AB'!B135+'DCA-Anexo I-AB'!B152+'DCA-Anexo I-AB'!B172+'DCA-Anexo I-AB'!B169</t>
  </si>
  <si>
    <t>'DCA-Anexo I-AB'!B23=+'DCA-Anexo I-AB'!B24+'DCA-Anexo I-AB'!B27+'DCA-Anexo I-AB'!B29</t>
  </si>
  <si>
    <t>'DCA-Anexo I-AB'!B24=+'DCA-Anexo I-AB'!B25+'DCA-Anexo I-AB'!B26</t>
  </si>
  <si>
    <t>'DCA-Anexo I-AB'!B27=+'DCA-Anexo I-AB'!B28</t>
  </si>
  <si>
    <t>'DCA-Anexo I-AB'!B32=+'DCA-Anexo I-AB'!B33+'DCA-Anexo I-AB'!B39+'DCA-Anexo I-AB'!B45+'DCA-Anexo I-AB'!B51+'DCA-Anexo I-AB'!B57+'DCA-Anexo I-AB'!B63-'DCA-Anexo I-AB'!B69</t>
  </si>
  <si>
    <t>'DCA-Anexo I-AB'!B33=+'DCA-Anexo I-AB'!B34+'DCA-Anexo I-AB'!B35+'DCA-Anexo I-AB'!B36+'DCA-Anexo I-AB'!B37+'DCA-Anexo I-AB'!B38</t>
  </si>
  <si>
    <t>'DCA-Anexo I-AB'!B39=+'DCA-Anexo I-AB'!B40+'DCA-Anexo I-AB'!B41+'DCA-Anexo I-AB'!B42+'DCA-Anexo I-AB'!B43+'DCA-Anexo I-AB'!B44</t>
  </si>
  <si>
    <t>'DCA-Anexo I-AB'!B45=+'DCA-Anexo I-AB'!B46+'DCA-Anexo I-AB'!B47+'DCA-Anexo I-AB'!B48+'DCA-Anexo I-AB'!B49+'DCA-Anexo I-AB'!B50</t>
  </si>
  <si>
    <t>'DCA-Anexo I-AB'!B51=+'DCA-Anexo I-AB'!B52+'DCA-Anexo I-AB'!B53+'DCA-Anexo I-AB'!B54+'DCA-Anexo I-AB'!B55+'DCA-Anexo I-AB'!B56</t>
  </si>
  <si>
    <t>'DCA-Anexo I-AB'!B57=+'DCA-Anexo I-AB'!B58+'DCA-Anexo I-AB'!B59+'DCA-Anexo I-AB'!B60+'DCA-Anexo I-AB'!B61+'DCA-Anexo I-AB'!B62</t>
  </si>
  <si>
    <t>'DCA-Anexo I-AB'!B63=+'DCA-Anexo I-AB'!B64+'DCA-Anexo I-AB'!B65+'DCA-Anexo I-AB'!B66+'DCA-Anexo I-AB'!B67+'DCA-Anexo I-AB'!B68</t>
  </si>
  <si>
    <t>'DCA-Anexo I-AB'!B69=+'DCA-Anexo I-AB'!B70+'DCA-Anexo I-AB'!B71+'DCA-Anexo I-AB'!B72+'DCA-Anexo I-AB'!B73+'DCA-Anexo I-AB'!B74</t>
  </si>
  <si>
    <t>'DCA-Anexo I-AB'!B75=+'DCA-Anexo I-AB'!B76+'DCA-Anexo I-AB'!B82+'DCA-Anexo I-AB'!B88+'DCA-Anexo I-AB'!B94+'DCA-Anexo I-AB'!B100+'DCA-Anexo I-AB'!B106+'DCA-Anexo I-AB'!B112-'DCA-Anexo I-AB'!B118</t>
  </si>
  <si>
    <t>'DCA-Anexo I-AB'!B76=+'DCA-Anexo I-AB'!B77+'DCA-Anexo I-AB'!B78+'DCA-Anexo I-AB'!B79+'DCA-Anexo I-AB'!B80+'DCA-Anexo I-AB'!B81</t>
  </si>
  <si>
    <t>'DCA-Anexo I-AB'!B82=+'DCA-Anexo I-AB'!B83+'DCA-Anexo I-AB'!B84+'DCA-Anexo I-AB'!B85+'DCA-Anexo I-AB'!B86+'DCA-Anexo I-AB'!B87</t>
  </si>
  <si>
    <t>'DCA-Anexo I-AB'!B88=+'DCA-Anexo I-AB'!B89+'DCA-Anexo I-AB'!B90+'DCA-Anexo I-AB'!B91+'DCA-Anexo I-AB'!B92+'DCA-Anexo I-AB'!B93</t>
  </si>
  <si>
    <t>'DCA-Anexo I-AB'!B94=+'DCA-Anexo I-AB'!B95+'DCA-Anexo I-AB'!B96+'DCA-Anexo I-AB'!B97+'DCA-Anexo I-AB'!B98+'DCA-Anexo I-AB'!B99</t>
  </si>
  <si>
    <t>'DCA-Anexo I-AB'!B100=+'DCA-Anexo I-AB'!B101+'DCA-Anexo I-AB'!B102+'DCA-Anexo I-AB'!B103+'DCA-Anexo I-AB'!B104+'DCA-Anexo I-AB'!B105</t>
  </si>
  <si>
    <t>'DCA-Anexo I-AB'!B112=+'DCA-Anexo I-AB'!B113+'DCA-Anexo I-AB'!B114+'DCA-Anexo I-AB'!B115+'DCA-Anexo I-AB'!B116+'DCA-Anexo I-AB'!B117</t>
  </si>
  <si>
    <t>'DCA-Anexo I-AB'!B118=+'DCA-Anexo I-AB'!B119+'DCA-Anexo I-AB'!B120+'DCA-Anexo I-AB'!B121+'DCA-Anexo I-AB'!B122+'DCA-Anexo I-AB'!B123</t>
  </si>
  <si>
    <t>'DCA-Anexo I-AB'!B124=+'DCA-Anexo I-AB'!B125+'DCA-Anexo I-AB'!B127+'DCA-Anexo I-AB'!B129+'DCA-Anexo I-AB'!B131-'DCA-Anexo I-AB'!B133</t>
  </si>
  <si>
    <t>'DCA-Anexo I-AB'!B125=+'DCA-Anexo I-AB'!B126</t>
  </si>
  <si>
    <t>'DCA-Anexo I-AB'!B127=+'DCA-Anexo I-AB'!B128</t>
  </si>
  <si>
    <t>'DCA-Anexo I-AB'!B129=+'DCA-Anexo I-AB'!B130</t>
  </si>
  <si>
    <t>'DCA-Anexo I-AB'!B133=+'DCA-Anexo I-AB'!B134</t>
  </si>
  <si>
    <t>'DCA-Anexo I-AB'!B136=+'DCA-Anexo I-AB'!B137</t>
  </si>
  <si>
    <t>'DCA-Anexo I-AB'!B138=+'DCA-Anexo I-AB'!B139</t>
  </si>
  <si>
    <t>'DCA-Anexo I-AB'!B140=+'DCA-Anexo I-AB'!B141</t>
  </si>
  <si>
    <t>'DCA-Anexo I-AB'!B142=+'DCA-Anexo I-AB'!B143</t>
  </si>
  <si>
    <t>'DCA-Anexo I-AB'!B144=+'DCA-Anexo I-AB'!B145</t>
  </si>
  <si>
    <t>'DCA-Anexo I-AB'!B146=+'DCA-Anexo I-AB'!B147</t>
  </si>
  <si>
    <t>'DCA-Anexo I-AB'!B148=+'DCA-Anexo I-AB'!B149</t>
  </si>
  <si>
    <t>'DCA-Anexo I-AB'!B150=+'DCA-Anexo I-AB'!B151</t>
  </si>
  <si>
    <t>'DCA-Anexo I-AB'!B172=+'DCA-Anexo I-AB'!B173+'DCA-Anexo I-AB'!B179+'DCA-Anexo I-AB'!B185+'DCA-Anexo I-AB'!B191+'DCA-Anexo I-AB'!B197+'DCA-Anexo I-AB'!B203+'DCA-Anexo I-AB'!B209+'DCA-Anexo I-AB'!B215+'DCA-Anexo I-AB'!B221</t>
  </si>
  <si>
    <t>'DCA-Anexo I-AB'!B173=+'DCA-Anexo I-AB'!B174+'DCA-Anexo I-AB'!B175+'DCA-Anexo I-AB'!B176+'DCA-Anexo I-AB'!B177+'DCA-Anexo I-AB'!B178</t>
  </si>
  <si>
    <t>'DCA-Anexo I-AB'!B179=+'DCA-Anexo I-AB'!B180+'DCA-Anexo I-AB'!B181+'DCA-Anexo I-AB'!B182+'DCA-Anexo I-AB'!B183+'DCA-Anexo I-AB'!B184</t>
  </si>
  <si>
    <t>'DCA-Anexo I-AB'!B185=+'DCA-Anexo I-AB'!B186+'DCA-Anexo I-AB'!B187+'DCA-Anexo I-AB'!B188+'DCA-Anexo I-AB'!B189+'DCA-Anexo I-AB'!B190</t>
  </si>
  <si>
    <t>'DCA-Anexo I-AB'!B191=+'DCA-Anexo I-AB'!B192+'DCA-Anexo I-AB'!B193+'DCA-Anexo I-AB'!B194+'DCA-Anexo I-AB'!B195+'DCA-Anexo I-AB'!B196</t>
  </si>
  <si>
    <t>'DCA-Anexo I-AB'!B197=+'DCA-Anexo I-AB'!B198+'DCA-Anexo I-AB'!B199+'DCA-Anexo I-AB'!B200+'DCA-Anexo I-AB'!B201+'DCA-Anexo I-AB'!B202</t>
  </si>
  <si>
    <t>'DCA-Anexo I-AB'!B203=+'DCA-Anexo I-AB'!B204+'DCA-Anexo I-AB'!B205+'DCA-Anexo I-AB'!B206+'DCA-Anexo I-AB'!B207+'DCA-Anexo I-AB'!B208</t>
  </si>
  <si>
    <t>'DCA-Anexo I-AB'!B209=+'DCA-Anexo I-AB'!B210+'DCA-Anexo I-AB'!B211+'DCA-Anexo I-AB'!B212+'DCA-Anexo I-AB'!B213+'DCA-Anexo I-AB'!B214</t>
  </si>
  <si>
    <t>'DCA-Anexo I-AB'!B215=+'DCA-Anexo I-AB'!B216+'DCA-Anexo I-AB'!B217+'DCA-Anexo I-AB'!B218+'DCA-Anexo I-AB'!B219+'DCA-Anexo I-AB'!B220</t>
  </si>
  <si>
    <t>'DCA-Anexo I-AB'!B135=+'DCA-Anexo I-AB'!B136+'DCA-Anexo I-AB'!B138+'DCA-Anexo I-AB'!B140+'DCA-Anexo I-AB'!B142+'DCA-Anexo I-AB'!B144+'DCA-Anexo I-AB'!B146+'DCA-Anexo I-AB'!B148-'DCA-Anexo I-AB'!B150</t>
  </si>
  <si>
    <t>'DCA-Anexo I-AB'!B106=+'DCA-Anexo I-AB'!B107+'DCA-Anexo I-AB'!B108+'DCA-Anexo I-AB'!B109+'DCA-Anexo I-AB'!B110+'DCA-Anexo I-AB'!B111</t>
  </si>
  <si>
    <t>'DCA-Anexo I-AB'!B152=+'DCA-Anexo I-AB'!B153+'DCA-Anexo I-AB'!B159+'DCA-Anexo I-AB'!B161-'DCA-Anexo I-AB'!B163</t>
  </si>
  <si>
    <t>'DCA-Anexo I-AB'!B153=+'DCA-Anexo I-AB'!B154+'DCA-Anexo I-AB'!B155+'DCA-Anexo I-AB'!B156+'DCA-Anexo I-AB'!B157+'DCA-Anexo I-AB'!B158</t>
  </si>
  <si>
    <t>'DCA-Anexo I-AB'!B159=+'DCA-Anexo I-AB'!B160</t>
  </si>
  <si>
    <t>'DCA-Anexo I-AB'!B161=+'DCA-Anexo I-AB'!B162</t>
  </si>
  <si>
    <t>'DCA-Anexo I-AB'!B163=+'DCA-Anexo I-AB'!B164+'DCA-Anexo I-AB'!B165+'DCA-Anexo I-AB'!B166+'DCA-Anexo I-AB'!B167+'DCA-Anexo I-AB'!B168</t>
  </si>
  <si>
    <t>'DCA-Anexo I-AB'!B29=+'DCA-Anexo I-AB'!B30+'DCA-Anexo I-AB'!B31</t>
  </si>
  <si>
    <t>'DCA-Anexo I-AB'!B131=+'DCA-Anexo I-AB'!B132</t>
  </si>
  <si>
    <t>'DCA-Anexo I-AB'!B169=+'DCA-Anexo I-AB'!B170</t>
  </si>
  <si>
    <t>'DCA-Anexo I-AB'!B170=+'DCA-Anexo I-AB'!B171</t>
  </si>
  <si>
    <t>'DCA-Anexo I-AB'!B221=+'DCA-Anexo I-AB'!B222+'DCA-Anexo I-AB'!B223+'DCA-Anexo I-AB'!B224+'DCA-Anexo I-AB'!B225+'DCA-Anexo I-AB'!B226</t>
  </si>
  <si>
    <t>'DCA-Anexo I-AB'!B227=+'DCA-Anexo I-AB'!B228+'DCA-Anexo I-AB'!B356+'DCA-Anexo I-AB'!B402+'DCA-Anexo I-AB'!B433+'DCA-Anexo I-AB'!B456</t>
  </si>
  <si>
    <t>'DCA-Anexo I-AB'!B228=+'DCA-Anexo I-AB'!B229+'DCA-Anexo I-AB'!B281+'DCA-Anexo I-AB'!B297+'DCA-Anexo I-AB'!B328+'DCA-Anexo I-AB'!B341+'DCA-Anexo I-AB'!B339</t>
  </si>
  <si>
    <t>'DCA-Anexo I-AB'!B229=+'DCA-Anexo I-AB'!B230+'DCA-Anexo I-AB'!B240+'DCA-Anexo I-AB'!B251+'DCA-Anexo I-AB'!B261+'DCA-Anexo I-AB'!B271</t>
  </si>
  <si>
    <t>'DCA-Anexo I-AB'!B230=+'DCA-Anexo I-AB'!B231+'DCA-Anexo I-AB'!B232+'DCA-Anexo I-AB'!B233+'DCA-Anexo I-AB'!B234+'DCA-Anexo I-AB'!B235+'DCA-Anexo I-AB'!B236+'DCA-Anexo I-AB'!B238+'DCA-Anexo I-AB'!B237-'DCA-Anexo I-AB'!B239</t>
  </si>
  <si>
    <t>'DCA-Anexo I-AB'!B240=+'DCA-Anexo I-AB'!B241+'DCA-Anexo I-AB'!B242+'DCA-Anexo I-AB'!B243+'DCA-Anexo I-AB'!B244+'DCA-Anexo I-AB'!B245-'DCA-Anexo I-AB'!B250+'DCA-Anexo I-AB'!B246+'DCA-Anexo I-AB'!B249+'DCA-Anexo I-AB'!B247+'DCA-Anexo I-AB'!B248</t>
  </si>
  <si>
    <t>'DCA-Anexo I-AB'!B251=+'DCA-Anexo I-AB'!B252+'DCA-Anexo I-AB'!B253+'DCA-Anexo I-AB'!B254+'DCA-Anexo I-AB'!B255+'DCA-Anexo I-AB'!B256-'DCA-Anexo I-AB'!B260+'DCA-Anexo I-AB'!B257+'DCA-Anexo I-AB'!B259+'DCA-Anexo I-AB'!B258</t>
  </si>
  <si>
    <t>'DCA-Anexo I-AB'!B261=+'DCA-Anexo I-AB'!B262+'DCA-Anexo I-AB'!B263+'DCA-Anexo I-AB'!B264+'DCA-Anexo I-AB'!B265+'DCA-Anexo I-AB'!B266-'DCA-Anexo I-AB'!B270+'DCA-Anexo I-AB'!B267+'DCA-Anexo I-AB'!B269+'DCA-Anexo I-AB'!B268</t>
  </si>
  <si>
    <t>'DCA-Anexo I-AB'!B271=+'DCA-Anexo I-AB'!B272+'DCA-Anexo I-AB'!B273+'DCA-Anexo I-AB'!B274+'DCA-Anexo I-AB'!B275+'DCA-Anexo I-AB'!B276-'DCA-Anexo I-AB'!B280+'DCA-Anexo I-AB'!B277+'DCA-Anexo I-AB'!B279+'DCA-Anexo I-AB'!B278</t>
  </si>
  <si>
    <t>'DCA-Anexo I-AB'!B281=+'DCA-Anexo I-AB'!B282+'DCA-Anexo I-AB'!B293+'DCA-Anexo I-AB'!B294+'DCA-Anexo I-AB'!B295+'DCA-Anexo I-AB'!B296</t>
  </si>
  <si>
    <t>'DCA-Anexo I-AB'!B282=+'DCA-Anexo I-AB'!B283+'DCA-Anexo I-AB'!B284+'DCA-Anexo I-AB'!B285+'DCA-Anexo I-AB'!B286+'DCA-Anexo I-AB'!B287+'DCA-Anexo I-AB'!B288+'DCA-Anexo I-AB'!B291-'DCA-Anexo I-AB'!B292+'DCA-Anexo I-AB'!B289+'DCA-Anexo I-AB'!B290</t>
  </si>
  <si>
    <t>'DCA-Anexo I-AB'!B297=+'DCA-Anexo I-AB'!B298</t>
  </si>
  <si>
    <t>'DCA-Anexo I-AB'!B298=+'DCA-Anexo I-AB'!B299+'DCA-Anexo I-AB'!B300+'DCA-Anexo I-AB'!B301+'DCA-Anexo I-AB'!B302+'DCA-Anexo I-AB'!B303+'DCA-Anexo I-AB'!B304+'DCA-Anexo I-AB'!B305+'DCA-Anexo I-AB'!B306+'DCA-Anexo I-AB'!B307+'DCA-Anexo I-AB'!B308+'DCA-Anexo I-AB'!B309+'DCA-Anexo I-AB'!B310+'DCA-Anexo I-AB'!B311+'DCA-Anexo I-AB'!B312+'DCA-Anexo I-AB'!B313+'DCA-Anexo I-AB'!B314+'DCA-Anexo I-AB'!B315+'DCA-Anexo I-AB'!B316+'DCA-Anexo I-AB'!B317+'DCA-Anexo I-AB'!B318+'DCA-Anexo I-AB'!B319-'DCA-Anexo I-AB'!B320</t>
  </si>
  <si>
    <t>'DCA-Anexo I-AB'!B328=+'DCA-Anexo I-AB'!B329</t>
  </si>
  <si>
    <t>'DCA-Anexo I-AB'!B329=+'DCA-Anexo I-AB'!B330+'DCA-Anexo I-AB'!B331+'DCA-Anexo I-AB'!B332+'DCA-Anexo I-AB'!B333+'DCA-Anexo I-AB'!B334+'DCA-Anexo I-AB'!B335+'DCA-Anexo I-AB'!B336+'DCA-Anexo I-AB'!B337-'DCA-Anexo I-AB'!B338</t>
  </si>
  <si>
    <t>'DCA-Anexo I-AB'!B341=+'DCA-Anexo I-AB'!B342+'DCA-Anexo I-AB'!B352+'DCA-Anexo I-AB'!B353+'DCA-Anexo I-AB'!B354+'DCA-Anexo I-AB'!B355</t>
  </si>
  <si>
    <t>'DCA-Anexo I-AB'!B342=+'DCA-Anexo I-AB'!B343+'DCA-Anexo I-AB'!B344+'DCA-Anexo I-AB'!B345+'DCA-Anexo I-AB'!B346+'DCA-Anexo I-AB'!B347+'DCA-Anexo I-AB'!B348+'DCA-Anexo I-AB'!B349+'DCA-Anexo I-AB'!B350+'DCA-Anexo I-AB'!B351</t>
  </si>
  <si>
    <t>'DCA-Anexo I-AB'!B356=+'DCA-Anexo I-AB'!B357+'DCA-Anexo I-AB'!B373+'DCA-Anexo I-AB'!B375+'DCA-Anexo I-AB'!B377-'DCA-Anexo I-AB'!B379-'DCA-Anexo I-AB'!B383</t>
  </si>
  <si>
    <t>'DCA-Anexo I-AB'!B357=+'DCA-Anexo I-AB'!B358+'DCA-Anexo I-AB'!B361+'DCA-Anexo I-AB'!B364+'DCA-Anexo I-AB'!B367+'DCA-Anexo I-AB'!B370</t>
  </si>
  <si>
    <t>'DCA-Anexo I-AB'!B358=+'DCA-Anexo I-AB'!B359+'DCA-Anexo I-AB'!B360</t>
  </si>
  <si>
    <t>'DCA-Anexo I-AB'!B361=+'DCA-Anexo I-AB'!B362+'DCA-Anexo I-AB'!B363</t>
  </si>
  <si>
    <t>'DCA-Anexo I-AB'!B364=+'DCA-Anexo I-AB'!B365+'DCA-Anexo I-AB'!B366</t>
  </si>
  <si>
    <t>'DCA-Anexo I-AB'!B367=+'DCA-Anexo I-AB'!B368+'DCA-Anexo I-AB'!B369</t>
  </si>
  <si>
    <t>'DCA-Anexo I-AB'!B370=+'DCA-Anexo I-AB'!B371+'DCA-Anexo I-AB'!B372</t>
  </si>
  <si>
    <t>'DCA-Anexo I-AB'!B373=+'DCA-Anexo I-AB'!B374</t>
  </si>
  <si>
    <t>'DCA-Anexo I-AB'!B375=+'DCA-Anexo I-AB'!B376</t>
  </si>
  <si>
    <t>'DCA-Anexo I-AB'!B377=+'DCA-Anexo I-AB'!B378</t>
  </si>
  <si>
    <t>'DCA-Anexo I-AB'!B379=+'DCA-Anexo I-AB'!B380</t>
  </si>
  <si>
    <t>'DCA-Anexo I-AB'!B380=+'DCA-Anexo I-AB'!B381+'DCA-Anexo I-AB'!B382</t>
  </si>
  <si>
    <t>'DCA-Anexo I-AB'!B383=+'DCA-Anexo I-AB'!B384+'DCA-Anexo I-AB'!B390+'DCA-Anexo I-AB'!B393+'DCA-Anexo I-AB'!B396+'DCA-Anexo I-AB'!B399</t>
  </si>
  <si>
    <t>'DCA-Anexo I-AB'!B384=+'DCA-Anexo I-AB'!B385+'DCA-Anexo I-AB'!B386+'DCA-Anexo I-AB'!B387+'DCA-Anexo I-AB'!B388+'DCA-Anexo I-AB'!B389</t>
  </si>
  <si>
    <t>'DCA-Anexo I-AB'!B390=+'DCA-Anexo I-AB'!B391+'DCA-Anexo I-AB'!B392</t>
  </si>
  <si>
    <t>'DCA-Anexo I-AB'!B393=+'DCA-Anexo I-AB'!B394+'DCA-Anexo I-AB'!B395</t>
  </si>
  <si>
    <t>'DCA-Anexo I-AB'!B396=+'DCA-Anexo I-AB'!B397+'DCA-Anexo I-AB'!B398</t>
  </si>
  <si>
    <t>'DCA-Anexo I-AB'!B399=+'DCA-Anexo I-AB'!B400+'DCA-Anexo I-AB'!B401</t>
  </si>
  <si>
    <t>'DCA-Anexo I-AB'!B402=+'DCA-Anexo I-AB'!B403+'DCA-Anexo I-AB'!B405-'DCA-Anexo I-AB'!B413-'DCA-Anexo I-AB'!B427-'DCA-Anexo I-AB'!B407</t>
  </si>
  <si>
    <t>'DCA-Anexo I-AB'!B403=+'DCA-Anexo I-AB'!B404</t>
  </si>
  <si>
    <t>'DCA-Anexo I-AB'!B405=+'DCA-Anexo I-AB'!B406</t>
  </si>
  <si>
    <t>'DCA-Anexo I-AB'!B413=+'DCA-Anexo I-AB'!B414</t>
  </si>
  <si>
    <t>'DCA-Anexo I-AB'!B414=+'DCA-Anexo I-AB'!B415+'DCA-Anexo I-AB'!B416+'DCA-Anexo I-AB'!B417+'DCA-Anexo I-AB'!B418+'DCA-Anexo I-AB'!B419+'DCA-Anexo I-AB'!B420+'DCA-Anexo I-AB'!B421+'DCA-Anexo I-AB'!B422+'DCA-Anexo I-AB'!B423+'DCA-Anexo I-AB'!B424+'DCA-Anexo I-AB'!B425+'DCA-Anexo I-AB'!B426</t>
  </si>
  <si>
    <t>'DCA-Anexo I-AB'!B427=+'DCA-Anexo I-AB'!B428</t>
  </si>
  <si>
    <t>'DCA-Anexo I-AB'!B428=+'DCA-Anexo I-AB'!B429+'DCA-Anexo I-AB'!B430+'DCA-Anexo I-AB'!B431+'DCA-Anexo I-AB'!B432</t>
  </si>
  <si>
    <t>'DCA-Anexo I-AB'!B433=+'DCA-Anexo I-AB'!B434+'DCA-Anexo I-AB'!B436+'DCA-Anexo I-AB'!B438-'DCA-Anexo I-AB'!B442-'DCA-Anexo I-AB'!B449+'DCA-Anexo I-AB'!B440</t>
  </si>
  <si>
    <t>'DCA-Anexo I-AB'!B434=+'DCA-Anexo I-AB'!B435</t>
  </si>
  <si>
    <t>'DCA-Anexo I-AB'!B436=+'DCA-Anexo I-AB'!B437</t>
  </si>
  <si>
    <t>'DCA-Anexo I-AB'!B438=+'DCA-Anexo I-AB'!B439</t>
  </si>
  <si>
    <t>'DCA-Anexo I-AB'!B442=+'DCA-Anexo I-AB'!B443</t>
  </si>
  <si>
    <t>'DCA-Anexo I-AB'!B443=+'DCA-Anexo I-AB'!B444+'DCA-Anexo I-AB'!B445+'DCA-Anexo I-AB'!B446+'DCA-Anexo I-AB'!B448+'DCA-Anexo I-AB'!B447</t>
  </si>
  <si>
    <t>'DCA-Anexo I-AB'!B449=+'DCA-Anexo I-AB'!B450</t>
  </si>
  <si>
    <t>'DCA-Anexo I-AB'!B450=+'DCA-Anexo I-AB'!B451+'DCA-Anexo I-AB'!B452+'DCA-Anexo I-AB'!B453+'DCA-Anexo I-AB'!B455+'DCA-Anexo I-AB'!B454</t>
  </si>
  <si>
    <t>'DCA-Anexo I-AB'!B456=+'DCA-Anexo I-AB'!B459+'DCA-Anexo I-AB'!B457-'DCA-Anexo I-AB'!B461</t>
  </si>
  <si>
    <t>'DCA-Anexo I-AB'!B457=+'DCA-Anexo I-AB'!B458</t>
  </si>
  <si>
    <t>'DCA-Anexo I-AB'!B459=+'DCA-Anexo I-AB'!B460</t>
  </si>
  <si>
    <t>'DCA-Anexo I-AB'!B461=+'DCA-Anexo I-AB'!B462</t>
  </si>
  <si>
    <t>'DCA-Anexo I-AB'!B462=+'DCA-Anexo I-AB'!B463+'DCA-Anexo I-AB'!B464</t>
  </si>
  <si>
    <t>'DCA-Anexo I-AB'!B407=+'DCA-Anexo I-AB'!B408+'DCA-Anexo I-AB'!B409+'DCA-Anexo I-AB'!B410+'DCA-Anexo I-AB'!B411+'DCA-Anexo I-AB'!B412</t>
  </si>
  <si>
    <t>'DCA-Anexo I-AB'!B339=+'DCA-Anexo I-AB'!B340</t>
  </si>
  <si>
    <t>'DCA-Anexo I-AB'!B440=+'DCA-Anexo I-AB'!B441</t>
  </si>
  <si>
    <t>'DCA-Anexo I-AB'!B320=+'DCA-Anexo I-AB'!B321+'DCA-Anexo I-AB'!B322+'DCA-Anexo I-AB'!B323+'DCA-Anexo I-AB'!B324+'DCA-Anexo I-AB'!B325+'DCA-Anexo I-AB'!B326+'DCA-Anexo I-AB'!B327</t>
  </si>
  <si>
    <t>'DCA-Anexo I-AB'!B468=+'DCA-Anexo I-AB'!B469+'DCA-Anexo I-AB'!B489+'DCA-Anexo I-AB'!B522+'DCA-Anexo I-AB'!B531+'DCA-Anexo I-AB'!B544+'DCA-Anexo I-AB'!B566+'DCA-Anexo I-AB'!B603</t>
  </si>
  <si>
    <t>'DCA-Anexo I-AB'!B469=+'DCA-Anexo I-AB'!B470+'DCA-Anexo I-AB'!B472+'DCA-Anexo I-AB'!B478+'DCA-Anexo I-AB'!B480+'DCA-Anexo I-AB'!B486</t>
  </si>
  <si>
    <t>'DCA-Anexo I-AB'!B470=+'DCA-Anexo I-AB'!B471</t>
  </si>
  <si>
    <t>'DCA-Anexo I-AB'!B472=+'DCA-Anexo I-AB'!B473+'DCA-Anexo I-AB'!B474+'DCA-Anexo I-AB'!B475+'DCA-Anexo I-AB'!B476+'DCA-Anexo I-AB'!B477</t>
  </si>
  <si>
    <t>'DCA-Anexo I-AB'!B478=+'DCA-Anexo I-AB'!B479</t>
  </si>
  <si>
    <t>'DCA-Anexo I-AB'!B480=+'DCA-Anexo I-AB'!B481+'DCA-Anexo I-AB'!B482+'DCA-Anexo I-AB'!B483+'DCA-Anexo I-AB'!B484+'DCA-Anexo I-AB'!B485</t>
  </si>
  <si>
    <t>'DCA-Anexo I-AB'!B489=+'DCA-Anexo I-AB'!B490+'DCA-Anexo I-AB'!B496+'DCA-Anexo I-AB'!B498+'DCA-Anexo I-AB'!B504+'DCA-Anexo I-AB'!B506+'DCA-Anexo I-AB'!B512-'DCA-Anexo I-AB'!B514-'DCA-Anexo I-AB'!B520</t>
  </si>
  <si>
    <t>'DCA-Anexo I-AB'!B490=+'DCA-Anexo I-AB'!B491+'DCA-Anexo I-AB'!B493+'DCA-Anexo I-AB'!B494+'DCA-Anexo I-AB'!B495+'DCA-Anexo I-AB'!B492</t>
  </si>
  <si>
    <t>'DCA-Anexo I-AB'!B496=+'DCA-Anexo I-AB'!B497</t>
  </si>
  <si>
    <t>'DCA-Anexo I-AB'!B498=+'DCA-Anexo I-AB'!B499+'DCA-Anexo I-AB'!B500+'DCA-Anexo I-AB'!B501+'DCA-Anexo I-AB'!B502+'DCA-Anexo I-AB'!B503</t>
  </si>
  <si>
    <t>'DCA-Anexo I-AB'!B504=+'DCA-Anexo I-AB'!B505</t>
  </si>
  <si>
    <t>'DCA-Anexo I-AB'!B506=+'DCA-Anexo I-AB'!B507+'DCA-Anexo I-AB'!B509+'DCA-Anexo I-AB'!B510+'DCA-Anexo I-AB'!B511+'DCA-Anexo I-AB'!B508</t>
  </si>
  <si>
    <t>'DCA-Anexo I-AB'!B512=+'DCA-Anexo I-AB'!B513</t>
  </si>
  <si>
    <t>'DCA-Anexo I-AB'!B514=+'DCA-Anexo I-AB'!B515+'DCA-Anexo I-AB'!B517+'DCA-Anexo I-AB'!B518+'DCA-Anexo I-AB'!B519+'DCA-Anexo I-AB'!B516</t>
  </si>
  <si>
    <t>'DCA-Anexo I-AB'!B520=+'DCA-Anexo I-AB'!B521</t>
  </si>
  <si>
    <t>'DCA-Anexo I-AB'!B522=+'DCA-Anexo I-AB'!B523+'DCA-Anexo I-AB'!B529</t>
  </si>
  <si>
    <t>'DCA-Anexo I-AB'!B523=+'DCA-Anexo I-AB'!B524+'DCA-Anexo I-AB'!B525+'DCA-Anexo I-AB'!B526+'DCA-Anexo I-AB'!B527+'DCA-Anexo I-AB'!B528</t>
  </si>
  <si>
    <t>'DCA-Anexo I-AB'!B529=+'DCA-Anexo I-AB'!B530</t>
  </si>
  <si>
    <t>'DCA-Anexo I-AB'!B531=+'DCA-Anexo I-AB'!B532+'DCA-Anexo I-AB'!B536+'DCA-Anexo I-AB'!B540</t>
  </si>
  <si>
    <t>'DCA-Anexo I-AB'!B532=+'DCA-Anexo I-AB'!B533+'DCA-Anexo I-AB'!B534+'DCA-Anexo I-AB'!B535</t>
  </si>
  <si>
    <t>'DCA-Anexo I-AB'!B536=+'DCA-Anexo I-AB'!B537+'DCA-Anexo I-AB'!B538+'DCA-Anexo I-AB'!B539</t>
  </si>
  <si>
    <t>'DCA-Anexo I-AB'!B540=+'DCA-Anexo I-AB'!B541+'DCA-Anexo I-AB'!B542+'DCA-Anexo I-AB'!B543</t>
  </si>
  <si>
    <t>'DCA-Anexo I-AB'!B544=+'DCA-Anexo I-AB'!B545+'DCA-Anexo I-AB'!B549+'DCA-Anexo I-AB'!B554+'DCA-Anexo I-AB'!B559+'DCA-Anexo I-AB'!B561</t>
  </si>
  <si>
    <t>'DCA-Anexo I-AB'!B566=+'DCA-Anexo I-AB'!B567+'DCA-Anexo I-AB'!B571+'DCA-Anexo I-AB'!B577+'DCA-Anexo I-AB'!B583+'DCA-Anexo I-AB'!B589+'DCA-Anexo I-AB'!B591+'DCA-Anexo I-AB'!B597+'DCA-Anexo I-AB'!B569</t>
  </si>
  <si>
    <t>'DCA-Anexo I-AB'!B567=+'DCA-Anexo I-AB'!B568</t>
  </si>
  <si>
    <t>'DCA-Anexo I-AB'!B571=+'DCA-Anexo I-AB'!B572+'DCA-Anexo I-AB'!B573+'DCA-Anexo I-AB'!B574+'DCA-Anexo I-AB'!B575+'DCA-Anexo I-AB'!B576</t>
  </si>
  <si>
    <t>'DCA-Anexo I-AB'!B577=+'DCA-Anexo I-AB'!B578+'DCA-Anexo I-AB'!B579+'DCA-Anexo I-AB'!B580+'DCA-Anexo I-AB'!B581+'DCA-Anexo I-AB'!B582</t>
  </si>
  <si>
    <t>'DCA-Anexo I-AB'!B583=+'DCA-Anexo I-AB'!B584+'DCA-Anexo I-AB'!B586+'DCA-Anexo I-AB'!B587+'DCA-Anexo I-AB'!B588+'DCA-Anexo I-AB'!B585</t>
  </si>
  <si>
    <t>'DCA-Anexo I-AB'!B589=+'DCA-Anexo I-AB'!B590</t>
  </si>
  <si>
    <t>'DCA-Anexo I-AB'!B597=+'DCA-Anexo I-AB'!B598+'DCA-Anexo I-AB'!B599+'DCA-Anexo I-AB'!B600+'DCA-Anexo I-AB'!B601+'DCA-Anexo I-AB'!B602</t>
  </si>
  <si>
    <t>'DCA-Anexo I-AB'!B603=+'DCA-Anexo I-AB'!B604+'DCA-Anexo I-AB'!B610+'DCA-Anexo I-AB'!B616+'DCA-Anexo I-AB'!B622+'DCA-Anexo I-AB'!B628+'DCA-Anexo I-AB'!B634+'DCA-Anexo I-AB'!B636+'DCA-Anexo I-AB'!B638+'DCA-Anexo I-AB'!B644</t>
  </si>
  <si>
    <t>'DCA-Anexo I-AB'!B604=+'DCA-Anexo I-AB'!B605+'DCA-Anexo I-AB'!B606+'DCA-Anexo I-AB'!B607+'DCA-Anexo I-AB'!B608+'DCA-Anexo I-AB'!B609</t>
  </si>
  <si>
    <t>'DCA-Anexo I-AB'!B610=+'DCA-Anexo I-AB'!B611+'DCA-Anexo I-AB'!B612+'DCA-Anexo I-AB'!B613+'DCA-Anexo I-AB'!B614+'DCA-Anexo I-AB'!B615</t>
  </si>
  <si>
    <t>'DCA-Anexo I-AB'!B616=+'DCA-Anexo I-AB'!B617+'DCA-Anexo I-AB'!B618+'DCA-Anexo I-AB'!B619+'DCA-Anexo I-AB'!B620+'DCA-Anexo I-AB'!B621</t>
  </si>
  <si>
    <t>'DCA-Anexo I-AB'!B622=+'DCA-Anexo I-AB'!B623+'DCA-Anexo I-AB'!B624+'DCA-Anexo I-AB'!B625+'DCA-Anexo I-AB'!B626+'DCA-Anexo I-AB'!B627</t>
  </si>
  <si>
    <t>'DCA-Anexo I-AB'!B628=+'DCA-Anexo I-AB'!B629+'DCA-Anexo I-AB'!B630+'DCA-Anexo I-AB'!B631+'DCA-Anexo I-AB'!B632+'DCA-Anexo I-AB'!B633</t>
  </si>
  <si>
    <t>'DCA-Anexo I-AB'!B638=+'DCA-Anexo I-AB'!B639+'DCA-Anexo I-AB'!B640+'DCA-Anexo I-AB'!B641+'DCA-Anexo I-AB'!B642+'DCA-Anexo I-AB'!B643</t>
  </si>
  <si>
    <t>'DCA-Anexo I-AB'!B644=+'DCA-Anexo I-AB'!B645+'DCA-Anexo I-AB'!B646+'DCA-Anexo I-AB'!B647+'DCA-Anexo I-AB'!B648+'DCA-Anexo I-AB'!B649</t>
  </si>
  <si>
    <t>'DCA-Anexo I-AB'!B636=+'DCA-Anexo I-AB'!B637</t>
  </si>
  <si>
    <t>'DCA-Anexo I-AB'!B591=+'DCA-Anexo I-AB'!B592+'DCA-Anexo I-AB'!B593+'DCA-Anexo I-AB'!B594+'DCA-Anexo I-AB'!B595+'DCA-Anexo I-AB'!B596</t>
  </si>
  <si>
    <t>'DCA-Anexo I-AB'!B634=+'DCA-Anexo I-AB'!B635</t>
  </si>
  <si>
    <t>'DCA-Anexo I-AB'!B545=+'DCA-Anexo I-AB'!B546+'DCA-Anexo I-AB'!B547+'DCA-Anexo I-AB'!B548</t>
  </si>
  <si>
    <t>'DCA-Anexo I-AB'!B549=+'DCA-Anexo I-AB'!B550+'DCA-Anexo I-AB'!B551+'DCA-Anexo I-AB'!B552+'DCA-Anexo I-AB'!B553</t>
  </si>
  <si>
    <t>'DCA-Anexo I-AB'!B554=+'DCA-Anexo I-AB'!B555+'DCA-Anexo I-AB'!B556+'DCA-Anexo I-AB'!B557+'DCA-Anexo I-AB'!B558</t>
  </si>
  <si>
    <t>'DCA-Anexo I-AB'!B559=+'DCA-Anexo I-AB'!B560</t>
  </si>
  <si>
    <t>'DCA-Anexo I-AB'!B561=+'DCA-Anexo I-AB'!B562+'DCA-Anexo I-AB'!B563+'DCA-Anexo I-AB'!B564+'DCA-Anexo I-AB'!B565</t>
  </si>
  <si>
    <t>'DCA-Anexo I-AB'!B486=+'DCA-Anexo I-AB'!B487+'DCA-Anexo I-AB'!B488</t>
  </si>
  <si>
    <t>'DCA-Anexo I-AB'!B569=+'DCA-Anexo I-AB'!B570</t>
  </si>
  <si>
    <t>'DCA-Anexo I-AB'!B650=+'DCA-Anexo I-AB'!B651+'DCA-Anexo I-AB'!B671+'DCA-Anexo I-AB'!B703+'DCA-Anexo I-AB'!B712+'DCA-Anexo I-AB'!B725+'DCA-Anexo I-AB'!B747+'DCA-Anexo I-AB'!B794+'DCA-Anexo I-AB'!B833</t>
  </si>
  <si>
    <t>'DCA-Anexo I-AB'!B651=+'DCA-Anexo I-AB'!B652+'DCA-Anexo I-AB'!B654+'DCA-Anexo I-AB'!B660+'DCA-Anexo I-AB'!B662+'DCA-Anexo I-AB'!B668</t>
  </si>
  <si>
    <t>'DCA-Anexo I-AB'!B652=+'DCA-Anexo I-AB'!B653</t>
  </si>
  <si>
    <t>'DCA-Anexo I-AB'!B654=+'DCA-Anexo I-AB'!B655+'DCA-Anexo I-AB'!B656+'DCA-Anexo I-AB'!B657+'DCA-Anexo I-AB'!B658+'DCA-Anexo I-AB'!B659</t>
  </si>
  <si>
    <t>'DCA-Anexo I-AB'!B660=+'DCA-Anexo I-AB'!B661</t>
  </si>
  <si>
    <t>'DCA-Anexo I-AB'!B662=+'DCA-Anexo I-AB'!B663+'DCA-Anexo I-AB'!B664+'DCA-Anexo I-AB'!B665+'DCA-Anexo I-AB'!B666+'DCA-Anexo I-AB'!B667</t>
  </si>
  <si>
    <t>'DCA-Anexo I-AB'!B671=+'DCA-Anexo I-AB'!B672+'DCA-Anexo I-AB'!B678+'DCA-Anexo I-AB'!B680+'DCA-Anexo I-AB'!B685+'DCA-Anexo I-AB'!B687+'DCA-Anexo I-AB'!B693-'DCA-Anexo I-AB'!B695-'DCA-Anexo I-AB'!B701</t>
  </si>
  <si>
    <t>'DCA-Anexo I-AB'!B672=+'DCA-Anexo I-AB'!B673+'DCA-Anexo I-AB'!B675+'DCA-Anexo I-AB'!B676+'DCA-Anexo I-AB'!B677+'DCA-Anexo I-AB'!B674</t>
  </si>
  <si>
    <t>'DCA-Anexo I-AB'!B678=+'DCA-Anexo I-AB'!B679</t>
  </si>
  <si>
    <t>'DCA-Anexo I-AB'!B680=+'DCA-Anexo I-AB'!B681+'DCA-Anexo I-AB'!B682+'DCA-Anexo I-AB'!B683+'DCA-Anexo I-AB'!B684</t>
  </si>
  <si>
    <t>'DCA-Anexo I-AB'!B685=+'DCA-Anexo I-AB'!B686</t>
  </si>
  <si>
    <t>'DCA-Anexo I-AB'!B687=+'DCA-Anexo I-AB'!B688+'DCA-Anexo I-AB'!B690+'DCA-Anexo I-AB'!B691+'DCA-Anexo I-AB'!B692+'DCA-Anexo I-AB'!B689</t>
  </si>
  <si>
    <t>'DCA-Anexo I-AB'!B693=+'DCA-Anexo I-AB'!B694</t>
  </si>
  <si>
    <t>'DCA-Anexo I-AB'!B695=+'DCA-Anexo I-AB'!B696+'DCA-Anexo I-AB'!B698+'DCA-Anexo I-AB'!B699+'DCA-Anexo I-AB'!B700+'DCA-Anexo I-AB'!B697</t>
  </si>
  <si>
    <t>'DCA-Anexo I-AB'!B701=+'DCA-Anexo I-AB'!B702</t>
  </si>
  <si>
    <t>'DCA-Anexo I-AB'!B703=+'DCA-Anexo I-AB'!B704+'DCA-Anexo I-AB'!B710</t>
  </si>
  <si>
    <t>'DCA-Anexo I-AB'!B704=+'DCA-Anexo I-AB'!B705+'DCA-Anexo I-AB'!B706+'DCA-Anexo I-AB'!B707+'DCA-Anexo I-AB'!B708+'DCA-Anexo I-AB'!B709</t>
  </si>
  <si>
    <t>'DCA-Anexo I-AB'!B710=+'DCA-Anexo I-AB'!B711</t>
  </si>
  <si>
    <t>'DCA-Anexo I-AB'!B712=+'DCA-Anexo I-AB'!B713+'DCA-Anexo I-AB'!B717+'DCA-Anexo I-AB'!B721</t>
  </si>
  <si>
    <t>'DCA-Anexo I-AB'!B713=+'DCA-Anexo I-AB'!B714+'DCA-Anexo I-AB'!B715+'DCA-Anexo I-AB'!B716</t>
  </si>
  <si>
    <t>'DCA-Anexo I-AB'!B717=+'DCA-Anexo I-AB'!B718+'DCA-Anexo I-AB'!B719+'DCA-Anexo I-AB'!B720</t>
  </si>
  <si>
    <t>'DCA-Anexo I-AB'!B721=+'DCA-Anexo I-AB'!B722+'DCA-Anexo I-AB'!B723+'DCA-Anexo I-AB'!B724</t>
  </si>
  <si>
    <t>'DCA-Anexo I-AB'!B747=+'DCA-Anexo I-AB'!B748+'DCA-Anexo I-AB'!B750+'DCA-Anexo I-AB'!B762+'DCA-Anexo I-AB'!B768+'DCA-Anexo I-AB'!B774+'DCA-Anexo I-AB'!B780+'DCA-Anexo I-AB'!B782+'DCA-Anexo I-AB'!B788</t>
  </si>
  <si>
    <t>'DCA-Anexo I-AB'!B748=+'DCA-Anexo I-AB'!B749</t>
  </si>
  <si>
    <t>'DCA-Anexo I-AB'!B750=+'DCA-Anexo I-AB'!B751+'DCA-Anexo I-AB'!B758</t>
  </si>
  <si>
    <t>'DCA-Anexo I-AB'!B751=+'DCA-Anexo I-AB'!B752+'DCA-Anexo I-AB'!B753+'DCA-Anexo I-AB'!B754+'DCA-Anexo I-AB'!B755+'DCA-Anexo I-AB'!B756+'DCA-Anexo I-AB'!B757</t>
  </si>
  <si>
    <t>'DCA-Anexo I-AB'!B762=+'DCA-Anexo I-AB'!B763+'DCA-Anexo I-AB'!B764+'DCA-Anexo I-AB'!B765+'DCA-Anexo I-AB'!B766+'DCA-Anexo I-AB'!B767</t>
  </si>
  <si>
    <t>'DCA-Anexo I-AB'!B768=+'DCA-Anexo I-AB'!B769+'DCA-Anexo I-AB'!B770+'DCA-Anexo I-AB'!B771+'DCA-Anexo I-AB'!B772+'DCA-Anexo I-AB'!B773</t>
  </si>
  <si>
    <t>'DCA-Anexo I-AB'!B774=+'DCA-Anexo I-AB'!B777+'DCA-Anexo I-AB'!B778+'DCA-Anexo I-AB'!B779+'DCA-Anexo I-AB'!B775+'DCA-Anexo I-AB'!B776</t>
  </si>
  <si>
    <t>'DCA-Anexo I-AB'!B780=+'DCA-Anexo I-AB'!B781</t>
  </si>
  <si>
    <t>'DCA-Anexo I-AB'!B788=+'DCA-Anexo I-AB'!B789+'DCA-Anexo I-AB'!B790+'DCA-Anexo I-AB'!B791+'DCA-Anexo I-AB'!B792+'DCA-Anexo I-AB'!B793</t>
  </si>
  <si>
    <t>'DCA-Anexo I-AB'!B794=+'DCA-Anexo I-AB'!B795+'DCA-Anexo I-AB'!B801+'DCA-Anexo I-AB'!B807+'DCA-Anexo I-AB'!B813+'DCA-Anexo I-AB'!B819+'DCA-Anexo I-AB'!B821+'DCA-Anexo I-AB'!B827</t>
  </si>
  <si>
    <t>'DCA-Anexo I-AB'!B795=+'DCA-Anexo I-AB'!B796+'DCA-Anexo I-AB'!B797+'DCA-Anexo I-AB'!B798+'DCA-Anexo I-AB'!B799+'DCA-Anexo I-AB'!B800</t>
  </si>
  <si>
    <t>'DCA-Anexo I-AB'!B801=+'DCA-Anexo I-AB'!B802+'DCA-Anexo I-AB'!B803+'DCA-Anexo I-AB'!B804+'DCA-Anexo I-AB'!B805+'DCA-Anexo I-AB'!B806</t>
  </si>
  <si>
    <t>'DCA-Anexo I-AB'!B807=+'DCA-Anexo I-AB'!B808+'DCA-Anexo I-AB'!B809+'DCA-Anexo I-AB'!B810+'DCA-Anexo I-AB'!B811+'DCA-Anexo I-AB'!B812</t>
  </si>
  <si>
    <t>'DCA-Anexo I-AB'!B813=+'DCA-Anexo I-AB'!B814+'DCA-Anexo I-AB'!B815+'DCA-Anexo I-AB'!B816+'DCA-Anexo I-AB'!B817+'DCA-Anexo I-AB'!B818</t>
  </si>
  <si>
    <t>'DCA-Anexo I-AB'!B821=+'DCA-Anexo I-AB'!B822+'DCA-Anexo I-AB'!B823+'DCA-Anexo I-AB'!B824+'DCA-Anexo I-AB'!B825+'DCA-Anexo I-AB'!B826</t>
  </si>
  <si>
    <t>'DCA-Anexo I-AB'!B827=+'DCA-Anexo I-AB'!B828+'DCA-Anexo I-AB'!B829+'DCA-Anexo I-AB'!B830+'DCA-Anexo I-AB'!B831+'DCA-Anexo I-AB'!B832</t>
  </si>
  <si>
    <t>'DCA-Anexo I-AB'!B833=+'DCA-Anexo I-AB'!B834-'DCA-Anexo I-AB'!B840</t>
  </si>
  <si>
    <t>'DCA-Anexo I-AB'!B834=+'DCA-Anexo I-AB'!B835+'DCA-Anexo I-AB'!B836+'DCA-Anexo I-AB'!B837+'DCA-Anexo I-AB'!B838+'DCA-Anexo I-AB'!B839</t>
  </si>
  <si>
    <t>'DCA-Anexo I-AB'!B840=+'DCA-Anexo I-AB'!B841+'DCA-Anexo I-AB'!B842+'DCA-Anexo I-AB'!B843+'DCA-Anexo I-AB'!B844+'DCA-Anexo I-AB'!B845</t>
  </si>
  <si>
    <t>'DCA-Anexo I-AB'!B782=+'DCA-Anexo I-AB'!B783+'DCA-Anexo I-AB'!B784+'DCA-Anexo I-AB'!B785+'DCA-Anexo I-AB'!B786+'DCA-Anexo I-AB'!B787</t>
  </si>
  <si>
    <t>'DCA-Anexo I-AB'!B819=+'DCA-Anexo I-AB'!B820</t>
  </si>
  <si>
    <t>'DCA-Anexo I-AB'!B725=+'DCA-Anexo I-AB'!B726+'DCA-Anexo I-AB'!B730+'DCA-Anexo I-AB'!B735+'DCA-Anexo I-AB'!B740+'DCA-Anexo I-AB'!B742</t>
  </si>
  <si>
    <t>'DCA-Anexo I-AB'!B726=+'DCA-Anexo I-AB'!B727+'DCA-Anexo I-AB'!B728+'DCA-Anexo I-AB'!B729</t>
  </si>
  <si>
    <t>'DCA-Anexo I-AB'!B730=+'DCA-Anexo I-AB'!B731+'DCA-Anexo I-AB'!B732+'DCA-Anexo I-AB'!B733+'DCA-Anexo I-AB'!B734</t>
  </si>
  <si>
    <t>'DCA-Anexo I-AB'!B735=+'DCA-Anexo I-AB'!B736+'DCA-Anexo I-AB'!B737+'DCA-Anexo I-AB'!B738+'DCA-Anexo I-AB'!B739</t>
  </si>
  <si>
    <t>'DCA-Anexo I-AB'!B740=+'DCA-Anexo I-AB'!B741</t>
  </si>
  <si>
    <t>'DCA-Anexo I-AB'!B742=+'DCA-Anexo I-AB'!B743+'DCA-Anexo I-AB'!B744+'DCA-Anexo I-AB'!B745+'DCA-Anexo I-AB'!B746</t>
  </si>
  <si>
    <t>'DCA-Anexo I-AB'!B668=+'DCA-Anexo I-AB'!B669+'DCA-Anexo I-AB'!B670</t>
  </si>
  <si>
    <t>'DCA-Anexo I-AB'!B758=-'DCA-Anexo I-AB'!B759-'DCA-Anexo I-AB'!B760+'DCA-Anexo I-AB'!B761</t>
  </si>
  <si>
    <t>'DCA-Anexo I-AB'!B846=+'DCA-Anexo I-AB'!B847+'DCA-Anexo I-AB'!B860+'DCA-Anexo I-AB'!B867+'DCA-Anexo I-AB'!B898+'DCA-Anexo I-AB'!B911+'DCA-Anexo I-AB'!B966+'DCA-Anexo I-AB'!B981-'DCA-Anexo I-AB'!B1044</t>
  </si>
  <si>
    <t>'DCA-Anexo I-AB'!B847=+'DCA-Anexo I-AB'!B848+'DCA-Anexo I-AB'!B854</t>
  </si>
  <si>
    <t>'DCA-Anexo I-AB'!B848=+'DCA-Anexo I-AB'!B849+'DCA-Anexo I-AB'!B850+'DCA-Anexo I-AB'!B851+'DCA-Anexo I-AB'!B852+'DCA-Anexo I-AB'!B853</t>
  </si>
  <si>
    <t>'DCA-Anexo I-AB'!B854=+'DCA-Anexo I-AB'!B855+'DCA-Anexo I-AB'!B856+'DCA-Anexo I-AB'!B857+'DCA-Anexo I-AB'!B858+'DCA-Anexo I-AB'!B859</t>
  </si>
  <si>
    <t>'DCA-Anexo I-AB'!B860=+'DCA-Anexo I-AB'!B861</t>
  </si>
  <si>
    <t>'DCA-Anexo I-AB'!B867=+'DCA-Anexo I-AB'!B868+'DCA-Anexo I-AB'!B874+'DCA-Anexo I-AB'!B880+'DCA-Anexo I-AB'!B886+'DCA-Anexo I-AB'!B892</t>
  </si>
  <si>
    <t>'DCA-Anexo I-AB'!B868=+'DCA-Anexo I-AB'!B869+'DCA-Anexo I-AB'!B870+'DCA-Anexo I-AB'!B871+'DCA-Anexo I-AB'!B872+'DCA-Anexo I-AB'!B873</t>
  </si>
  <si>
    <t>'DCA-Anexo I-AB'!B874=+'DCA-Anexo I-AB'!B875+'DCA-Anexo I-AB'!B876+'DCA-Anexo I-AB'!B877+'DCA-Anexo I-AB'!B878+'DCA-Anexo I-AB'!B879</t>
  </si>
  <si>
    <t>'DCA-Anexo I-AB'!B880=+'DCA-Anexo I-AB'!B881+'DCA-Anexo I-AB'!B882+'DCA-Anexo I-AB'!B883+'DCA-Anexo I-AB'!B884+'DCA-Anexo I-AB'!B885</t>
  </si>
  <si>
    <t>'DCA-Anexo I-AB'!B886=+'DCA-Anexo I-AB'!B887+'DCA-Anexo I-AB'!B888+'DCA-Anexo I-AB'!B889+'DCA-Anexo I-AB'!B890+'DCA-Anexo I-AB'!B891</t>
  </si>
  <si>
    <t>'DCA-Anexo I-AB'!B892=+'DCA-Anexo I-AB'!B893+'DCA-Anexo I-AB'!B894+'DCA-Anexo I-AB'!B895+'DCA-Anexo I-AB'!B896+'DCA-Anexo I-AB'!B897</t>
  </si>
  <si>
    <t>'DCA-Anexo I-AB'!B898=+'DCA-Anexo I-AB'!B899+'DCA-Anexo I-AB'!B905</t>
  </si>
  <si>
    <t>'DCA-Anexo I-AB'!B899=+'DCA-Anexo I-AB'!B900+'DCA-Anexo I-AB'!B901+'DCA-Anexo I-AB'!B902+'DCA-Anexo I-AB'!B903+'DCA-Anexo I-AB'!B904</t>
  </si>
  <si>
    <t>'DCA-Anexo I-AB'!B905=+'DCA-Anexo I-AB'!B906+'DCA-Anexo I-AB'!B907+'DCA-Anexo I-AB'!B908+'DCA-Anexo I-AB'!B909+'DCA-Anexo I-AB'!B910</t>
  </si>
  <si>
    <t>'DCA-Anexo I-AB'!B911=+'DCA-Anexo I-AB'!B912+'DCA-Anexo I-AB'!B918+'DCA-Anexo I-AB'!B924+'DCA-Anexo I-AB'!B930+'DCA-Anexo I-AB'!B936+'DCA-Anexo I-AB'!B942+'DCA-Anexo I-AB'!B948+'DCA-Anexo I-AB'!B960+'DCA-Anexo I-AB'!B954</t>
  </si>
  <si>
    <t>'DCA-Anexo I-AB'!B912=+'DCA-Anexo I-AB'!B913+'DCA-Anexo I-AB'!B914+'DCA-Anexo I-AB'!B915+'DCA-Anexo I-AB'!B916+'DCA-Anexo I-AB'!B917</t>
  </si>
  <si>
    <t>'DCA-Anexo I-AB'!B918=+'DCA-Anexo I-AB'!B919+'DCA-Anexo I-AB'!B920+'DCA-Anexo I-AB'!B921+'DCA-Anexo I-AB'!B922+'DCA-Anexo I-AB'!B923</t>
  </si>
  <si>
    <t>'DCA-Anexo I-AB'!B924=+'DCA-Anexo I-AB'!B925+'DCA-Anexo I-AB'!B926+'DCA-Anexo I-AB'!B927+'DCA-Anexo I-AB'!B928+'DCA-Anexo I-AB'!B929</t>
  </si>
  <si>
    <t>'DCA-Anexo I-AB'!B930=+'DCA-Anexo I-AB'!B931+'DCA-Anexo I-AB'!B932+'DCA-Anexo I-AB'!B933+'DCA-Anexo I-AB'!B934+'DCA-Anexo I-AB'!B935</t>
  </si>
  <si>
    <t>'DCA-Anexo I-AB'!B936=+'DCA-Anexo I-AB'!B937+'DCA-Anexo I-AB'!B938+'DCA-Anexo I-AB'!B939+'DCA-Anexo I-AB'!B940+'DCA-Anexo I-AB'!B941</t>
  </si>
  <si>
    <t>'DCA-Anexo I-AB'!B942=+'DCA-Anexo I-AB'!B943+'DCA-Anexo I-AB'!B944+'DCA-Anexo I-AB'!B945+'DCA-Anexo I-AB'!B946+'DCA-Anexo I-AB'!B947</t>
  </si>
  <si>
    <t>'DCA-Anexo I-AB'!B948=+'DCA-Anexo I-AB'!B949+'DCA-Anexo I-AB'!B950+'DCA-Anexo I-AB'!B951+'DCA-Anexo I-AB'!B952+'DCA-Anexo I-AB'!B953</t>
  </si>
  <si>
    <t>'DCA-Anexo I-AB'!B960=+'DCA-Anexo I-AB'!B961+'DCA-Anexo I-AB'!B962+'DCA-Anexo I-AB'!B963+'DCA-Anexo I-AB'!B964+'DCA-Anexo I-AB'!B965</t>
  </si>
  <si>
    <t>'DCA-Anexo I-AB'!B966=+'DCA-Anexo I-AB'!B967+'DCA-Anexo I-AB'!B975+'DCA-Anexo I-AB'!B973</t>
  </si>
  <si>
    <t>'DCA-Anexo I-AB'!B967=+'DCA-Anexo I-AB'!B968+'DCA-Anexo I-AB'!B969+'DCA-Anexo I-AB'!B970+'DCA-Anexo I-AB'!B971+'DCA-Anexo I-AB'!B972</t>
  </si>
  <si>
    <t>'DCA-Anexo I-AB'!B975=+'DCA-Anexo I-AB'!B976+'DCA-Anexo I-AB'!B977+'DCA-Anexo I-AB'!B978+'DCA-Anexo I-AB'!B979+'DCA-Anexo I-AB'!B980</t>
  </si>
  <si>
    <t>'DCA-Anexo I-AB'!B981=+'DCA-Anexo I-AB'!B982+'DCA-Anexo I-AB'!B1008</t>
  </si>
  <si>
    <t>'DCA-Anexo I-AB'!B982=+'DCA-Anexo I-AB'!B983+'DCA-Anexo I-AB'!B988+'DCA-Anexo I-AB'!B993+'DCA-Anexo I-AB'!B998+'DCA-Anexo I-AB'!B1003</t>
  </si>
  <si>
    <t>'DCA-Anexo I-AB'!B983=+'DCA-Anexo I-AB'!B984+'DCA-Anexo I-AB'!B985+'DCA-Anexo I-AB'!B986+'DCA-Anexo I-AB'!B987</t>
  </si>
  <si>
    <t>'DCA-Anexo I-AB'!B988=+'DCA-Anexo I-AB'!B989+'DCA-Anexo I-AB'!B990+'DCA-Anexo I-AB'!B991+'DCA-Anexo I-AB'!B992</t>
  </si>
  <si>
    <t>'DCA-Anexo I-AB'!B993=+'DCA-Anexo I-AB'!B994+'DCA-Anexo I-AB'!B995+'DCA-Anexo I-AB'!B996+'DCA-Anexo I-AB'!B997</t>
  </si>
  <si>
    <t>'DCA-Anexo I-AB'!B998=+'DCA-Anexo I-AB'!B999+'DCA-Anexo I-AB'!B1000+'DCA-Anexo I-AB'!B1001+'DCA-Anexo I-AB'!B1002</t>
  </si>
  <si>
    <t>'DCA-Anexo I-AB'!B1003=+'DCA-Anexo I-AB'!B1004+'DCA-Anexo I-AB'!B1005+'DCA-Anexo I-AB'!B1006+'DCA-Anexo I-AB'!B1007</t>
  </si>
  <si>
    <t>'DCA-Anexo I-AB'!B1008=+'DCA-Anexo I-AB'!B1009+'DCA-Anexo I-AB'!B1016+'DCA-Anexo I-AB'!B1023+'DCA-Anexo I-AB'!B1030+'DCA-Anexo I-AB'!B1037</t>
  </si>
  <si>
    <t>'DCA-Anexo I-AB'!B1009=+'DCA-Anexo I-AB'!B1010+'DCA-Anexo I-AB'!B1011+'DCA-Anexo I-AB'!B1012+'DCA-Anexo I-AB'!B1013+'DCA-Anexo I-AB'!B1014+'DCA-Anexo I-AB'!B1015</t>
  </si>
  <si>
    <t>'DCA-Anexo I-AB'!B1016=+'DCA-Anexo I-AB'!B1017+'DCA-Anexo I-AB'!B1018+'DCA-Anexo I-AB'!B1019+'DCA-Anexo I-AB'!B1020+'DCA-Anexo I-AB'!B1021+'DCA-Anexo I-AB'!B1022</t>
  </si>
  <si>
    <t>'DCA-Anexo I-AB'!B1023=+'DCA-Anexo I-AB'!B1024+'DCA-Anexo I-AB'!B1025+'DCA-Anexo I-AB'!B1026+'DCA-Anexo I-AB'!B1027+'DCA-Anexo I-AB'!B1028+'DCA-Anexo I-AB'!B1029</t>
  </si>
  <si>
    <t>'DCA-Anexo I-AB'!B1030=+'DCA-Anexo I-AB'!B1031+'DCA-Anexo I-AB'!B1032+'DCA-Anexo I-AB'!B1033+'DCA-Anexo I-AB'!B1034+'DCA-Anexo I-AB'!B1035+'DCA-Anexo I-AB'!B1036</t>
  </si>
  <si>
    <t>'DCA-Anexo I-AB'!B1037=+'DCA-Anexo I-AB'!B1038+'DCA-Anexo I-AB'!B1039+'DCA-Anexo I-AB'!B1040+'DCA-Anexo I-AB'!B1041+'DCA-Anexo I-AB'!B1042+'DCA-Anexo I-AB'!B1043</t>
  </si>
  <si>
    <t>'DCA-Anexo I-AB'!B1044=+'DCA-Anexo I-AB'!B1045+'DCA-Anexo I-AB'!B1051</t>
  </si>
  <si>
    <t>'DCA-Anexo I-AB'!B1045=+'DCA-Anexo I-AB'!B1046+'DCA-Anexo I-AB'!B1047+'DCA-Anexo I-AB'!B1048+'DCA-Anexo I-AB'!B1049+'DCA-Anexo I-AB'!B1050</t>
  </si>
  <si>
    <t>'DCA-Anexo I-AB'!B1051=+'DCA-Anexo I-AB'!B1052+'DCA-Anexo I-AB'!B1053+'DCA-Anexo I-AB'!B1054+'DCA-Anexo I-AB'!B1055+'DCA-Anexo I-AB'!B1056</t>
  </si>
  <si>
    <t>'DCA-Anexo I-AB'!B954=+'DCA-Anexo I-AB'!B955+'DCA-Anexo I-AB'!B956+'DCA-Anexo I-AB'!B958+'DCA-Anexo I-AB'!B957+'DCA-Anexo I-AB'!B959</t>
  </si>
  <si>
    <t>'DCA-Anexo I-AB'!B861=+'DCA-Anexo I-AB'!B862+'DCA-Anexo I-AB'!B863+'DCA-Anexo I-AB'!B864+'DCA-Anexo I-AB'!B865+'DCA-Anexo I-AB'!B866</t>
  </si>
  <si>
    <t>'DCA-Anexo I-AB'!B973=+'DCA-Anexo I-AB'!B974</t>
  </si>
  <si>
    <t>'DCA-Anexo I-AB'!B1073=+'DCA-Anexo I-AB'!B1059+'DCA-Anexo I-AB'!B1062-'DCA-Anexo I-AB'!B1065-'DCA-Anexo I-AB'!B1070</t>
  </si>
  <si>
    <t>'DCA-Anexo I-AB'!B1065=+'DCA-Anexo I-AB'!B1066+'DCA-Anexo I-AB'!B1067+'DCA-Anexo I-AB'!B1068+'DCA-Anexo I-AB'!B1069</t>
  </si>
  <si>
    <t>'DCA-Anexo I-AB'!B1059=+'DCA-Anexo I-AB'!B1060+'DCA-Anexo I-AB'!B1061</t>
  </si>
  <si>
    <t>'DCA-Anexo I-AB'!B1062=+'DCA-Anexo I-AB'!B1063+'DCA-Anexo I-AB'!B1064</t>
  </si>
  <si>
    <t>'DCA-Anexo I-AB'!B1070=+'DCA-Anexo I-AB'!B1071+'DCA-Anexo I-AB'!B1072</t>
  </si>
  <si>
    <t>'DCA-Anexo I-AB'!B467=+'DCA-Anexo I-AB'!B468+'DCA-Anexo I-AB'!B650+'DCA-Anexo I-AB'!B846</t>
  </si>
  <si>
    <t>'DCA-Anexo I-AB'!B21=+'DCA-Anexo I-AB'!B22+'DCA-Anexo I-AB'!B227</t>
  </si>
  <si>
    <t>'DCA-Anexo I-AB'!B1076=+'DCA-Anexo I-AB'!B1077+'DCA-Anexo I-AB'!B1078+'DCA-Anexo I-AB'!B1079+'DCA-Anexo I-AB'!B1081+'DCA-Anexo I-AB'!B1080</t>
  </si>
  <si>
    <t>'DCA-Anexo I-AB'!B1082=+'DCA-Anexo I-AB'!B1083+'DCA-Anexo I-AB'!B1084+'DCA-Anexo I-AB'!B1085+'DCA-Anexo I-AB'!B1087+'DCA-Anexo I-AB'!B1086</t>
  </si>
  <si>
    <t>[DCA-Anexo I-HI]</t>
  </si>
  <si>
    <t>'DCA-Anexo I-HI'!B22=+'DCA-Anexo I-HI'!B23+'DCA-Anexo I-HI'!B58+'DCA-Anexo I-HI'!B31+'DCA-Anexo I-HI'!B65</t>
  </si>
  <si>
    <t>'DCA-Anexo I-HI'!B23=+'DCA-Anexo I-HI'!B24+'DCA-Anexo I-HI'!B27+'DCA-Anexo I-HI'!B29</t>
  </si>
  <si>
    <t>'DCA-Anexo I-HI'!B24=+'DCA-Anexo I-HI'!B25+'DCA-Anexo I-HI'!B26</t>
  </si>
  <si>
    <t>'DCA-Anexo I-HI'!B27=+'DCA-Anexo I-HI'!B28</t>
  </si>
  <si>
    <t>'DCA-Anexo I-HI'!B29=+'DCA-Anexo I-HI'!B30</t>
  </si>
  <si>
    <t>'DCA-Anexo I-HI'!B31=+'DCA-Anexo I-HI'!B32+'DCA-Anexo I-HI'!B52+'DCA-Anexo I-HI'!B43+'DCA-Anexo I-HI'!B49+'DCA-Anexo I-HI'!B37+'DCA-Anexo I-HI'!B41</t>
  </si>
  <si>
    <t>'DCA-Anexo I-HI'!B32=+'DCA-Anexo I-HI'!B33+'DCA-Anexo I-HI'!B35+'DCA-Anexo I-HI'!B34+'DCA-Anexo I-HI'!B36</t>
  </si>
  <si>
    <t>'DCA-Anexo I-HI'!B37=+'DCA-Anexo I-HI'!B38+'DCA-Anexo I-HI'!B39+'DCA-Anexo I-HI'!B40</t>
  </si>
  <si>
    <t>'DCA-Anexo I-HI'!B41=+'DCA-Anexo I-HI'!B42</t>
  </si>
  <si>
    <t>'DCA-Anexo I-HI'!B49=+'DCA-Anexo I-HI'!B50+'DCA-Anexo I-HI'!B51</t>
  </si>
  <si>
    <t>'DCA-Anexo I-HI'!B52=+'DCA-Anexo I-HI'!B53+'DCA-Anexo I-HI'!B56+'DCA-Anexo I-HI'!B55+'DCA-Anexo I-HI'!B57+'DCA-Anexo I-HI'!B54</t>
  </si>
  <si>
    <t>'DCA-Anexo I-HI'!B58=+'DCA-Anexo I-HI'!B63+'DCA-Anexo I-HI'!B59+'DCA-Anexo I-HI'!B61</t>
  </si>
  <si>
    <t>'DCA-Anexo I-HI'!B59=+'DCA-Anexo I-HI'!B60</t>
  </si>
  <si>
    <t>'DCA-Anexo I-HI'!B61=+'DCA-Anexo I-HI'!B62</t>
  </si>
  <si>
    <t>'DCA-Anexo I-HI'!B63=+'DCA-Anexo I-HI'!B64</t>
  </si>
  <si>
    <t>'DCA-Anexo I-HI'!B65=+'DCA-Anexo I-HI'!B68+'DCA-Anexo I-HI'!B66+'DCA-Anexo I-HI'!B74</t>
  </si>
  <si>
    <t>'DCA-Anexo I-HI'!B66=+'DCA-Anexo I-HI'!B67</t>
  </si>
  <si>
    <t>'DCA-Anexo I-HI'!B68=+'DCA-Anexo I-HI'!B69+'DCA-Anexo I-HI'!B70+'DCA-Anexo I-HI'!B71+'DCA-Anexo I-HI'!B72+'DCA-Anexo I-HI'!B73</t>
  </si>
  <si>
    <t>'DCA-Anexo I-HI'!B74=+'DCA-Anexo I-HI'!B75+'DCA-Anexo I-HI'!B76+'DCA-Anexo I-HI'!B77+'DCA-Anexo I-HI'!B78+'DCA-Anexo I-HI'!B79</t>
  </si>
  <si>
    <t>'DCA-Anexo I-HI'!B43=+'DCA-Anexo I-HI'!B44+'DCA-Anexo I-HI'!B45+'DCA-Anexo I-HI'!B46+'DCA-Anexo I-HI'!B47+'DCA-Anexo I-HI'!B48</t>
  </si>
  <si>
    <t>'DCA-Anexo I-HI'!B80=+'DCA-Anexo I-HI'!B108+'DCA-Anexo I-HI'!B120+'DCA-Anexo I-HI'!B101+'DCA-Anexo I-HI'!B81+'DCA-Anexo I-HI'!B92+'DCA-Anexo I-HI'!B117</t>
  </si>
  <si>
    <t>'DCA-Anexo I-HI'!B81=+'DCA-Anexo I-HI'!B82+'DCA-Anexo I-HI'!B84+'DCA-Anexo I-HI'!B86+'DCA-Anexo I-HI'!B88+'DCA-Anexo I-HI'!B90</t>
  </si>
  <si>
    <t>'DCA-Anexo I-HI'!B82=+'DCA-Anexo I-HI'!B83</t>
  </si>
  <si>
    <t>'DCA-Anexo I-HI'!B84=+'DCA-Anexo I-HI'!B85</t>
  </si>
  <si>
    <t>'DCA-Anexo I-HI'!B86=+'DCA-Anexo I-HI'!B87</t>
  </si>
  <si>
    <t>'DCA-Anexo I-HI'!B90=+'DCA-Anexo I-HI'!B91</t>
  </si>
  <si>
    <t>'DCA-Anexo I-HI'!B92=+'DCA-Anexo I-HI'!B97+'DCA-Anexo I-HI'!B93+'DCA-Anexo I-HI'!B95+'DCA-Anexo I-HI'!B99</t>
  </si>
  <si>
    <t>'DCA-Anexo I-HI'!B93=+'DCA-Anexo I-HI'!B94</t>
  </si>
  <si>
    <t>'DCA-Anexo I-HI'!B95=+'DCA-Anexo I-HI'!B96</t>
  </si>
  <si>
    <t>'DCA-Anexo I-HI'!B97=+'DCA-Anexo I-HI'!B98</t>
  </si>
  <si>
    <t>'DCA-Anexo I-HI'!B99=+'DCA-Anexo I-HI'!B100</t>
  </si>
  <si>
    <t>'DCA-Anexo I-HI'!B101=+'DCA-Anexo I-HI'!B106+'DCA-Anexo I-HI'!B104+'DCA-Anexo I-HI'!B102</t>
  </si>
  <si>
    <t>'DCA-Anexo I-HI'!B102=+'DCA-Anexo I-HI'!B103</t>
  </si>
  <si>
    <t>'DCA-Anexo I-HI'!B104=+'DCA-Anexo I-HI'!B105</t>
  </si>
  <si>
    <t>'DCA-Anexo I-HI'!B106=+'DCA-Anexo I-HI'!B107</t>
  </si>
  <si>
    <t>'DCA-Anexo I-HI'!B108=+'DCA-Anexo I-HI'!B109+'DCA-Anexo I-HI'!B111+'DCA-Anexo I-HI'!B113+'DCA-Anexo I-HI'!B115</t>
  </si>
  <si>
    <t>'DCA-Anexo I-HI'!B111=+'DCA-Anexo I-HI'!B112</t>
  </si>
  <si>
    <t>'DCA-Anexo I-HI'!B113=+'DCA-Anexo I-HI'!B114</t>
  </si>
  <si>
    <t>'DCA-Anexo I-HI'!B115=+'DCA-Anexo I-HI'!B116</t>
  </si>
  <si>
    <t>'DCA-Anexo I-HI'!B117=+'DCA-Anexo I-HI'!B118</t>
  </si>
  <si>
    <t>'DCA-Anexo I-HI'!B120=+'DCA-Anexo I-HI'!B128+'DCA-Anexo I-HI'!B124+'DCA-Anexo I-HI'!B121+'DCA-Anexo I-HI'!B126</t>
  </si>
  <si>
    <t>'DCA-Anexo I-HI'!B121=+'DCA-Anexo I-HI'!B122+'DCA-Anexo I-HI'!B123</t>
  </si>
  <si>
    <t>'DCA-Anexo I-HI'!B124=+'DCA-Anexo I-HI'!B125</t>
  </si>
  <si>
    <t>'DCA-Anexo I-HI'!B126=+'DCA-Anexo I-HI'!B127</t>
  </si>
  <si>
    <t>'DCA-Anexo I-HI'!B128=+'DCA-Anexo I-HI'!B129+'DCA-Anexo I-HI'!B130</t>
  </si>
  <si>
    <t>'DCA-Anexo I-HI'!B109=+'DCA-Anexo I-HI'!B110</t>
  </si>
  <si>
    <t>'DCA-Anexo I-HI'!B88=+'DCA-Anexo I-HI'!B89</t>
  </si>
  <si>
    <t>'DCA-Anexo I-HI'!B118=+'DCA-Anexo I-HI'!B119</t>
  </si>
  <si>
    <t>'DCA-Anexo I-HI'!B21=+'DCA-Anexo I-HI'!B22+'DCA-Anexo I-HI'!B302+'DCA-Anexo I-HI'!B360+'DCA-Anexo I-HI'!B493+'DCA-Anexo I-HI'!B131+'DCA-Anexo I-HI'!B80+'DCA-Anexo I-HI'!B426+'DCA-Anexo I-HI'!B165+'DCA-Anexo I-HI'!B471</t>
  </si>
  <si>
    <t>'DCA-Anexo I-HI'!B131=+'DCA-Anexo I-HI'!B158+'DCA-Anexo I-HI'!B141+'DCA-Anexo I-HI'!B132</t>
  </si>
  <si>
    <t>'DCA-Anexo I-HI'!B132=+'DCA-Anexo I-HI'!B135+'DCA-Anexo I-HI'!B133</t>
  </si>
  <si>
    <t>'DCA-Anexo I-HI'!B133=+'DCA-Anexo I-HI'!B134</t>
  </si>
  <si>
    <t>'DCA-Anexo I-HI'!B135=+'DCA-Anexo I-HI'!B136+'DCA-Anexo I-HI'!B137+'DCA-Anexo I-HI'!B138+'DCA-Anexo I-HI'!B139+'DCA-Anexo I-HI'!B140</t>
  </si>
  <si>
    <t>'DCA-Anexo I-HI'!B141=+'DCA-Anexo I-HI'!B152+'DCA-Anexo I-HI'!B146+'DCA-Anexo I-HI'!B142+'DCA-Anexo I-HI'!B144</t>
  </si>
  <si>
    <t>'DCA-Anexo I-HI'!B142=+'DCA-Anexo I-HI'!B143</t>
  </si>
  <si>
    <t>'DCA-Anexo I-HI'!B144=+'DCA-Anexo I-HI'!B145</t>
  </si>
  <si>
    <t>'DCA-Anexo I-HI'!B146=+'DCA-Anexo I-HI'!B147+'DCA-Anexo I-HI'!B148+'DCA-Anexo I-HI'!B149+'DCA-Anexo I-HI'!B150+'DCA-Anexo I-HI'!B151</t>
  </si>
  <si>
    <t>'DCA-Anexo I-HI'!B152=+'DCA-Anexo I-HI'!B153+'DCA-Anexo I-HI'!B154+'DCA-Anexo I-HI'!B155+'DCA-Anexo I-HI'!B156+'DCA-Anexo I-HI'!B157</t>
  </si>
  <si>
    <t>'DCA-Anexo I-HI'!B158=+'DCA-Anexo I-HI'!B161+'DCA-Anexo I-HI'!B163+'DCA-Anexo I-HI'!B159</t>
  </si>
  <si>
    <t>'DCA-Anexo I-HI'!B159=+'DCA-Anexo I-HI'!B160</t>
  </si>
  <si>
    <t>'DCA-Anexo I-HI'!B161=+'DCA-Anexo I-HI'!B162</t>
  </si>
  <si>
    <t>'DCA-Anexo I-HI'!B163=+'DCA-Anexo I-HI'!B164</t>
  </si>
  <si>
    <t>'DCA-Anexo I-HI'!B165=+'DCA-Anexo I-HI'!B166+'DCA-Anexo I-HI'!B191+'DCA-Anexo I-HI'!B230+'DCA-Anexo I-HI'!B259+'DCA-Anexo I-HI'!B271+'DCA-Anexo I-HI'!B278+'DCA-Anexo I-HI'!B283+'DCA-Anexo I-HI'!B266</t>
  </si>
  <si>
    <t>'DCA-Anexo I-HI'!B166=+'DCA-Anexo I-HI'!B189+'DCA-Anexo I-HI'!B173+'DCA-Anexo I-HI'!B181+'DCA-Anexo I-HI'!B183+'DCA-Anexo I-HI'!B167+'DCA-Anexo I-HI'!B175</t>
  </si>
  <si>
    <t>'DCA-Anexo I-HI'!B167=+'DCA-Anexo I-HI'!B171+'DCA-Anexo I-HI'!B172+'DCA-Anexo I-HI'!B170+'DCA-Anexo I-HI'!B168+'DCA-Anexo I-HI'!B169</t>
  </si>
  <si>
    <t>'DCA-Anexo I-HI'!B173=+'DCA-Anexo I-HI'!B174</t>
  </si>
  <si>
    <t>'DCA-Anexo I-HI'!B175=+'DCA-Anexo I-HI'!B176+'DCA-Anexo I-HI'!B177+'DCA-Anexo I-HI'!B178+'DCA-Anexo I-HI'!B179+'DCA-Anexo I-HI'!B180</t>
  </si>
  <si>
    <t>'DCA-Anexo I-HI'!B181=+'DCA-Anexo I-HI'!B182</t>
  </si>
  <si>
    <t>'DCA-Anexo I-HI'!B183=+'DCA-Anexo I-HI'!B184+'DCA-Anexo I-HI'!B186+'DCA-Anexo I-HI'!B188+'DCA-Anexo I-HI'!B187+'DCA-Anexo I-HI'!B185</t>
  </si>
  <si>
    <t>'DCA-Anexo I-HI'!B189=+'DCA-Anexo I-HI'!B190</t>
  </si>
  <si>
    <t>'DCA-Anexo I-HI'!B191=+'DCA-Anexo I-HI'!B224+'DCA-Anexo I-HI'!B198+'DCA-Anexo I-HI'!B206+'DCA-Anexo I-HI'!B192+'DCA-Anexo I-HI'!B200+'DCA-Anexo I-HI'!B212+'DCA-Anexo I-HI'!B218</t>
  </si>
  <si>
    <t>'DCA-Anexo I-HI'!B192=+'DCA-Anexo I-HI'!B195+'DCA-Anexo I-HI'!B196+'DCA-Anexo I-HI'!B193+'DCA-Anexo I-HI'!B197+'DCA-Anexo I-HI'!B194</t>
  </si>
  <si>
    <t>'DCA-Anexo I-HI'!B198=+'DCA-Anexo I-HI'!B199</t>
  </si>
  <si>
    <t>'DCA-Anexo I-HI'!B200=+'DCA-Anexo I-HI'!B201+'DCA-Anexo I-HI'!B202+'DCA-Anexo I-HI'!B203+'DCA-Anexo I-HI'!B204+'DCA-Anexo I-HI'!B205</t>
  </si>
  <si>
    <t>'DCA-Anexo I-HI'!B206=+'DCA-Anexo I-HI'!B207+'DCA-Anexo I-HI'!B208+'DCA-Anexo I-HI'!B209+'DCA-Anexo I-HI'!B210+'DCA-Anexo I-HI'!B211</t>
  </si>
  <si>
    <t>'DCA-Anexo I-HI'!B224=+'DCA-Anexo I-HI'!B225+'DCA-Anexo I-HI'!B226+'DCA-Anexo I-HI'!B227+'DCA-Anexo I-HI'!B228+'DCA-Anexo I-HI'!B229</t>
  </si>
  <si>
    <t>'DCA-Anexo I-HI'!B230=+'DCA-Anexo I-HI'!B231+'DCA-Anexo I-HI'!B237+'DCA-Anexo I-HI'!B239+'DCA-Anexo I-HI'!B245+'DCA-Anexo I-HI'!B247+'DCA-Anexo I-HI'!B253</t>
  </si>
  <si>
    <t>'DCA-Anexo I-HI'!B231=+'DCA-Anexo I-HI'!B236+'DCA-Anexo I-HI'!B235+'DCA-Anexo I-HI'!B234+'DCA-Anexo I-HI'!B232+'DCA-Anexo I-HI'!B233</t>
  </si>
  <si>
    <t>'DCA-Anexo I-HI'!B237=+'DCA-Anexo I-HI'!B238</t>
  </si>
  <si>
    <t>'DCA-Anexo I-HI'!B239=+'DCA-Anexo I-HI'!B240+'DCA-Anexo I-HI'!B241+'DCA-Anexo I-HI'!B242+'DCA-Anexo I-HI'!B243+'DCA-Anexo I-HI'!B244</t>
  </si>
  <si>
    <t>'DCA-Anexo I-HI'!B245=+'DCA-Anexo I-HI'!B246</t>
  </si>
  <si>
    <t>'DCA-Anexo I-HI'!B253=+'DCA-Anexo I-HI'!B258+'DCA-Anexo I-HI'!B257+'DCA-Anexo I-HI'!B254+'DCA-Anexo I-HI'!B256+'DCA-Anexo I-HI'!B255</t>
  </si>
  <si>
    <t>'DCA-Anexo I-HI'!B259=+'DCA-Anexo I-HI'!B260</t>
  </si>
  <si>
    <t>'DCA-Anexo I-HI'!B283=+'DCA-Anexo I-HI'!B296+'DCA-Anexo I-HI'!B290+'DCA-Anexo I-HI'!B284</t>
  </si>
  <si>
    <t>'DCA-Anexo I-HI'!B284=+'DCA-Anexo I-HI'!B285+'DCA-Anexo I-HI'!B286+'DCA-Anexo I-HI'!B287+'DCA-Anexo I-HI'!B288+'DCA-Anexo I-HI'!B289</t>
  </si>
  <si>
    <t>'DCA-Anexo I-HI'!B290=+'DCA-Anexo I-HI'!B291+'DCA-Anexo I-HI'!B292+'DCA-Anexo I-HI'!B293+'DCA-Anexo I-HI'!B294+'DCA-Anexo I-HI'!B295</t>
  </si>
  <si>
    <t>'DCA-Anexo I-HI'!B296=+'DCA-Anexo I-HI'!B297+'DCA-Anexo I-HI'!B298+'DCA-Anexo I-HI'!B299+'DCA-Anexo I-HI'!B300+'DCA-Anexo I-HI'!B301</t>
  </si>
  <si>
    <t>'DCA-Anexo I-HI'!B278=+'DCA-Anexo I-HI'!B279+'DCA-Anexo I-HI'!B281</t>
  </si>
  <si>
    <t>'DCA-Anexo I-HI'!B279=+'DCA-Anexo I-HI'!B280</t>
  </si>
  <si>
    <t>'DCA-Anexo I-HI'!B281=+'DCA-Anexo I-HI'!B282</t>
  </si>
  <si>
    <t>'DCA-Anexo I-HI'!B212=+'DCA-Anexo I-HI'!B213+'DCA-Anexo I-HI'!B214+'DCA-Anexo I-HI'!B215+'DCA-Anexo I-HI'!B216+'DCA-Anexo I-HI'!B217</t>
  </si>
  <si>
    <t>'DCA-Anexo I-HI'!B260=+'DCA-Anexo I-HI'!B261+'DCA-Anexo I-HI'!B262+'DCA-Anexo I-HI'!B263+'DCA-Anexo I-HI'!B264+'DCA-Anexo I-HI'!B265</t>
  </si>
  <si>
    <t>'DCA-Anexo I-HI'!B218=+'DCA-Anexo I-HI'!B219+'DCA-Anexo I-HI'!B220+'DCA-Anexo I-HI'!B221+'DCA-Anexo I-HI'!B222+'DCA-Anexo I-HI'!B223</t>
  </si>
  <si>
    <t>'DCA-Anexo I-HI'!B247=+'DCA-Anexo I-HI'!B248+'DCA-Anexo I-HI'!B249+'DCA-Anexo I-HI'!B250+'DCA-Anexo I-HI'!B251+'DCA-Anexo I-HI'!B252</t>
  </si>
  <si>
    <t>'DCA-Anexo I-HI'!B271=+'DCA-Anexo I-HI'!B272</t>
  </si>
  <si>
    <t>'DCA-Anexo I-HI'!B272=+'DCA-Anexo I-HI'!B273+'DCA-Anexo I-HI'!B274+'DCA-Anexo I-HI'!B275+'DCA-Anexo I-HI'!B276+'DCA-Anexo I-HI'!B277</t>
  </si>
  <si>
    <t>'DCA-Anexo I-HI'!B266=+'DCA-Anexo I-HI'!B267+'DCA-Anexo I-HI'!B269</t>
  </si>
  <si>
    <t>'DCA-Anexo I-HI'!B267=+'DCA-Anexo I-HI'!B268</t>
  </si>
  <si>
    <t>'DCA-Anexo I-HI'!B269=+'DCA-Anexo I-HI'!B270</t>
  </si>
  <si>
    <t>'DCA-Anexo I-HI'!B302=+'DCA-Anexo I-HI'!B346+'DCA-Anexo I-HI'!B337+'DCA-Anexo I-HI'!B343+'DCA-Anexo I-HI'!B314+'DCA-Anexo I-HI'!B340+'DCA-Anexo I-HI'!B332+'DCA-Anexo I-HI'!B303+'DCA-Anexo I-HI'!B353</t>
  </si>
  <si>
    <t>'DCA-Anexo I-HI'!B303=+'DCA-Anexo I-HI'!B304+'DCA-Anexo I-HI'!B306+'DCA-Anexo I-HI'!B308+'DCA-Anexo I-HI'!B310+'DCA-Anexo I-HI'!B312</t>
  </si>
  <si>
    <t>'DCA-Anexo I-HI'!B304=+'DCA-Anexo I-HI'!B305</t>
  </si>
  <si>
    <t>'DCA-Anexo I-HI'!B306=+'DCA-Anexo I-HI'!B307</t>
  </si>
  <si>
    <t>'DCA-Anexo I-HI'!B308=+'DCA-Anexo I-HI'!B309</t>
  </si>
  <si>
    <t>'DCA-Anexo I-HI'!B310=+'DCA-Anexo I-HI'!B311</t>
  </si>
  <si>
    <t>'DCA-Anexo I-HI'!B314=+'DCA-Anexo I-HI'!B315+'DCA-Anexo I-HI'!B322+'DCA-Anexo I-HI'!B320+'DCA-Anexo I-HI'!B327</t>
  </si>
  <si>
    <t>'DCA-Anexo I-HI'!B315=+'DCA-Anexo I-HI'!B316+'DCA-Anexo I-HI'!B317+'DCA-Anexo I-HI'!B318+'DCA-Anexo I-HI'!B319</t>
  </si>
  <si>
    <t>'DCA-Anexo I-HI'!B320=+'DCA-Anexo I-HI'!B321</t>
  </si>
  <si>
    <t>'DCA-Anexo I-HI'!B322=+'DCA-Anexo I-HI'!B325+'DCA-Anexo I-HI'!B326+'DCA-Anexo I-HI'!B323+'DCA-Anexo I-HI'!B324</t>
  </si>
  <si>
    <t>'DCA-Anexo I-HI'!B327=+'DCA-Anexo I-HI'!B331+'DCA-Anexo I-HI'!B329+'DCA-Anexo I-HI'!B330+'DCA-Anexo I-HI'!B328</t>
  </si>
  <si>
    <t>'DCA-Anexo I-HI'!B332=+'DCA-Anexo I-HI'!B335+'DCA-Anexo I-HI'!B333</t>
  </si>
  <si>
    <t>'DCA-Anexo I-HI'!B333=+'DCA-Anexo I-HI'!B334</t>
  </si>
  <si>
    <t>'DCA-Anexo I-HI'!B335=+'DCA-Anexo I-HI'!B336</t>
  </si>
  <si>
    <t>'DCA-Anexo I-HI'!B337=+'DCA-Anexo I-HI'!B338</t>
  </si>
  <si>
    <t>'DCA-Anexo I-HI'!B340=+'DCA-Anexo I-HI'!B341</t>
  </si>
  <si>
    <t>'DCA-Anexo I-HI'!B343=+'DCA-Anexo I-HI'!B344</t>
  </si>
  <si>
    <t>'DCA-Anexo I-HI'!B346=+'DCA-Anexo I-HI'!B351+'DCA-Anexo I-HI'!B347</t>
  </si>
  <si>
    <t>'DCA-Anexo I-HI'!B347=+'DCA-Anexo I-HI'!B349+'DCA-Anexo I-HI'!B350+'DCA-Anexo I-HI'!B348</t>
  </si>
  <si>
    <t>'DCA-Anexo I-HI'!B351=+'DCA-Anexo I-HI'!B352</t>
  </si>
  <si>
    <t>'DCA-Anexo I-HI'!B353=+'DCA-Anexo I-HI'!B354</t>
  </si>
  <si>
    <t>'DCA-Anexo I-HI'!B312=+'DCA-Anexo I-HI'!B313</t>
  </si>
  <si>
    <t>'DCA-Anexo I-HI'!B338=+'DCA-Anexo I-HI'!B339</t>
  </si>
  <si>
    <t>'DCA-Anexo I-HI'!B341=+'DCA-Anexo I-HI'!B342</t>
  </si>
  <si>
    <t>'DCA-Anexo I-HI'!B344=+'DCA-Anexo I-HI'!B345</t>
  </si>
  <si>
    <t>'DCA-Anexo I-HI'!B354=+'DCA-Anexo I-HI'!B355+'DCA-Anexo I-HI'!B356+'DCA-Anexo I-HI'!B357+'DCA-Anexo I-HI'!B358+'DCA-Anexo I-HI'!B359</t>
  </si>
  <si>
    <t>'DCA-Anexo I-HI'!B360=+'DCA-Anexo I-HI'!B412+'DCA-Anexo I-HI'!B361+'DCA-Anexo I-HI'!B419+'DCA-Anexo I-HI'!B403+'DCA-Anexo I-HI'!B386</t>
  </si>
  <si>
    <t>'DCA-Anexo I-HI'!B361=+'DCA-Anexo I-HI'!B376+'DCA-Anexo I-HI'!B366+'DCA-Anexo I-HI'!B378+'DCA-Anexo I-HI'!B368+'DCA-Anexo I-HI'!B364+'DCA-Anexo I-HI'!B362+'DCA-Anexo I-HI'!B384+'DCA-Anexo I-HI'!B374</t>
  </si>
  <si>
    <t>'DCA-Anexo I-HI'!B362=+'DCA-Anexo I-HI'!B363</t>
  </si>
  <si>
    <t>'DCA-Anexo I-HI'!B364=+'DCA-Anexo I-HI'!B365</t>
  </si>
  <si>
    <t>'DCA-Anexo I-HI'!B366=+'DCA-Anexo I-HI'!B367</t>
  </si>
  <si>
    <t>'DCA-Anexo I-HI'!B368=+'DCA-Anexo I-HI'!B372+'DCA-Anexo I-HI'!B370+'DCA-Anexo I-HI'!B373+'DCA-Anexo I-HI'!B371+'DCA-Anexo I-HI'!B369</t>
  </si>
  <si>
    <t>'DCA-Anexo I-HI'!B374=+'DCA-Anexo I-HI'!B375</t>
  </si>
  <si>
    <t>'DCA-Anexo I-HI'!B376=+'DCA-Anexo I-HI'!B377</t>
  </si>
  <si>
    <t>'DCA-Anexo I-HI'!B378=+'DCA-Anexo I-HI'!B380+'DCA-Anexo I-HI'!B382+'DCA-Anexo I-HI'!B379+'DCA-Anexo I-HI'!B383+'DCA-Anexo I-HI'!B381</t>
  </si>
  <si>
    <t>'DCA-Anexo I-HI'!B384=+'DCA-Anexo I-HI'!B385</t>
  </si>
  <si>
    <t>'DCA-Anexo I-HI'!B386=+'DCA-Anexo I-HI'!B387+'DCA-Anexo I-HI'!B393+'DCA-Anexo I-HI'!B395+'DCA-Anexo I-HI'!B397</t>
  </si>
  <si>
    <t>'DCA-Anexo I-HI'!B387=+'DCA-Anexo I-HI'!B388+'DCA-Anexo I-HI'!B389+'DCA-Anexo I-HI'!B390+'DCA-Anexo I-HI'!B391+'DCA-Anexo I-HI'!B392</t>
  </si>
  <si>
    <t>'DCA-Anexo I-HI'!B393=+'DCA-Anexo I-HI'!B394</t>
  </si>
  <si>
    <t>'DCA-Anexo I-HI'!B395=+'DCA-Anexo I-HI'!B396</t>
  </si>
  <si>
    <t>'DCA-Anexo I-HI'!B403=+'DCA-Anexo I-HI'!B404+'DCA-Anexo I-HI'!B410+'DCA-Anexo I-HI'!B408+'DCA-Anexo I-HI'!B406</t>
  </si>
  <si>
    <t>'DCA-Anexo I-HI'!B404=+'DCA-Anexo I-HI'!B405</t>
  </si>
  <si>
    <t>'DCA-Anexo I-HI'!B406=+'DCA-Anexo I-HI'!B407</t>
  </si>
  <si>
    <t>'DCA-Anexo I-HI'!B408=+'DCA-Anexo I-HI'!B409</t>
  </si>
  <si>
    <t>'DCA-Anexo I-HI'!B410=+'DCA-Anexo I-HI'!B411</t>
  </si>
  <si>
    <t>'DCA-Anexo I-HI'!B412=+'DCA-Anexo I-HI'!B413</t>
  </si>
  <si>
    <t>'DCA-Anexo I-HI'!B419=+'DCA-Anexo I-HI'!B420</t>
  </si>
  <si>
    <t>'DCA-Anexo I-HI'!B397=+'DCA-Anexo I-HI'!B398+'DCA-Anexo I-HI'!B399+'DCA-Anexo I-HI'!B400+'DCA-Anexo I-HI'!B401+'DCA-Anexo I-HI'!B402</t>
  </si>
  <si>
    <t>'DCA-Anexo I-HI'!B413=+'DCA-Anexo I-HI'!B414+'DCA-Anexo I-HI'!B415+'DCA-Anexo I-HI'!B416+'DCA-Anexo I-HI'!B417+'DCA-Anexo I-HI'!B418</t>
  </si>
  <si>
    <t>'DCA-Anexo I-HI'!B420=+'DCA-Anexo I-HI'!B421+'DCA-Anexo I-HI'!B422+'DCA-Anexo I-HI'!B423+'DCA-Anexo I-HI'!B424+'DCA-Anexo I-HI'!B425</t>
  </si>
  <si>
    <t>'DCA-Anexo I-HI'!B426=+'DCA-Anexo I-HI'!B446+'DCA-Anexo I-HI'!B427</t>
  </si>
  <si>
    <t>'DCA-Anexo I-HI'!B427=+'DCA-Anexo I-HI'!B440+'DCA-Anexo I-HI'!B434+'DCA-Anexo I-HI'!B428</t>
  </si>
  <si>
    <t>'DCA-Anexo I-HI'!B428=+'DCA-Anexo I-HI'!B429+'DCA-Anexo I-HI'!B430+'DCA-Anexo I-HI'!B431+'DCA-Anexo I-HI'!B432+'DCA-Anexo I-HI'!B433</t>
  </si>
  <si>
    <t>'DCA-Anexo I-HI'!B434=+'DCA-Anexo I-HI'!B435+'DCA-Anexo I-HI'!B436+'DCA-Anexo I-HI'!B437+'DCA-Anexo I-HI'!B438+'DCA-Anexo I-HI'!B439</t>
  </si>
  <si>
    <t>'DCA-Anexo I-HI'!B440=+'DCA-Anexo I-HI'!B441+'DCA-Anexo I-HI'!B442+'DCA-Anexo I-HI'!B443+'DCA-Anexo I-HI'!B444+'DCA-Anexo I-HI'!B445</t>
  </si>
  <si>
    <t>'DCA-Anexo I-HI'!B446=+'DCA-Anexo I-HI'!B459+'DCA-Anexo I-HI'!B447+'DCA-Anexo I-HI'!B465+'DCA-Anexo I-HI'!B453</t>
  </si>
  <si>
    <t>'DCA-Anexo I-HI'!B447=+'DCA-Anexo I-HI'!B452+'DCA-Anexo I-HI'!B448+'DCA-Anexo I-HI'!B449+'DCA-Anexo I-HI'!B450+'DCA-Anexo I-HI'!B451</t>
  </si>
  <si>
    <t>'DCA-Anexo I-HI'!B453=+'DCA-Anexo I-HI'!B454+'DCA-Anexo I-HI'!B455+'DCA-Anexo I-HI'!B456+'DCA-Anexo I-HI'!B457+'DCA-Anexo I-HI'!B458</t>
  </si>
  <si>
    <t>'DCA-Anexo I-HI'!B459=+'DCA-Anexo I-HI'!B460+'DCA-Anexo I-HI'!B461+'DCA-Anexo I-HI'!B462+'DCA-Anexo I-HI'!B463+'DCA-Anexo I-HI'!B464</t>
  </si>
  <si>
    <t>'DCA-Anexo I-HI'!B465=+'DCA-Anexo I-HI'!B466+'DCA-Anexo I-HI'!B467+'DCA-Anexo I-HI'!B468+'DCA-Anexo I-HI'!B469+'DCA-Anexo I-HI'!B470</t>
  </si>
  <si>
    <t>'DCA-Anexo I-HI'!B493=+'DCA-Anexo I-HI'!B549+'DCA-Anexo I-HI'!B579+'DCA-Anexo I-HI'!B602+'DCA-Anexo I-HI'!B531+'DCA-Anexo I-HI'!B572+'DCA-Anexo I-HI'!B645+'DCA-Anexo I-HI'!B494+'DCA-Anexo I-HI'!B538</t>
  </si>
  <si>
    <t>'DCA-Anexo I-HI'!B494=+'DCA-Anexo I-HI'!B513+'DCA-Anexo I-HI'!B507+'DCA-Anexo I-HI'!B495+'DCA-Anexo I-HI'!B501+'DCA-Anexo I-HI'!B519+'DCA-Anexo I-HI'!B525</t>
  </si>
  <si>
    <t>'DCA-Anexo I-HI'!B495=+'DCA-Anexo I-HI'!B496+'DCA-Anexo I-HI'!B497+'DCA-Anexo I-HI'!B498+'DCA-Anexo I-HI'!B499+'DCA-Anexo I-HI'!B500</t>
  </si>
  <si>
    <t>'DCA-Anexo I-HI'!B501=+'DCA-Anexo I-HI'!B502+'DCA-Anexo I-HI'!B503+'DCA-Anexo I-HI'!B504+'DCA-Anexo I-HI'!B505+'DCA-Anexo I-HI'!B506</t>
  </si>
  <si>
    <t>'DCA-Anexo I-HI'!B507=+'DCA-Anexo I-HI'!B508+'DCA-Anexo I-HI'!B509+'DCA-Anexo I-HI'!B510+'DCA-Anexo I-HI'!B511+'DCA-Anexo I-HI'!B512</t>
  </si>
  <si>
    <t>'DCA-Anexo I-HI'!B513=+'DCA-Anexo I-HI'!B514+'DCA-Anexo I-HI'!B515+'DCA-Anexo I-HI'!B516+'DCA-Anexo I-HI'!B517+'DCA-Anexo I-HI'!B518</t>
  </si>
  <si>
    <t>'DCA-Anexo I-HI'!B519=+'DCA-Anexo I-HI'!B520+'DCA-Anexo I-HI'!B521+'DCA-Anexo I-HI'!B522+'DCA-Anexo I-HI'!B523+'DCA-Anexo I-HI'!B524</t>
  </si>
  <si>
    <t>'DCA-Anexo I-HI'!B525=+'DCA-Anexo I-HI'!B526+'DCA-Anexo I-HI'!B527+'DCA-Anexo I-HI'!B528+'DCA-Anexo I-HI'!B529+'DCA-Anexo I-HI'!B530</t>
  </si>
  <si>
    <t>'DCA-Anexo I-HI'!B531=+'DCA-Anexo I-HI'!B532</t>
  </si>
  <si>
    <t>'DCA-Anexo I-HI'!B532=+'DCA-Anexo I-HI'!B533+'DCA-Anexo I-HI'!B534+'DCA-Anexo I-HI'!B537+'DCA-Anexo I-HI'!B535+'DCA-Anexo I-HI'!B536</t>
  </si>
  <si>
    <t>'DCA-Anexo I-HI'!B549=+'DCA-Anexo I-HI'!B560+'DCA-Anexo I-HI'!B566+'DCA-Anexo I-HI'!B550+'DCA-Anexo I-HI'!B552+'DCA-Anexo I-HI'!B554</t>
  </si>
  <si>
    <t>'DCA-Anexo I-HI'!B550=+'DCA-Anexo I-HI'!B551</t>
  </si>
  <si>
    <t>'DCA-Anexo I-HI'!B552=+'DCA-Anexo I-HI'!B553</t>
  </si>
  <si>
    <t>'DCA-Anexo I-HI'!B554=+'DCA-Anexo I-HI'!B555+'DCA-Anexo I-HI'!B556+'DCA-Anexo I-HI'!B557+'DCA-Anexo I-HI'!B558+'DCA-Anexo I-HI'!B559</t>
  </si>
  <si>
    <t>'DCA-Anexo I-HI'!B560=+'DCA-Anexo I-HI'!B561+'DCA-Anexo I-HI'!B562+'DCA-Anexo I-HI'!B563+'DCA-Anexo I-HI'!B564+'DCA-Anexo I-HI'!B565</t>
  </si>
  <si>
    <t>'DCA-Anexo I-HI'!B566=+'DCA-Anexo I-HI'!B567+'DCA-Anexo I-HI'!B568+'DCA-Anexo I-HI'!B569+'DCA-Anexo I-HI'!B570+'DCA-Anexo I-HI'!B571</t>
  </si>
  <si>
    <t>'DCA-Anexo I-HI'!B572=+'DCA-Anexo I-HI'!B573</t>
  </si>
  <si>
    <t>'DCA-Anexo I-HI'!B579=+'DCA-Anexo I-HI'!B580+'DCA-Anexo I-HI'!B586+'DCA-Anexo I-HI'!B588+'DCA-Anexo I-HI'!B590+'DCA-Anexo I-HI'!B596</t>
  </si>
  <si>
    <t>'DCA-Anexo I-HI'!B580=+'DCA-Anexo I-HI'!B581+'DCA-Anexo I-HI'!B582+'DCA-Anexo I-HI'!B583+'DCA-Anexo I-HI'!B584+'DCA-Anexo I-HI'!B585</t>
  </si>
  <si>
    <t>'DCA-Anexo I-HI'!B586=+'DCA-Anexo I-HI'!B587</t>
  </si>
  <si>
    <t>'DCA-Anexo I-HI'!B588=+'DCA-Anexo I-HI'!B589</t>
  </si>
  <si>
    <t>'DCA-Anexo I-HI'!B590=+'DCA-Anexo I-HI'!B591+'DCA-Anexo I-HI'!B592+'DCA-Anexo I-HI'!B593+'DCA-Anexo I-HI'!B594+'DCA-Anexo I-HI'!B595</t>
  </si>
  <si>
    <t>'DCA-Anexo I-HI'!B596=+'DCA-Anexo I-HI'!B597+'DCA-Anexo I-HI'!B598+'DCA-Anexo I-HI'!B599+'DCA-Anexo I-HI'!B600+'DCA-Anexo I-HI'!B601</t>
  </si>
  <si>
    <t>'DCA-Anexo I-HI'!B602=+'DCA-Anexo I-HI'!B639+'DCA-Anexo I-HI'!B627+'DCA-Anexo I-HI'!B615+'DCA-Anexo I-HI'!B621+'DCA-Anexo I-HI'!B609+'DCA-Anexo I-HI'!B631+'DCA-Anexo I-HI'!B603+'DCA-Anexo I-HI'!B633</t>
  </si>
  <si>
    <t>'DCA-Anexo I-HI'!B603=+'DCA-Anexo I-HI'!B604+'DCA-Anexo I-HI'!B605+'DCA-Anexo I-HI'!B606+'DCA-Anexo I-HI'!B607+'DCA-Anexo I-HI'!B608</t>
  </si>
  <si>
    <t>'DCA-Anexo I-HI'!B609=+'DCA-Anexo I-HI'!B610+'DCA-Anexo I-HI'!B611+'DCA-Anexo I-HI'!B612+'DCA-Anexo I-HI'!B613+'DCA-Anexo I-HI'!B614</t>
  </si>
  <si>
    <t>'DCA-Anexo I-HI'!B615=+'DCA-Anexo I-HI'!B616+'DCA-Anexo I-HI'!B617+'DCA-Anexo I-HI'!B618+'DCA-Anexo I-HI'!B619+'DCA-Anexo I-HI'!B620</t>
  </si>
  <si>
    <t>'DCA-Anexo I-HI'!B621=+'DCA-Anexo I-HI'!B622+'DCA-Anexo I-HI'!B623+'DCA-Anexo I-HI'!B624+'DCA-Anexo I-HI'!B625+'DCA-Anexo I-HI'!B626</t>
  </si>
  <si>
    <t>'DCA-Anexo I-HI'!B627=+'DCA-Anexo I-HI'!B630+'DCA-Anexo I-HI'!B628+'DCA-Anexo I-HI'!B629</t>
  </si>
  <si>
    <t>'DCA-Anexo I-HI'!B631=+'DCA-Anexo I-HI'!B632</t>
  </si>
  <si>
    <t>'DCA-Anexo I-HI'!B639=+'DCA-Anexo I-HI'!B640+'DCA-Anexo I-HI'!B641+'DCA-Anexo I-HI'!B642+'DCA-Anexo I-HI'!B643+'DCA-Anexo I-HI'!B644</t>
  </si>
  <si>
    <t>'DCA-Anexo I-HI'!B645=+'DCA-Anexo I-HI'!B655+'DCA-Anexo I-HI'!B651+'DCA-Anexo I-HI'!B683+'DCA-Anexo I-HI'!B661+'DCA-Anexo I-HI'!B646+'DCA-Anexo I-HI'!B673+'DCA-Anexo I-HI'!B667+'DCA-Anexo I-HI'!B679</t>
  </si>
  <si>
    <t>'DCA-Anexo I-HI'!B646=+'DCA-Anexo I-HI'!B648+'DCA-Anexo I-HI'!B647+'DCA-Anexo I-HI'!B649+'DCA-Anexo I-HI'!B650</t>
  </si>
  <si>
    <t>'DCA-Anexo I-HI'!B651=+'DCA-Anexo I-HI'!B653+'DCA-Anexo I-HI'!B652+'DCA-Anexo I-HI'!B654</t>
  </si>
  <si>
    <t>'DCA-Anexo I-HI'!B655=+'DCA-Anexo I-HI'!B656+'DCA-Anexo I-HI'!B657+'DCA-Anexo I-HI'!B658+'DCA-Anexo I-HI'!B659+'DCA-Anexo I-HI'!B660</t>
  </si>
  <si>
    <t>'DCA-Anexo I-HI'!B661=+'DCA-Anexo I-HI'!B664+'DCA-Anexo I-HI'!B666+'DCA-Anexo I-HI'!B663+'DCA-Anexo I-HI'!B662+'DCA-Anexo I-HI'!B665</t>
  </si>
  <si>
    <t>'DCA-Anexo I-HI'!B683=+'DCA-Anexo I-HI'!B684+'DCA-Anexo I-HI'!B685+'DCA-Anexo I-HI'!B686+'DCA-Anexo I-HI'!B687+'DCA-Anexo I-HI'!B688</t>
  </si>
  <si>
    <t>'DCA-Anexo I-HI'!B673=+'DCA-Anexo I-HI'!B674+'DCA-Anexo I-HI'!B675+'DCA-Anexo I-HI'!B676+'DCA-Anexo I-HI'!B677+'DCA-Anexo I-HI'!B678</t>
  </si>
  <si>
    <t>'DCA-Anexo I-HI'!B538=+'DCA-Anexo I-HI'!B539+'DCA-Anexo I-HI'!B545+'DCA-Anexo I-HI'!B543+'DCA-Anexo I-HI'!B541+'DCA-Anexo I-HI'!B547</t>
  </si>
  <si>
    <t>'DCA-Anexo I-HI'!B539=+'DCA-Anexo I-HI'!B540</t>
  </si>
  <si>
    <t>'DCA-Anexo I-HI'!B541=+'DCA-Anexo I-HI'!B542</t>
  </si>
  <si>
    <t>'DCA-Anexo I-HI'!B543=+'DCA-Anexo I-HI'!B544</t>
  </si>
  <si>
    <t>'DCA-Anexo I-HI'!B545=+'DCA-Anexo I-HI'!B546</t>
  </si>
  <si>
    <t>'DCA-Anexo I-HI'!B547=+'DCA-Anexo I-HI'!B548</t>
  </si>
  <si>
    <t>'DCA-Anexo I-HI'!B667=+'DCA-Anexo I-HI'!B668+'DCA-Anexo I-HI'!B669+'DCA-Anexo I-HI'!B670+'DCA-Anexo I-HI'!B671+'DCA-Anexo I-HI'!B672</t>
  </si>
  <si>
    <t>'DCA-Anexo I-HI'!B679=+'DCA-Anexo I-HI'!B680+'DCA-Anexo I-HI'!B682+'DCA-Anexo I-HI'!B681</t>
  </si>
  <si>
    <t>'DCA-Anexo I-HI'!B633=+'DCA-Anexo I-HI'!B634+'DCA-Anexo I-HI'!B635+'DCA-Anexo I-HI'!B636+'DCA-Anexo I-HI'!B637+'DCA-Anexo I-HI'!B638</t>
  </si>
  <si>
    <t>'DCA-Anexo I-HI'!B573=+'DCA-Anexo I-HI'!B574+'DCA-Anexo I-HI'!B575+'DCA-Anexo I-HI'!B576+'DCA-Anexo I-HI'!B577+'DCA-Anexo I-HI'!B578</t>
  </si>
  <si>
    <t>'DCA-Anexo I-HI'!B691=+'DCA-Anexo I-HI'!B768+'DCA-Anexo I-HI'!B692+'DCA-Anexo I-HI'!B1071+'DCA-Anexo I-HI'!B834+'DCA-Anexo I-HI'!B1010+'DCA-Anexo I-HI'!B874+'DCA-Anexo I-HI'!B1127</t>
  </si>
  <si>
    <t>'DCA-Anexo I-HI'!B692=+'DCA-Anexo I-HI'!B724+'DCA-Anexo I-HI'!B693+'DCA-Anexo I-HI'!B737</t>
  </si>
  <si>
    <t>'DCA-Anexo I-HI'!B693=+'DCA-Anexo I-HI'!B712+'DCA-Anexo I-HI'!B700+'DCA-Anexo I-HI'!B706+'DCA-Anexo I-HI'!B718+'DCA-Anexo I-HI'!B694</t>
  </si>
  <si>
    <t>'DCA-Anexo I-HI'!B694=+'DCA-Anexo I-HI'!B695+'DCA-Anexo I-HI'!B696+'DCA-Anexo I-HI'!B697+'DCA-Anexo I-HI'!B698+'DCA-Anexo I-HI'!B699</t>
  </si>
  <si>
    <t>'DCA-Anexo I-HI'!B700=+'DCA-Anexo I-HI'!B701+'DCA-Anexo I-HI'!B702+'DCA-Anexo I-HI'!B703+'DCA-Anexo I-HI'!B704+'DCA-Anexo I-HI'!B705</t>
  </si>
  <si>
    <t>'DCA-Anexo I-HI'!B706=+'DCA-Anexo I-HI'!B707+'DCA-Anexo I-HI'!B708+'DCA-Anexo I-HI'!B709+'DCA-Anexo I-HI'!B710+'DCA-Anexo I-HI'!B711</t>
  </si>
  <si>
    <t>'DCA-Anexo I-HI'!B712=+'DCA-Anexo I-HI'!B713+'DCA-Anexo I-HI'!B714+'DCA-Anexo I-HI'!B715+'DCA-Anexo I-HI'!B716+'DCA-Anexo I-HI'!B717</t>
  </si>
  <si>
    <t>'DCA-Anexo I-HI'!B718=+'DCA-Anexo I-HI'!B719+'DCA-Anexo I-HI'!B720+'DCA-Anexo I-HI'!B721+'DCA-Anexo I-HI'!B722+'DCA-Anexo I-HI'!B723</t>
  </si>
  <si>
    <t>'DCA-Anexo I-HI'!B724=+'DCA-Anexo I-HI'!B731+'DCA-Anexo I-HI'!B725</t>
  </si>
  <si>
    <t>'DCA-Anexo I-HI'!B725=+'DCA-Anexo I-HI'!B726+'DCA-Anexo I-HI'!B727+'DCA-Anexo I-HI'!B728+'DCA-Anexo I-HI'!B729+'DCA-Anexo I-HI'!B730</t>
  </si>
  <si>
    <t>'DCA-Anexo I-HI'!B731=+'DCA-Anexo I-HI'!B732+'DCA-Anexo I-HI'!B733+'DCA-Anexo I-HI'!B734+'DCA-Anexo I-HI'!B735+'DCA-Anexo I-HI'!B736</t>
  </si>
  <si>
    <t>'DCA-Anexo I-HI'!B737=+'DCA-Anexo I-HI'!B750+'DCA-Anexo I-HI'!B744+'DCA-Anexo I-HI'!B756+'DCA-Anexo I-HI'!B762+'DCA-Anexo I-HI'!B738</t>
  </si>
  <si>
    <t>'DCA-Anexo I-HI'!B738=+'DCA-Anexo I-HI'!B739+'DCA-Anexo I-HI'!B740+'DCA-Anexo I-HI'!B741+'DCA-Anexo I-HI'!B742+'DCA-Anexo I-HI'!B743</t>
  </si>
  <si>
    <t>'DCA-Anexo I-HI'!B744=+'DCA-Anexo I-HI'!B745+'DCA-Anexo I-HI'!B746+'DCA-Anexo I-HI'!B747+'DCA-Anexo I-HI'!B748+'DCA-Anexo I-HI'!B749</t>
  </si>
  <si>
    <t>'DCA-Anexo I-HI'!B750=+'DCA-Anexo I-HI'!B751+'DCA-Anexo I-HI'!B752+'DCA-Anexo I-HI'!B753+'DCA-Anexo I-HI'!B754+'DCA-Anexo I-HI'!B755</t>
  </si>
  <si>
    <t>'DCA-Anexo I-HI'!B756=+'DCA-Anexo I-HI'!B757+'DCA-Anexo I-HI'!B758+'DCA-Anexo I-HI'!B759+'DCA-Anexo I-HI'!B760+'DCA-Anexo I-HI'!B761</t>
  </si>
  <si>
    <t>'DCA-Anexo I-HI'!B762=+'DCA-Anexo I-HI'!B763+'DCA-Anexo I-HI'!B764+'DCA-Anexo I-HI'!B765+'DCA-Anexo I-HI'!B766+'DCA-Anexo I-HI'!B767</t>
  </si>
  <si>
    <t>'DCA-Anexo I-HI'!B768=+'DCA-Anexo I-HI'!B824+'DCA-Anexo I-HI'!B817+'DCA-Anexo I-HI'!B829+'DCA-Anexo I-HI'!B769</t>
  </si>
  <si>
    <t>'DCA-Anexo I-HI'!B769=+'DCA-Anexo I-HI'!B793+'DCA-Anexo I-HI'!B787+'DCA-Anexo I-HI'!B811+'DCA-Anexo I-HI'!B781+'DCA-Anexo I-HI'!B805+'DCA-Anexo I-HI'!B799+'DCA-Anexo I-HI'!B770</t>
  </si>
  <si>
    <t>'DCA-Anexo I-HI'!B770=+'DCA-Anexo I-HI'!B779+'DCA-Anexo I-HI'!B780+'DCA-Anexo I-HI'!B778+'DCA-Anexo I-HI'!B771+'DCA-Anexo I-HI'!B777</t>
  </si>
  <si>
    <t>'DCA-Anexo I-HI'!B771=-'DCA-Anexo I-HI'!B775+'DCA-Anexo I-HI'!B773+'DCA-Anexo I-HI'!B772+'DCA-Anexo I-HI'!B774+'DCA-Anexo I-HI'!B776</t>
  </si>
  <si>
    <t>'DCA-Anexo I-HI'!B781=+'DCA-Anexo I-HI'!B784+'DCA-Anexo I-HI'!B785+'DCA-Anexo I-HI'!B782+'DCA-Anexo I-HI'!B783+'DCA-Anexo I-HI'!B786</t>
  </si>
  <si>
    <t>'DCA-Anexo I-HI'!B787=+'DCA-Anexo I-HI'!B788+'DCA-Anexo I-HI'!B789+'DCA-Anexo I-HI'!B790+'DCA-Anexo I-HI'!B791+'DCA-Anexo I-HI'!B792</t>
  </si>
  <si>
    <t>'DCA-Anexo I-HI'!B793=+'DCA-Anexo I-HI'!B794+'DCA-Anexo I-HI'!B795+'DCA-Anexo I-HI'!B796+'DCA-Anexo I-HI'!B797+'DCA-Anexo I-HI'!B798</t>
  </si>
  <si>
    <t>'DCA-Anexo I-HI'!B799=+'DCA-Anexo I-HI'!B800+'DCA-Anexo I-HI'!B801+'DCA-Anexo I-HI'!B802+'DCA-Anexo I-HI'!B803+'DCA-Anexo I-HI'!B804</t>
  </si>
  <si>
    <t>'DCA-Anexo I-HI'!B805=+'DCA-Anexo I-HI'!B806+'DCA-Anexo I-HI'!B807+'DCA-Anexo I-HI'!B808+'DCA-Anexo I-HI'!B809+'DCA-Anexo I-HI'!B810</t>
  </si>
  <si>
    <t>'DCA-Anexo I-HI'!B811=+'DCA-Anexo I-HI'!B812+'DCA-Anexo I-HI'!B813+'DCA-Anexo I-HI'!B814+'DCA-Anexo I-HI'!B815+'DCA-Anexo I-HI'!B816</t>
  </si>
  <si>
    <t>'DCA-Anexo I-HI'!B817=+'DCA-Anexo I-HI'!B818</t>
  </si>
  <si>
    <t>'DCA-Anexo I-HI'!B824=+'DCA-Anexo I-HI'!B825</t>
  </si>
  <si>
    <t>'DCA-Anexo I-HI'!B829=+'DCA-Anexo I-HI'!B830</t>
  </si>
  <si>
    <t>'DCA-Anexo I-HI'!B818=+'DCA-Anexo I-HI'!B819+'DCA-Anexo I-HI'!B820+'DCA-Anexo I-HI'!B821+'DCA-Anexo I-HI'!B822+'DCA-Anexo I-HI'!B823</t>
  </si>
  <si>
    <t>'DCA-Anexo I-HI'!B825=+'DCA-Anexo I-HI'!B826+'DCA-Anexo I-HI'!B827+'DCA-Anexo I-HI'!B828</t>
  </si>
  <si>
    <t>'DCA-Anexo I-HI'!B830=+'DCA-Anexo I-HI'!B831+'DCA-Anexo I-HI'!B832+'DCA-Anexo I-HI'!B833</t>
  </si>
  <si>
    <t>'DCA-Anexo I-HI'!B834=+'DCA-Anexo I-HI'!B848+'DCA-Anexo I-HI'!B835+'DCA-Anexo I-HI'!B861</t>
  </si>
  <si>
    <t>'DCA-Anexo I-HI'!B835=-'DCA-Anexo I-HI'!B842+'DCA-Anexo I-HI'!B836</t>
  </si>
  <si>
    <t>'DCA-Anexo I-HI'!B836=+'DCA-Anexo I-HI'!B837+'DCA-Anexo I-HI'!B838+'DCA-Anexo I-HI'!B839+'DCA-Anexo I-HI'!B840+'DCA-Anexo I-HI'!B841</t>
  </si>
  <si>
    <t>'DCA-Anexo I-HI'!B842=+'DCA-Anexo I-HI'!B843+'DCA-Anexo I-HI'!B844+'DCA-Anexo I-HI'!B845+'DCA-Anexo I-HI'!B846+'DCA-Anexo I-HI'!B847</t>
  </si>
  <si>
    <t>'DCA-Anexo I-HI'!B848=-'DCA-Anexo I-HI'!B855+'DCA-Anexo I-HI'!B849</t>
  </si>
  <si>
    <t>'DCA-Anexo I-HI'!B849=+'DCA-Anexo I-HI'!B850+'DCA-Anexo I-HI'!B851+'DCA-Anexo I-HI'!B852+'DCA-Anexo I-HI'!B853+'DCA-Anexo I-HI'!B854</t>
  </si>
  <si>
    <t>'DCA-Anexo I-HI'!B855=+'DCA-Anexo I-HI'!B856+'DCA-Anexo I-HI'!B857+'DCA-Anexo I-HI'!B858+'DCA-Anexo I-HI'!B859+'DCA-Anexo I-HI'!B860</t>
  </si>
  <si>
    <t>'DCA-Anexo I-HI'!B861=-'DCA-Anexo I-HI'!B868+'DCA-Anexo I-HI'!B862</t>
  </si>
  <si>
    <t>'DCA-Anexo I-HI'!B862=+'DCA-Anexo I-HI'!B863+'DCA-Anexo I-HI'!B864+'DCA-Anexo I-HI'!B865+'DCA-Anexo I-HI'!B866+'DCA-Anexo I-HI'!B867</t>
  </si>
  <si>
    <t>'DCA-Anexo I-HI'!B868=+'DCA-Anexo I-HI'!B869+'DCA-Anexo I-HI'!B870+'DCA-Anexo I-HI'!B871+'DCA-Anexo I-HI'!B872+'DCA-Anexo I-HI'!B873</t>
  </si>
  <si>
    <t>'DCA-Anexo I-HI'!B874=+'DCA-Anexo I-HI'!B875+'DCA-Anexo I-HI'!B896+'DCA-Anexo I-HI'!B935+'DCA-Anexo I-HI'!B974+'DCA-Anexo I-HI'!B981+'DCA-Anexo I-HI'!B987+'DCA-Anexo I-HI'!B1000+'DCA-Anexo I-HI'!B1003</t>
  </si>
  <si>
    <t>'DCA-Anexo I-HI'!B875=+'DCA-Anexo I-HI'!B876+'DCA-Anexo I-HI'!B888+'DCA-Anexo I-HI'!B894+'DCA-Anexo I-HI'!B882</t>
  </si>
  <si>
    <t>'DCA-Anexo I-HI'!B876=+'DCA-Anexo I-HI'!B881+'DCA-Anexo I-HI'!B880+'DCA-Anexo I-HI'!B877+'DCA-Anexo I-HI'!B879+'DCA-Anexo I-HI'!B878</t>
  </si>
  <si>
    <t>'DCA-Anexo I-HI'!B882=+'DCA-Anexo I-HI'!B883+'DCA-Anexo I-HI'!B884+'DCA-Anexo I-HI'!B885+'DCA-Anexo I-HI'!B886+'DCA-Anexo I-HI'!B887</t>
  </si>
  <si>
    <t>'DCA-Anexo I-HI'!B888=+'DCA-Anexo I-HI'!B893+'DCA-Anexo I-HI'!B892+'DCA-Anexo I-HI'!B891+'DCA-Anexo I-HI'!B889+'DCA-Anexo I-HI'!B890</t>
  </si>
  <si>
    <t>'DCA-Anexo I-HI'!B894=+'DCA-Anexo I-HI'!B895</t>
  </si>
  <si>
    <t>'DCA-Anexo I-HI'!B896=+'DCA-Anexo I-HI'!B897+'DCA-Anexo I-HI'!B903+'DCA-Anexo I-HI'!B905+'DCA-Anexo I-HI'!B911+'DCA-Anexo I-HI'!B917+'DCA-Anexo I-HI'!B923+'DCA-Anexo I-HI'!B929</t>
  </si>
  <si>
    <t>'DCA-Anexo I-HI'!B897=+'DCA-Anexo I-HI'!B901+'DCA-Anexo I-HI'!B902+'DCA-Anexo I-HI'!B898+'DCA-Anexo I-HI'!B900+'DCA-Anexo I-HI'!B899</t>
  </si>
  <si>
    <t>'DCA-Anexo I-HI'!B903=+'DCA-Anexo I-HI'!B904</t>
  </si>
  <si>
    <t>'DCA-Anexo I-HI'!B905=+'DCA-Anexo I-HI'!B906+'DCA-Anexo I-HI'!B907+'DCA-Anexo I-HI'!B908+'DCA-Anexo I-HI'!B909+'DCA-Anexo I-HI'!B910</t>
  </si>
  <si>
    <t>'DCA-Anexo I-HI'!B911=+'DCA-Anexo I-HI'!B912+'DCA-Anexo I-HI'!B913+'DCA-Anexo I-HI'!B914+'DCA-Anexo I-HI'!B915+'DCA-Anexo I-HI'!B916</t>
  </si>
  <si>
    <t>'DCA-Anexo I-HI'!B929=+'DCA-Anexo I-HI'!B930+'DCA-Anexo I-HI'!B931+'DCA-Anexo I-HI'!B932+'DCA-Anexo I-HI'!B933+'DCA-Anexo I-HI'!B934</t>
  </si>
  <si>
    <t>'DCA-Anexo I-HI'!B935=+'DCA-Anexo I-HI'!B936+'DCA-Anexo I-HI'!B942+'DCA-Anexo I-HI'!B944+'DCA-Anexo I-HI'!B950+'DCA-Anexo I-HI'!B952+'DCA-Anexo I-HI'!B968</t>
  </si>
  <si>
    <t>'DCA-Anexo I-HI'!B936=+'DCA-Anexo I-HI'!B937+'DCA-Anexo I-HI'!B940+'DCA-Anexo I-HI'!B941+'DCA-Anexo I-HI'!B939+'DCA-Anexo I-HI'!B938</t>
  </si>
  <si>
    <t>'DCA-Anexo I-HI'!B942=+'DCA-Anexo I-HI'!B943</t>
  </si>
  <si>
    <t>'DCA-Anexo I-HI'!B944=+'DCA-Anexo I-HI'!B949+'DCA-Anexo I-HI'!B945+'DCA-Anexo I-HI'!B947+'DCA-Anexo I-HI'!B948+'DCA-Anexo I-HI'!B946</t>
  </si>
  <si>
    <t>'DCA-Anexo I-HI'!B950=+'DCA-Anexo I-HI'!B951</t>
  </si>
  <si>
    <t>'DCA-Anexo I-HI'!B968=+'DCA-Anexo I-HI'!B973+'DCA-Anexo I-HI'!B972+'DCA-Anexo I-HI'!B969+'DCA-Anexo I-HI'!B971+'DCA-Anexo I-HI'!B970</t>
  </si>
  <si>
    <t>'DCA-Anexo I-HI'!B974=+'DCA-Anexo I-HI'!B975</t>
  </si>
  <si>
    <t>'DCA-Anexo I-HI'!B981=+'DCA-Anexo I-HI'!B984+'DCA-Anexo I-HI'!B982</t>
  </si>
  <si>
    <t>'DCA-Anexo I-HI'!B982=+'DCA-Anexo I-HI'!B983</t>
  </si>
  <si>
    <t>'DCA-Anexo I-HI'!B984=+'DCA-Anexo I-HI'!B985+'DCA-Anexo I-HI'!B986</t>
  </si>
  <si>
    <t>'DCA-Anexo I-HI'!B1003=+'DCA-Anexo I-HI'!B1004</t>
  </si>
  <si>
    <t>'DCA-Anexo I-HI'!B1000=+'DCA-Anexo I-HI'!B1001</t>
  </si>
  <si>
    <t>'DCA-Anexo I-HI'!B1001=+'DCA-Anexo I-HI'!B1002</t>
  </si>
  <si>
    <t>'DCA-Anexo I-HI'!B917=+'DCA-Anexo I-HI'!B918+'DCA-Anexo I-HI'!B919+'DCA-Anexo I-HI'!B920+'DCA-Anexo I-HI'!B921+'DCA-Anexo I-HI'!B922</t>
  </si>
  <si>
    <t>'DCA-Anexo I-HI'!B975=+'DCA-Anexo I-HI'!B976+'DCA-Anexo I-HI'!B977+'DCA-Anexo I-HI'!B978+'DCA-Anexo I-HI'!B979+'DCA-Anexo I-HI'!B980</t>
  </si>
  <si>
    <t>'DCA-Anexo I-HI'!B1004=+'DCA-Anexo I-HI'!B1005+'DCA-Anexo I-HI'!B1006+'DCA-Anexo I-HI'!B1007+'DCA-Anexo I-HI'!B1008+'DCA-Anexo I-HI'!B1009</t>
  </si>
  <si>
    <t>'DCA-Anexo I-HI'!B923=+'DCA-Anexo I-HI'!B924+'DCA-Anexo I-HI'!B925+'DCA-Anexo I-HI'!B926+'DCA-Anexo I-HI'!B927+'DCA-Anexo I-HI'!B928</t>
  </si>
  <si>
    <t>'DCA-Anexo I-HI'!B952=+'DCA-Anexo I-HI'!B953+'DCA-Anexo I-HI'!B956+'DCA-Anexo I-HI'!B959+'DCA-Anexo I-HI'!B962+'DCA-Anexo I-HI'!B965</t>
  </si>
  <si>
    <t>'DCA-Anexo I-HI'!B953=+'DCA-Anexo I-HI'!B954+'DCA-Anexo I-HI'!B955</t>
  </si>
  <si>
    <t>'DCA-Anexo I-HI'!B956=+'DCA-Anexo I-HI'!B957+'DCA-Anexo I-HI'!B958</t>
  </si>
  <si>
    <t>'DCA-Anexo I-HI'!B959=+'DCA-Anexo I-HI'!B960+'DCA-Anexo I-HI'!B961</t>
  </si>
  <si>
    <t>'DCA-Anexo I-HI'!B962=+'DCA-Anexo I-HI'!B963+'DCA-Anexo I-HI'!B964</t>
  </si>
  <si>
    <t>'DCA-Anexo I-HI'!B965=+'DCA-Anexo I-HI'!B966+'DCA-Anexo I-HI'!B967</t>
  </si>
  <si>
    <t>'DCA-Anexo I-HI'!B987=+'DCA-Anexo I-HI'!B988+'DCA-Anexo I-HI'!B994</t>
  </si>
  <si>
    <t>'DCA-Anexo I-HI'!B988=+'DCA-Anexo I-HI'!B989+'DCA-Anexo I-HI'!B990+'DCA-Anexo I-HI'!B991+'DCA-Anexo I-HI'!B992+'DCA-Anexo I-HI'!B993</t>
  </si>
  <si>
    <t>'DCA-Anexo I-HI'!B994=+'DCA-Anexo I-HI'!B995+'DCA-Anexo I-HI'!B996+'DCA-Anexo I-HI'!B997+'DCA-Anexo I-HI'!B998+'DCA-Anexo I-HI'!B999</t>
  </si>
  <si>
    <t>'DCA-Anexo I-HI'!B1010=+'DCA-Anexo I-HI'!B1054+'DCA-Anexo I-HI'!B1040+'DCA-Anexo I-HI'!B1045+'DCA-Anexo I-HI'!B1061+'DCA-Anexo I-HI'!B1022+'DCA-Anexo I-HI'!B1011+'DCA-Anexo I-HI'!B1051+'DCA-Anexo I-HI'!B1048+'DCA-Anexo I-HI'!B1064</t>
  </si>
  <si>
    <t>'DCA-Anexo I-HI'!B1011=+'DCA-Anexo I-HI'!B1014+'DCA-Anexo I-HI'!B1016+'DCA-Anexo I-HI'!B1018+'DCA-Anexo I-HI'!B1012+'DCA-Anexo I-HI'!B1020</t>
  </si>
  <si>
    <t>'DCA-Anexo I-HI'!B1012=+'DCA-Anexo I-HI'!B1013</t>
  </si>
  <si>
    <t>'DCA-Anexo I-HI'!B1014=+'DCA-Anexo I-HI'!B1015</t>
  </si>
  <si>
    <t>'DCA-Anexo I-HI'!B1016=+'DCA-Anexo I-HI'!B1017</t>
  </si>
  <si>
    <t>'DCA-Anexo I-HI'!B1018=+'DCA-Anexo I-HI'!B1019</t>
  </si>
  <si>
    <t>'DCA-Anexo I-HI'!B1022=+'DCA-Anexo I-HI'!B1030+'DCA-Anexo I-HI'!B1027+'DCA-Anexo I-HI'!B1035+'DCA-Anexo I-HI'!B1023</t>
  </si>
  <si>
    <t>'DCA-Anexo I-HI'!B1023=+'DCA-Anexo I-HI'!B1025+'DCA-Anexo I-HI'!B1024+'DCA-Anexo I-HI'!B1026</t>
  </si>
  <si>
    <t>'DCA-Anexo I-HI'!B1027=+'DCA-Anexo I-HI'!B1028+'DCA-Anexo I-HI'!B1029</t>
  </si>
  <si>
    <t>'DCA-Anexo I-HI'!B1030=+'DCA-Anexo I-HI'!B1034+'DCA-Anexo I-HI'!B1031+'DCA-Anexo I-HI'!B1032+'DCA-Anexo I-HI'!B1033</t>
  </si>
  <si>
    <t>'DCA-Anexo I-HI'!B1035=+'DCA-Anexo I-HI'!B1039+'DCA-Anexo I-HI'!B1038+'DCA-Anexo I-HI'!B1036+'DCA-Anexo I-HI'!B1037</t>
  </si>
  <si>
    <t>'DCA-Anexo I-HI'!B1040=+'DCA-Anexo I-HI'!B1041+'DCA-Anexo I-HI'!B1043</t>
  </si>
  <si>
    <t>'DCA-Anexo I-HI'!B1041=+'DCA-Anexo I-HI'!B1042</t>
  </si>
  <si>
    <t>'DCA-Anexo I-HI'!B1043=+'DCA-Anexo I-HI'!B1044</t>
  </si>
  <si>
    <t>'DCA-Anexo I-HI'!B1045=+'DCA-Anexo I-HI'!B1046</t>
  </si>
  <si>
    <t>'DCA-Anexo I-HI'!B1048=+'DCA-Anexo I-HI'!B1049</t>
  </si>
  <si>
    <t>'DCA-Anexo I-HI'!B1051=+'DCA-Anexo I-HI'!B1052</t>
  </si>
  <si>
    <t>'DCA-Anexo I-HI'!B1054=+'DCA-Anexo I-HI'!B1059+'DCA-Anexo I-HI'!B1055</t>
  </si>
  <si>
    <t>'DCA-Anexo I-HI'!B1055=+'DCA-Anexo I-HI'!B1058+'DCA-Anexo I-HI'!B1056+'DCA-Anexo I-HI'!B1057</t>
  </si>
  <si>
    <t>'DCA-Anexo I-HI'!B1059=+'DCA-Anexo I-HI'!B1060</t>
  </si>
  <si>
    <t>'DCA-Anexo I-HI'!B1061=+'DCA-Anexo I-HI'!B1062</t>
  </si>
  <si>
    <t>'DCA-Anexo I-HI'!B1064=+'DCA-Anexo I-HI'!B1065</t>
  </si>
  <si>
    <t>'DCA-Anexo I-HI'!B1020=+'DCA-Anexo I-HI'!B1021</t>
  </si>
  <si>
    <t>'DCA-Anexo I-HI'!B1046=+'DCA-Anexo I-HI'!B1047</t>
  </si>
  <si>
    <t>'DCA-Anexo I-HI'!B1049=+'DCA-Anexo I-HI'!B1050</t>
  </si>
  <si>
    <t>'DCA-Anexo I-HI'!B1052=+'DCA-Anexo I-HI'!B1053</t>
  </si>
  <si>
    <t>'DCA-Anexo I-HI'!B1062=+'DCA-Anexo I-HI'!B1063</t>
  </si>
  <si>
    <t>'DCA-Anexo I-HI'!B1065=+'DCA-Anexo I-HI'!B1066+'DCA-Anexo I-HI'!B1067+'DCA-Anexo I-HI'!B1068+'DCA-Anexo I-HI'!B1069+'DCA-Anexo I-HI'!B1070</t>
  </si>
  <si>
    <t>'DCA-Anexo I-HI'!B1071=+'DCA-Anexo I-HI'!B1072+'DCA-Anexo I-HI'!B1081+'DCA-Anexo I-HI'!B1091+'DCA-Anexo I-HI'!B1106+'DCA-Anexo I-HI'!B1113+'DCA-Anexo I-HI'!B1124</t>
  </si>
  <si>
    <t>'DCA-Anexo I-HI'!B1072=+'DCA-Anexo I-HI'!B1079+'DCA-Anexo I-HI'!B1075+'DCA-Anexo I-HI'!B1073+'DCA-Anexo I-HI'!B1077</t>
  </si>
  <si>
    <t>'DCA-Anexo I-HI'!B1073=+'DCA-Anexo I-HI'!B1074</t>
  </si>
  <si>
    <t>'DCA-Anexo I-HI'!B1075=+'DCA-Anexo I-HI'!B1076</t>
  </si>
  <si>
    <t>'DCA-Anexo I-HI'!B1079=+'DCA-Anexo I-HI'!B1080</t>
  </si>
  <si>
    <t>'DCA-Anexo I-HI'!B1081=+'DCA-Anexo I-HI'!B1085+'DCA-Anexo I-HI'!B1082+'DCA-Anexo I-HI'!B1087+'DCA-Anexo I-HI'!B1089</t>
  </si>
  <si>
    <t>'DCA-Anexo I-HI'!B1082=+'DCA-Anexo I-HI'!B1083+'DCA-Anexo I-HI'!B1084</t>
  </si>
  <si>
    <t>'DCA-Anexo I-HI'!B1085=+'DCA-Anexo I-HI'!B1086</t>
  </si>
  <si>
    <t>'DCA-Anexo I-HI'!B1087=+'DCA-Anexo I-HI'!B1088</t>
  </si>
  <si>
    <t>'DCA-Anexo I-HI'!B1091=+'DCA-Anexo I-HI'!B1092+'DCA-Anexo I-HI'!B1096+'DCA-Anexo I-HI'!B1094+'DCA-Anexo I-HI'!B1100+'DCA-Anexo I-HI'!B1098</t>
  </si>
  <si>
    <t>'DCA-Anexo I-HI'!B1092=+'DCA-Anexo I-HI'!B1093</t>
  </si>
  <si>
    <t>'DCA-Anexo I-HI'!B1094=+'DCA-Anexo I-HI'!B1095</t>
  </si>
  <si>
    <t>'DCA-Anexo I-HI'!B1096=+'DCA-Anexo I-HI'!B1097</t>
  </si>
  <si>
    <t>'DCA-Anexo I-HI'!B1100=+'DCA-Anexo I-HI'!B1101+'DCA-Anexo I-HI'!B1102+'DCA-Anexo I-HI'!B1103+'DCA-Anexo I-HI'!B1104+'DCA-Anexo I-HI'!B1105</t>
  </si>
  <si>
    <t>'DCA-Anexo I-HI'!B1106=+'DCA-Anexo I-HI'!B1107</t>
  </si>
  <si>
    <t>'DCA-Anexo I-HI'!B1113=+'DCA-Anexo I-HI'!B1122+'DCA-Anexo I-HI'!B1120+'DCA-Anexo I-HI'!B1114</t>
  </si>
  <si>
    <t>'DCA-Anexo I-HI'!B1114=+'DCA-Anexo I-HI'!B1116+'DCA-Anexo I-HI'!B1118+'DCA-Anexo I-HI'!B1115+'DCA-Anexo I-HI'!B1117+'DCA-Anexo I-HI'!B1119</t>
  </si>
  <si>
    <t>'DCA-Anexo I-HI'!B1120=+'DCA-Anexo I-HI'!B1121</t>
  </si>
  <si>
    <t>'DCA-Anexo I-HI'!B1122=+'DCA-Anexo I-HI'!B1123</t>
  </si>
  <si>
    <t>'DCA-Anexo I-HI'!B1089=+'DCA-Anexo I-HI'!B1090</t>
  </si>
  <si>
    <t>'DCA-Anexo I-HI'!B1098=+'DCA-Anexo I-HI'!B1099</t>
  </si>
  <si>
    <t>'DCA-Anexo I-HI'!B1107=+'DCA-Anexo I-HI'!B1108+'DCA-Anexo I-HI'!B1109+'DCA-Anexo I-HI'!B1110+'DCA-Anexo I-HI'!B1111+'DCA-Anexo I-HI'!B1112</t>
  </si>
  <si>
    <t>'DCA-Anexo I-HI'!B1077=+'DCA-Anexo I-HI'!B1078</t>
  </si>
  <si>
    <t>'DCA-Anexo I-HI'!B1124=+'DCA-Anexo I-HI'!B1125</t>
  </si>
  <si>
    <t>'DCA-Anexo I-HI'!B1125=+'DCA-Anexo I-HI'!B1126</t>
  </si>
  <si>
    <t>'DCA-Anexo I-HI'!B1127=+'DCA-Anexo I-HI'!B1128+'DCA-Anexo I-HI'!B1135+'DCA-Anexo I-HI'!B1148+'DCA-Anexo I-HI'!B1159+'DCA-Anexo I-HI'!B1166+'DCA-Anexo I-HI'!B1179</t>
  </si>
  <si>
    <t>'DCA-Anexo I-HI'!B1128=+'DCA-Anexo I-HI'!B1129</t>
  </si>
  <si>
    <t>'DCA-Anexo I-HI'!B1135=+'DCA-Anexo I-HI'!B1142+'DCA-Anexo I-HI'!B1136</t>
  </si>
  <si>
    <t>'DCA-Anexo I-HI'!B1136=+'DCA-Anexo I-HI'!B1141+'DCA-Anexo I-HI'!B1137+'DCA-Anexo I-HI'!B1138+'DCA-Anexo I-HI'!B1139+'DCA-Anexo I-HI'!B1140</t>
  </si>
  <si>
    <t>'DCA-Anexo I-HI'!B1142=+'DCA-Anexo I-HI'!B1143+'DCA-Anexo I-HI'!B1144+'DCA-Anexo I-HI'!B1145+'DCA-Anexo I-HI'!B1146+'DCA-Anexo I-HI'!B1147</t>
  </si>
  <si>
    <t>'DCA-Anexo I-HI'!B1166=+'DCA-Anexo I-HI'!B1173+'DCA-Anexo I-HI'!B1167</t>
  </si>
  <si>
    <t>'DCA-Anexo I-HI'!B1167=+'DCA-Anexo I-HI'!B1172+'DCA-Anexo I-HI'!B1170+'DCA-Anexo I-HI'!B1168+'DCA-Anexo I-HI'!B1171+'DCA-Anexo I-HI'!B1169</t>
  </si>
  <si>
    <t>'DCA-Anexo I-HI'!B1173=+'DCA-Anexo I-HI'!B1174+'DCA-Anexo I-HI'!B1177+'DCA-Anexo I-HI'!B1175+'DCA-Anexo I-HI'!B1178+'DCA-Anexo I-HI'!B1176</t>
  </si>
  <si>
    <t>'DCA-Anexo I-HI'!B1179=+'DCA-Anexo I-HI'!B1201+'DCA-Anexo I-HI'!B1215+'DCA-Anexo I-HI'!B1185+'DCA-Anexo I-HI'!B1195+'DCA-Anexo I-HI'!B1189+'DCA-Anexo I-HI'!B1180+'DCA-Anexo I-HI'!B1207+'DCA-Anexo I-HI'!B1213</t>
  </si>
  <si>
    <t>'DCA-Anexo I-HI'!B1180=+'DCA-Anexo I-HI'!B1181+'DCA-Anexo I-HI'!B1182+'DCA-Anexo I-HI'!B1183+'DCA-Anexo I-HI'!B1184</t>
  </si>
  <si>
    <t>'DCA-Anexo I-HI'!B1185=+'DCA-Anexo I-HI'!B1188+'DCA-Anexo I-HI'!B1186+'DCA-Anexo I-HI'!B1187</t>
  </si>
  <si>
    <t>'DCA-Anexo I-HI'!B1189=+'DCA-Anexo I-HI'!B1190+'DCA-Anexo I-HI'!B1191+'DCA-Anexo I-HI'!B1192+'DCA-Anexo I-HI'!B1193+'DCA-Anexo I-HI'!B1194</t>
  </si>
  <si>
    <t>'DCA-Anexo I-HI'!B1195=+'DCA-Anexo I-HI'!B1198+'DCA-Anexo I-HI'!B1199+'DCA-Anexo I-HI'!B1197+'DCA-Anexo I-HI'!B1200+'DCA-Anexo I-HI'!B1196</t>
  </si>
  <si>
    <t>'DCA-Anexo I-HI'!B1201=+'DCA-Anexo I-HI'!B1202+'DCA-Anexo I-HI'!B1203+'DCA-Anexo I-HI'!B1204+'DCA-Anexo I-HI'!B1205+'DCA-Anexo I-HI'!B1206</t>
  </si>
  <si>
    <t>'DCA-Anexo I-HI'!B1207=+'DCA-Anexo I-HI'!B1208+'DCA-Anexo I-HI'!B1209+'DCA-Anexo I-HI'!B1210+'DCA-Anexo I-HI'!B1211+'DCA-Anexo I-HI'!B1212</t>
  </si>
  <si>
    <t>'DCA-Anexo I-HI'!B1215=+'DCA-Anexo I-HI'!B1216+'DCA-Anexo I-HI'!B1217+'DCA-Anexo I-HI'!B1218+'DCA-Anexo I-HI'!B1219+'DCA-Anexo I-HI'!B1220</t>
  </si>
  <si>
    <t>'DCA-Anexo I-HI'!B1148=+'DCA-Anexo I-HI'!B1149+'DCA-Anexo I-HI'!B1151+'DCA-Anexo I-HI'!B1153+'DCA-Anexo I-HI'!B1155+'DCA-Anexo I-HI'!B1157</t>
  </si>
  <si>
    <t>'DCA-Anexo I-HI'!B1149=+'DCA-Anexo I-HI'!B1150</t>
  </si>
  <si>
    <t>'DCA-Anexo I-HI'!B1151=+'DCA-Anexo I-HI'!B1152</t>
  </si>
  <si>
    <t>'DCA-Anexo I-HI'!B1153=+'DCA-Anexo I-HI'!B1154</t>
  </si>
  <si>
    <t>'DCA-Anexo I-HI'!B1155=+'DCA-Anexo I-HI'!B1156</t>
  </si>
  <si>
    <t>'DCA-Anexo I-HI'!B1157=+'DCA-Anexo I-HI'!B1158</t>
  </si>
  <si>
    <t>'DCA-Anexo I-HI'!B1159=+'DCA-Anexo I-HI'!B1160</t>
  </si>
  <si>
    <t>'DCA-Anexo I-HI'!B1129=+'DCA-Anexo I-HI'!B1130+'DCA-Anexo I-HI'!B1131+'DCA-Anexo I-HI'!B1132+'DCA-Anexo I-HI'!B1133+'DCA-Anexo I-HI'!B1134</t>
  </si>
  <si>
    <t>'DCA-Anexo I-HI'!B1160=+'DCA-Anexo I-HI'!B1161+'DCA-Anexo I-HI'!B1162+'DCA-Anexo I-HI'!B1163+'DCA-Anexo I-HI'!B1164+'DCA-Anexo I-HI'!B1165</t>
  </si>
  <si>
    <t>'DCA-Anexo I-HI'!B1213=+'DCA-Anexo I-HI'!B1214</t>
  </si>
  <si>
    <t>'DCA-Anexo I-HI'!B471=+'DCA-Anexo I-HI'!B472+'DCA-Anexo I-HI'!B479+'DCA-Anexo I-HI'!B486</t>
  </si>
  <si>
    <t>'DCA-Anexo I-HI'!B472=+'DCA-Anexo I-HI'!B473</t>
  </si>
  <si>
    <t>'DCA-Anexo I-HI'!B479=+'DCA-Anexo I-HI'!B480</t>
  </si>
  <si>
    <t>'DCA-Anexo I-HI'!B486=+'DCA-Anexo I-HI'!B487</t>
  </si>
  <si>
    <t>'DCA-Anexo I-HI'!B473=+'DCA-Anexo I-HI'!B474+'DCA-Anexo I-HI'!B475+'DCA-Anexo I-HI'!B476+'DCA-Anexo I-HI'!B477+'DCA-Anexo I-HI'!B478</t>
  </si>
  <si>
    <t>'DCA-Anexo I-HI'!B480=+'DCA-Anexo I-HI'!B481+'DCA-Anexo I-HI'!B482+'DCA-Anexo I-HI'!B483+'DCA-Anexo I-HI'!B484+'DCA-Anexo I-HI'!B485</t>
  </si>
  <si>
    <t>'DCA-Anexo I-HI'!B487=+'DCA-Anexo I-HI'!B488+'DCA-Anexo I-HI'!B489+'DCA-Anexo I-HI'!B490+'DCA-Anexo I-HI'!B491+'DCA-Anexo I-HI'!B492</t>
  </si>
  <si>
    <t>'DCA-Anexo I-HI'!B1223=+'DCA-Anexo I-HI'!B691-'DCA-Anexo I-HI'!B21</t>
  </si>
  <si>
    <t>[DCA-Anexo I-C]</t>
  </si>
  <si>
    <t>'DCA-Anexo I-C'!B1078=+'DCA-Anexo I-C'!B20+'DCA-Anexo I-C'!B842</t>
  </si>
  <si>
    <t>'DCA-Anexo I-C'!C1078=+'DCA-Anexo I-C'!C20+'DCA-Anexo I-C'!C842</t>
  </si>
  <si>
    <t>'DCA-Anexo I-C'!D1078=+'DCA-Anexo I-C'!D20+'DCA-Anexo I-C'!D842</t>
  </si>
  <si>
    <t>'DCA-Anexo I-C'!E1078=+'DCA-Anexo I-C'!E20+'DCA-Anexo I-C'!E842</t>
  </si>
  <si>
    <t>'DCA-Anexo I-C'!B20=+'DCA-Anexo I-C'!B21+'DCA-Anexo I-C'!B690</t>
  </si>
  <si>
    <t>'DCA-Anexo I-C'!C20=+'DCA-Anexo I-C'!C21+'DCA-Anexo I-C'!C690</t>
  </si>
  <si>
    <t>'DCA-Anexo I-C'!D20=+'DCA-Anexo I-C'!D21+'DCA-Anexo I-C'!D690</t>
  </si>
  <si>
    <t>'DCA-Anexo I-C'!E20=+'DCA-Anexo I-C'!E21+'DCA-Anexo I-C'!E690</t>
  </si>
  <si>
    <t>'DCA-Anexo I-C'!B842=+'DCA-Anexo I-C'!B1060+'DCA-Anexo I-C'!B843</t>
  </si>
  <si>
    <t>'DCA-Anexo I-C'!C842=+'DCA-Anexo I-C'!C1060+'DCA-Anexo I-C'!C843</t>
  </si>
  <si>
    <t>'DCA-Anexo I-C'!D842=+'DCA-Anexo I-C'!D1060+'DCA-Anexo I-C'!D843</t>
  </si>
  <si>
    <t>'DCA-Anexo I-C'!E842=+'DCA-Anexo I-C'!E1060+'DCA-Anexo I-C'!E843</t>
  </si>
  <si>
    <t>'DCA-Anexo I-C'!B21=+'DCA-Anexo I-C'!B22+'DCA-Anexo I-C'!B90+'DCA-Anexo I-C'!B253+'DCA-Anexo I-C'!B378+'DCA-Anexo I-C'!B379+'DCA-Anexo I-C'!B380+'DCA-Anexo I-C'!B417+'DCA-Anexo I-C'!B551</t>
  </si>
  <si>
    <t>'DCA-Anexo I-C'!C21=+'DCA-Anexo I-C'!C22+'DCA-Anexo I-C'!C90+'DCA-Anexo I-C'!C253+'DCA-Anexo I-C'!C378+'DCA-Anexo I-C'!C379+'DCA-Anexo I-C'!C380+'DCA-Anexo I-C'!C417+'DCA-Anexo I-C'!C551</t>
  </si>
  <si>
    <t>'DCA-Anexo I-C'!D21=+'DCA-Anexo I-C'!D22+'DCA-Anexo I-C'!D90+'DCA-Anexo I-C'!D253+'DCA-Anexo I-C'!D378+'DCA-Anexo I-C'!D379+'DCA-Anexo I-C'!D380+'DCA-Anexo I-C'!D417+'DCA-Anexo I-C'!D551</t>
  </si>
  <si>
    <t>'DCA-Anexo I-C'!E21=+'DCA-Anexo I-C'!E22+'DCA-Anexo I-C'!E90+'DCA-Anexo I-C'!E253+'DCA-Anexo I-C'!E378+'DCA-Anexo I-C'!E379+'DCA-Anexo I-C'!E380+'DCA-Anexo I-C'!E417+'DCA-Anexo I-C'!E551</t>
  </si>
  <si>
    <t>'DCA-Anexo I-C'!B22=+'DCA-Anexo I-C'!B23+'DCA-Anexo I-C'!B59+'DCA-Anexo I-C'!B83</t>
  </si>
  <si>
    <t>'DCA-Anexo I-C'!C22=+'DCA-Anexo I-C'!C23+'DCA-Anexo I-C'!C59+'DCA-Anexo I-C'!C83</t>
  </si>
  <si>
    <t>'DCA-Anexo I-C'!D22=+'DCA-Anexo I-C'!D23+'DCA-Anexo I-C'!D59+'DCA-Anexo I-C'!D83</t>
  </si>
  <si>
    <t>'DCA-Anexo I-C'!E22=+'DCA-Anexo I-C'!E23+'DCA-Anexo I-C'!E59+'DCA-Anexo I-C'!E83</t>
  </si>
  <si>
    <t>'DCA-Anexo I-C'!B23=+'DCA-Anexo I-C'!B24+'DCA-Anexo I-C'!B27+'DCA-Anexo I-C'!B33+'DCA-Anexo I-C'!B41+'DCA-Anexo I-C'!B55+'DCA-Anexo I-C'!B58</t>
  </si>
  <si>
    <t>'DCA-Anexo I-C'!C23=+'DCA-Anexo I-C'!C24+'DCA-Anexo I-C'!C27+'DCA-Anexo I-C'!C33+'DCA-Anexo I-C'!C41+'DCA-Anexo I-C'!C55+'DCA-Anexo I-C'!C58</t>
  </si>
  <si>
    <t>'DCA-Anexo I-C'!D23=+'DCA-Anexo I-C'!D24+'DCA-Anexo I-C'!D27+'DCA-Anexo I-C'!D33+'DCA-Anexo I-C'!D41+'DCA-Anexo I-C'!D55+'DCA-Anexo I-C'!D58</t>
  </si>
  <si>
    <t>'DCA-Anexo I-C'!E23=+'DCA-Anexo I-C'!E24+'DCA-Anexo I-C'!E27+'DCA-Anexo I-C'!E33+'DCA-Anexo I-C'!E41+'DCA-Anexo I-C'!E55+'DCA-Anexo I-C'!E58</t>
  </si>
  <si>
    <t>'DCA-Anexo I-C'!B24=+'DCA-Anexo I-C'!B25+'DCA-Anexo I-C'!B26</t>
  </si>
  <si>
    <t>'DCA-Anexo I-C'!C24=+'DCA-Anexo I-C'!C25+'DCA-Anexo I-C'!C26</t>
  </si>
  <si>
    <t>'DCA-Anexo I-C'!D24=+'DCA-Anexo I-C'!D25+'DCA-Anexo I-C'!D26</t>
  </si>
  <si>
    <t>'DCA-Anexo I-C'!E24=+'DCA-Anexo I-C'!E25+'DCA-Anexo I-C'!E26</t>
  </si>
  <si>
    <t>'DCA-Anexo I-C'!B27=+'DCA-Anexo I-C'!B28+'DCA-Anexo I-C'!B29+'DCA-Anexo I-C'!B30+'DCA-Anexo I-C'!B31+'DCA-Anexo I-C'!B32</t>
  </si>
  <si>
    <t>'DCA-Anexo I-C'!C27=+'DCA-Anexo I-C'!C28+'DCA-Anexo I-C'!C29+'DCA-Anexo I-C'!C30+'DCA-Anexo I-C'!C31+'DCA-Anexo I-C'!C32</t>
  </si>
  <si>
    <t>'DCA-Anexo I-C'!D27=+'DCA-Anexo I-C'!D28+'DCA-Anexo I-C'!D29+'DCA-Anexo I-C'!D30+'DCA-Anexo I-C'!D31+'DCA-Anexo I-C'!D32</t>
  </si>
  <si>
    <t>'DCA-Anexo I-C'!E27=+'DCA-Anexo I-C'!E28+'DCA-Anexo I-C'!E29+'DCA-Anexo I-C'!E30+'DCA-Anexo I-C'!E31+'DCA-Anexo I-C'!E32</t>
  </si>
  <si>
    <t>'DCA-Anexo I-C'!B33=+'DCA-Anexo I-C'!B34+'DCA-Anexo I-C'!B35+'DCA-Anexo I-C'!B36</t>
  </si>
  <si>
    <t>'DCA-Anexo I-C'!C33=+'DCA-Anexo I-C'!C34+'DCA-Anexo I-C'!C35+'DCA-Anexo I-C'!C36</t>
  </si>
  <si>
    <t>'DCA-Anexo I-C'!D33=+'DCA-Anexo I-C'!D34+'DCA-Anexo I-C'!D35+'DCA-Anexo I-C'!D36</t>
  </si>
  <si>
    <t>'DCA-Anexo I-C'!E33=+'DCA-Anexo I-C'!E34+'DCA-Anexo I-C'!E35+'DCA-Anexo I-C'!E36</t>
  </si>
  <si>
    <t>'DCA-Anexo I-C'!B36=+'DCA-Anexo I-C'!B37+'DCA-Anexo I-C'!B38+'DCA-Anexo I-C'!B39+'DCA-Anexo I-C'!B40</t>
  </si>
  <si>
    <t>'DCA-Anexo I-C'!C36=+'DCA-Anexo I-C'!C37+'DCA-Anexo I-C'!C38+'DCA-Anexo I-C'!C39+'DCA-Anexo I-C'!C40</t>
  </si>
  <si>
    <t>'DCA-Anexo I-C'!D36=+'DCA-Anexo I-C'!D37+'DCA-Anexo I-C'!D38+'DCA-Anexo I-C'!D39+'DCA-Anexo I-C'!D40</t>
  </si>
  <si>
    <t>'DCA-Anexo I-C'!E36=+'DCA-Anexo I-C'!E37+'DCA-Anexo I-C'!E38+'DCA-Anexo I-C'!E39+'DCA-Anexo I-C'!E40</t>
  </si>
  <si>
    <t>'DCA-Anexo I-C'!B41=+'DCA-Anexo I-C'!B42+'DCA-Anexo I-C'!B48+'DCA-Anexo I-C'!B51+'DCA-Anexo I-C'!B54</t>
  </si>
  <si>
    <t>'DCA-Anexo I-C'!C41=+'DCA-Anexo I-C'!C42+'DCA-Anexo I-C'!C48+'DCA-Anexo I-C'!C51+'DCA-Anexo I-C'!C54</t>
  </si>
  <si>
    <t>'DCA-Anexo I-C'!D41=+'DCA-Anexo I-C'!D42+'DCA-Anexo I-C'!D48+'DCA-Anexo I-C'!D51+'DCA-Anexo I-C'!D54</t>
  </si>
  <si>
    <t>'DCA-Anexo I-C'!E41=+'DCA-Anexo I-C'!E42+'DCA-Anexo I-C'!E48+'DCA-Anexo I-C'!E51+'DCA-Anexo I-C'!E54</t>
  </si>
  <si>
    <t>'DCA-Anexo I-C'!B42=+'DCA-Anexo I-C'!B43+'DCA-Anexo I-C'!B44+'DCA-Anexo I-C'!B45+'DCA-Anexo I-C'!B46+'DCA-Anexo I-C'!B47</t>
  </si>
  <si>
    <t>'DCA-Anexo I-C'!C42=+'DCA-Anexo I-C'!C43+'DCA-Anexo I-C'!C44+'DCA-Anexo I-C'!C45+'DCA-Anexo I-C'!C46+'DCA-Anexo I-C'!C47</t>
  </si>
  <si>
    <t>'DCA-Anexo I-C'!D42=+'DCA-Anexo I-C'!D43+'DCA-Anexo I-C'!D44+'DCA-Anexo I-C'!D45+'DCA-Anexo I-C'!D46+'DCA-Anexo I-C'!D47</t>
  </si>
  <si>
    <t>'DCA-Anexo I-C'!E42=+'DCA-Anexo I-C'!E43+'DCA-Anexo I-C'!E44+'DCA-Anexo I-C'!E45+'DCA-Anexo I-C'!E46+'DCA-Anexo I-C'!E47</t>
  </si>
  <si>
    <t>'DCA-Anexo I-C'!B48=+'DCA-Anexo I-C'!B49+'DCA-Anexo I-C'!B50</t>
  </si>
  <si>
    <t>'DCA-Anexo I-C'!C48=+'DCA-Anexo I-C'!C49+'DCA-Anexo I-C'!C50</t>
  </si>
  <si>
    <t>'DCA-Anexo I-C'!D48=+'DCA-Anexo I-C'!D49+'DCA-Anexo I-C'!D50</t>
  </si>
  <si>
    <t>'DCA-Anexo I-C'!E48=+'DCA-Anexo I-C'!E49+'DCA-Anexo I-C'!E50</t>
  </si>
  <si>
    <t>'DCA-Anexo I-C'!B51=+'DCA-Anexo I-C'!B52+'DCA-Anexo I-C'!B53</t>
  </si>
  <si>
    <t>'DCA-Anexo I-C'!C51=+'DCA-Anexo I-C'!C52+'DCA-Anexo I-C'!C53</t>
  </si>
  <si>
    <t>'DCA-Anexo I-C'!D51=+'DCA-Anexo I-C'!D52+'DCA-Anexo I-C'!D53</t>
  </si>
  <si>
    <t>'DCA-Anexo I-C'!E51=+'DCA-Anexo I-C'!E52+'DCA-Anexo I-C'!E53</t>
  </si>
  <si>
    <t>'DCA-Anexo I-C'!B55=+'DCA-Anexo I-C'!B56+'DCA-Anexo I-C'!B57</t>
  </si>
  <si>
    <t>'DCA-Anexo I-C'!C55=+'DCA-Anexo I-C'!C56+'DCA-Anexo I-C'!C57</t>
  </si>
  <si>
    <t>'DCA-Anexo I-C'!D55=+'DCA-Anexo I-C'!D56+'DCA-Anexo I-C'!D57</t>
  </si>
  <si>
    <t>'DCA-Anexo I-C'!E55=+'DCA-Anexo I-C'!E56+'DCA-Anexo I-C'!E57</t>
  </si>
  <si>
    <t>'DCA-Anexo I-C'!B59=+'DCA-Anexo I-C'!B60+'DCA-Anexo I-C'!B76</t>
  </si>
  <si>
    <t>'DCA-Anexo I-C'!C59=+'DCA-Anexo I-C'!C60+'DCA-Anexo I-C'!C76</t>
  </si>
  <si>
    <t>'DCA-Anexo I-C'!D59=+'DCA-Anexo I-C'!D60+'DCA-Anexo I-C'!D76</t>
  </si>
  <si>
    <t>'DCA-Anexo I-C'!E59=+'DCA-Anexo I-C'!E60+'DCA-Anexo I-C'!E76</t>
  </si>
  <si>
    <t>'DCA-Anexo I-C'!B60=+'DCA-Anexo I-C'!B61+'DCA-Anexo I-C'!B62+'DCA-Anexo I-C'!B67+'DCA-Anexo I-C'!B68+'DCA-Anexo I-C'!B69+'DCA-Anexo I-C'!B70+'DCA-Anexo I-C'!B71+'DCA-Anexo I-C'!B72+'DCA-Anexo I-C'!B73+'DCA-Anexo I-C'!B74+'DCA-Anexo I-C'!B75</t>
  </si>
  <si>
    <t>'DCA-Anexo I-C'!C60=+'DCA-Anexo I-C'!C61+'DCA-Anexo I-C'!C62+'DCA-Anexo I-C'!C67+'DCA-Anexo I-C'!C68+'DCA-Anexo I-C'!C69+'DCA-Anexo I-C'!C70+'DCA-Anexo I-C'!C71+'DCA-Anexo I-C'!C72+'DCA-Anexo I-C'!C73+'DCA-Anexo I-C'!C74+'DCA-Anexo I-C'!C75</t>
  </si>
  <si>
    <t>'DCA-Anexo I-C'!D60=+'DCA-Anexo I-C'!D61+'DCA-Anexo I-C'!D62+'DCA-Anexo I-C'!D67+'DCA-Anexo I-C'!D68+'DCA-Anexo I-C'!D69+'DCA-Anexo I-C'!D70+'DCA-Anexo I-C'!D71+'DCA-Anexo I-C'!D72+'DCA-Anexo I-C'!D73+'DCA-Anexo I-C'!D74+'DCA-Anexo I-C'!D75</t>
  </si>
  <si>
    <t>'DCA-Anexo I-C'!E60=+'DCA-Anexo I-C'!E61+'DCA-Anexo I-C'!E62+'DCA-Anexo I-C'!E67+'DCA-Anexo I-C'!E68+'DCA-Anexo I-C'!E69+'DCA-Anexo I-C'!E70+'DCA-Anexo I-C'!E71+'DCA-Anexo I-C'!E72+'DCA-Anexo I-C'!E73+'DCA-Anexo I-C'!E74+'DCA-Anexo I-C'!E75</t>
  </si>
  <si>
    <t>'DCA-Anexo I-C'!B62=+'DCA-Anexo I-C'!B63+'DCA-Anexo I-C'!B64+'DCA-Anexo I-C'!B65+'DCA-Anexo I-C'!B66</t>
  </si>
  <si>
    <t>'DCA-Anexo I-C'!C62=+'DCA-Anexo I-C'!C63+'DCA-Anexo I-C'!C64+'DCA-Anexo I-C'!C65+'DCA-Anexo I-C'!C66</t>
  </si>
  <si>
    <t>'DCA-Anexo I-C'!D62=+'DCA-Anexo I-C'!D63+'DCA-Anexo I-C'!D64+'DCA-Anexo I-C'!D65+'DCA-Anexo I-C'!D66</t>
  </si>
  <si>
    <t>'DCA-Anexo I-C'!E62=+'DCA-Anexo I-C'!E63+'DCA-Anexo I-C'!E64+'DCA-Anexo I-C'!E65+'DCA-Anexo I-C'!E66</t>
  </si>
  <si>
    <t>'DCA-Anexo I-C'!B76=+'DCA-Anexo I-C'!B77+'DCA-Anexo I-C'!B78+'DCA-Anexo I-C'!B79+'DCA-Anexo I-C'!B80+'DCA-Anexo I-C'!B81+'DCA-Anexo I-C'!B82</t>
  </si>
  <si>
    <t>'DCA-Anexo I-C'!C76=+'DCA-Anexo I-C'!C77+'DCA-Anexo I-C'!C78+'DCA-Anexo I-C'!C79+'DCA-Anexo I-C'!C80+'DCA-Anexo I-C'!C81+'DCA-Anexo I-C'!C82</t>
  </si>
  <si>
    <t>'DCA-Anexo I-C'!D76=+'DCA-Anexo I-C'!D77+'DCA-Anexo I-C'!D78+'DCA-Anexo I-C'!D79+'DCA-Anexo I-C'!D80+'DCA-Anexo I-C'!D81+'DCA-Anexo I-C'!D82</t>
  </si>
  <si>
    <t>'DCA-Anexo I-C'!E76=+'DCA-Anexo I-C'!E77+'DCA-Anexo I-C'!E78+'DCA-Anexo I-C'!E79+'DCA-Anexo I-C'!E80+'DCA-Anexo I-C'!E81+'DCA-Anexo I-C'!E82</t>
  </si>
  <si>
    <t>'DCA-Anexo I-C'!B83=+'DCA-Anexo I-C'!B84</t>
  </si>
  <si>
    <t>'DCA-Anexo I-C'!C83=+'DCA-Anexo I-C'!C84</t>
  </si>
  <si>
    <t>'DCA-Anexo I-C'!D83=+'DCA-Anexo I-C'!D84</t>
  </si>
  <si>
    <t>'DCA-Anexo I-C'!E83=+'DCA-Anexo I-C'!E84</t>
  </si>
  <si>
    <t>'DCA-Anexo I-C'!B84=+'DCA-Anexo I-C'!B85+'DCA-Anexo I-C'!B86+'DCA-Anexo I-C'!B87+'DCA-Anexo I-C'!B88+'DCA-Anexo I-C'!B89</t>
  </si>
  <si>
    <t>'DCA-Anexo I-C'!C84=+'DCA-Anexo I-C'!C85+'DCA-Anexo I-C'!C86+'DCA-Anexo I-C'!C87+'DCA-Anexo I-C'!C88+'DCA-Anexo I-C'!C89</t>
  </si>
  <si>
    <t>'DCA-Anexo I-C'!D84=+'DCA-Anexo I-C'!D85+'DCA-Anexo I-C'!D86+'DCA-Anexo I-C'!D87+'DCA-Anexo I-C'!D88+'DCA-Anexo I-C'!D89</t>
  </si>
  <si>
    <t>'DCA-Anexo I-C'!E84=+'DCA-Anexo I-C'!E85+'DCA-Anexo I-C'!E86+'DCA-Anexo I-C'!E87+'DCA-Anexo I-C'!E88+'DCA-Anexo I-C'!E89</t>
  </si>
  <si>
    <t>'DCA-Anexo I-C'!B90=+'DCA-Anexo I-C'!B91+'DCA-Anexo I-C'!B228+'DCA-Anexo I-C'!B251+'DCA-Anexo I-C'!B252</t>
  </si>
  <si>
    <t>'DCA-Anexo I-C'!C90=+'DCA-Anexo I-C'!C91+'DCA-Anexo I-C'!C228+'DCA-Anexo I-C'!C251+'DCA-Anexo I-C'!C252</t>
  </si>
  <si>
    <t>'DCA-Anexo I-C'!D90=+'DCA-Anexo I-C'!D91+'DCA-Anexo I-C'!D228+'DCA-Anexo I-C'!D251+'DCA-Anexo I-C'!D252</t>
  </si>
  <si>
    <t>'DCA-Anexo I-C'!E90=+'DCA-Anexo I-C'!E91+'DCA-Anexo I-C'!E228+'DCA-Anexo I-C'!E251+'DCA-Anexo I-C'!E252</t>
  </si>
  <si>
    <t>'DCA-Anexo I-C'!B91=+'DCA-Anexo I-C'!B92+'DCA-Anexo I-C'!B96+'DCA-Anexo I-C'!B100+'DCA-Anexo I-C'!B104+'DCA-Anexo I-C'!B108+'DCA-Anexo I-C'!B156+'DCA-Anexo I-C'!B172+'DCA-Anexo I-C'!B194</t>
  </si>
  <si>
    <t>'DCA-Anexo I-C'!C91=+'DCA-Anexo I-C'!C92+'DCA-Anexo I-C'!C96+'DCA-Anexo I-C'!C100+'DCA-Anexo I-C'!C104+'DCA-Anexo I-C'!C108+'DCA-Anexo I-C'!C156+'DCA-Anexo I-C'!C172+'DCA-Anexo I-C'!C194</t>
  </si>
  <si>
    <t>'DCA-Anexo I-C'!D91=+'DCA-Anexo I-C'!D92+'DCA-Anexo I-C'!D96+'DCA-Anexo I-C'!D100+'DCA-Anexo I-C'!D104+'DCA-Anexo I-C'!D108+'DCA-Anexo I-C'!D156+'DCA-Anexo I-C'!D172+'DCA-Anexo I-C'!D194</t>
  </si>
  <si>
    <t>'DCA-Anexo I-C'!E91=+'DCA-Anexo I-C'!E92+'DCA-Anexo I-C'!E96+'DCA-Anexo I-C'!E100+'DCA-Anexo I-C'!E104+'DCA-Anexo I-C'!E108+'DCA-Anexo I-C'!E156+'DCA-Anexo I-C'!E172+'DCA-Anexo I-C'!E194</t>
  </si>
  <si>
    <t>'DCA-Anexo I-C'!B92=+'DCA-Anexo I-C'!B93+'DCA-Anexo I-C'!B94+'DCA-Anexo I-C'!B95</t>
  </si>
  <si>
    <t>'DCA-Anexo I-C'!C92=+'DCA-Anexo I-C'!C93+'DCA-Anexo I-C'!C94+'DCA-Anexo I-C'!C95</t>
  </si>
  <si>
    <t>'DCA-Anexo I-C'!D92=+'DCA-Anexo I-C'!D93+'DCA-Anexo I-C'!D94+'DCA-Anexo I-C'!D95</t>
  </si>
  <si>
    <t>'DCA-Anexo I-C'!E92=+'DCA-Anexo I-C'!E93+'DCA-Anexo I-C'!E94+'DCA-Anexo I-C'!E95</t>
  </si>
  <si>
    <t>'DCA-Anexo I-C'!B96=+'DCA-Anexo I-C'!B97+'DCA-Anexo I-C'!B98+'DCA-Anexo I-C'!B99</t>
  </si>
  <si>
    <t>'DCA-Anexo I-C'!C96=+'DCA-Anexo I-C'!C97+'DCA-Anexo I-C'!C98+'DCA-Anexo I-C'!C99</t>
  </si>
  <si>
    <t>'DCA-Anexo I-C'!D96=+'DCA-Anexo I-C'!D97+'DCA-Anexo I-C'!D98+'DCA-Anexo I-C'!D99</t>
  </si>
  <si>
    <t>'DCA-Anexo I-C'!E96=+'DCA-Anexo I-C'!E97+'DCA-Anexo I-C'!E98+'DCA-Anexo I-C'!E99</t>
  </si>
  <si>
    <t>'DCA-Anexo I-C'!B100=+'DCA-Anexo I-C'!B101+'DCA-Anexo I-C'!B102+'DCA-Anexo I-C'!B103</t>
  </si>
  <si>
    <t>'DCA-Anexo I-C'!C100=+'DCA-Anexo I-C'!C101+'DCA-Anexo I-C'!C102+'DCA-Anexo I-C'!C103</t>
  </si>
  <si>
    <t>'DCA-Anexo I-C'!D100=+'DCA-Anexo I-C'!D101+'DCA-Anexo I-C'!D102+'DCA-Anexo I-C'!D103</t>
  </si>
  <si>
    <t>'DCA-Anexo I-C'!E100=+'DCA-Anexo I-C'!E101+'DCA-Anexo I-C'!E102+'DCA-Anexo I-C'!E103</t>
  </si>
  <si>
    <t>'DCA-Anexo I-C'!B104=+'DCA-Anexo I-C'!B105+'DCA-Anexo I-C'!B106+'DCA-Anexo I-C'!B107</t>
  </si>
  <si>
    <t>'DCA-Anexo I-C'!C104=+'DCA-Anexo I-C'!C105+'DCA-Anexo I-C'!C106+'DCA-Anexo I-C'!C107</t>
  </si>
  <si>
    <t>'DCA-Anexo I-C'!D104=+'DCA-Anexo I-C'!D105+'DCA-Anexo I-C'!D106+'DCA-Anexo I-C'!D107</t>
  </si>
  <si>
    <t>'DCA-Anexo I-C'!E104=+'DCA-Anexo I-C'!E105+'DCA-Anexo I-C'!E106+'DCA-Anexo I-C'!E107</t>
  </si>
  <si>
    <t>'DCA-Anexo I-C'!B108=+'DCA-Anexo I-C'!B109+'DCA-Anexo I-C'!B116+'DCA-Anexo I-C'!B119+'DCA-Anexo I-C'!B120+'DCA-Anexo I-C'!B124+'DCA-Anexo I-C'!B129+'DCA-Anexo I-C'!B133+'DCA-Anexo I-C'!B137+'DCA-Anexo I-C'!B144+'DCA-Anexo I-C'!B148+'DCA-Anexo I-C'!B152</t>
  </si>
  <si>
    <t>'DCA-Anexo I-C'!C108=+'DCA-Anexo I-C'!C109+'DCA-Anexo I-C'!C116+'DCA-Anexo I-C'!C119+'DCA-Anexo I-C'!C120+'DCA-Anexo I-C'!C124+'DCA-Anexo I-C'!C129+'DCA-Anexo I-C'!C133+'DCA-Anexo I-C'!C137+'DCA-Anexo I-C'!C144+'DCA-Anexo I-C'!C148+'DCA-Anexo I-C'!C152</t>
  </si>
  <si>
    <t>'DCA-Anexo I-C'!D108=+'DCA-Anexo I-C'!D109+'DCA-Anexo I-C'!D116+'DCA-Anexo I-C'!D119+'DCA-Anexo I-C'!D120+'DCA-Anexo I-C'!D124+'DCA-Anexo I-C'!D129+'DCA-Anexo I-C'!D133+'DCA-Anexo I-C'!D137+'DCA-Anexo I-C'!D144+'DCA-Anexo I-C'!D148+'DCA-Anexo I-C'!D152</t>
  </si>
  <si>
    <t>'DCA-Anexo I-C'!E108=+'DCA-Anexo I-C'!E109+'DCA-Anexo I-C'!E116+'DCA-Anexo I-C'!E119+'DCA-Anexo I-C'!E120+'DCA-Anexo I-C'!E124+'DCA-Anexo I-C'!E129+'DCA-Anexo I-C'!E133+'DCA-Anexo I-C'!E137+'DCA-Anexo I-C'!E144+'DCA-Anexo I-C'!E148+'DCA-Anexo I-C'!E152</t>
  </si>
  <si>
    <t>'DCA-Anexo I-C'!B109=+'DCA-Anexo I-C'!B110+'DCA-Anexo I-C'!B111+'DCA-Anexo I-C'!B112+'DCA-Anexo I-C'!B113+'DCA-Anexo I-C'!B114+'DCA-Anexo I-C'!B115</t>
  </si>
  <si>
    <t>'DCA-Anexo I-C'!C109=+'DCA-Anexo I-C'!C110+'DCA-Anexo I-C'!C111+'DCA-Anexo I-C'!C112+'DCA-Anexo I-C'!C113+'DCA-Anexo I-C'!C114+'DCA-Anexo I-C'!C115</t>
  </si>
  <si>
    <t>'DCA-Anexo I-C'!D109=+'DCA-Anexo I-C'!D110+'DCA-Anexo I-C'!D111+'DCA-Anexo I-C'!D112+'DCA-Anexo I-C'!D113+'DCA-Anexo I-C'!D114+'DCA-Anexo I-C'!D115</t>
  </si>
  <si>
    <t>'DCA-Anexo I-C'!E109=+'DCA-Anexo I-C'!E110+'DCA-Anexo I-C'!E111+'DCA-Anexo I-C'!E112+'DCA-Anexo I-C'!E113+'DCA-Anexo I-C'!E114+'DCA-Anexo I-C'!E115</t>
  </si>
  <si>
    <t>'DCA-Anexo I-C'!B116=+'DCA-Anexo I-C'!B117+'DCA-Anexo I-C'!B118</t>
  </si>
  <si>
    <t>'DCA-Anexo I-C'!C116=+'DCA-Anexo I-C'!C117+'DCA-Anexo I-C'!C118</t>
  </si>
  <si>
    <t>'DCA-Anexo I-C'!D116=+'DCA-Anexo I-C'!D117+'DCA-Anexo I-C'!D118</t>
  </si>
  <si>
    <t>'DCA-Anexo I-C'!E116=+'DCA-Anexo I-C'!E117+'DCA-Anexo I-C'!E118</t>
  </si>
  <si>
    <t>'DCA-Anexo I-C'!B120=+'DCA-Anexo I-C'!B121+'DCA-Anexo I-C'!B122+'DCA-Anexo I-C'!B123</t>
  </si>
  <si>
    <t>'DCA-Anexo I-C'!C120=+'DCA-Anexo I-C'!C121+'DCA-Anexo I-C'!C122+'DCA-Anexo I-C'!C123</t>
  </si>
  <si>
    <t>'DCA-Anexo I-C'!D120=+'DCA-Anexo I-C'!D121+'DCA-Anexo I-C'!D122+'DCA-Anexo I-C'!D123</t>
  </si>
  <si>
    <t>'DCA-Anexo I-C'!E120=+'DCA-Anexo I-C'!E121+'DCA-Anexo I-C'!E122+'DCA-Anexo I-C'!E123</t>
  </si>
  <si>
    <t>'DCA-Anexo I-C'!B124=+'DCA-Anexo I-C'!B125+'DCA-Anexo I-C'!B126+'DCA-Anexo I-C'!B127+'DCA-Anexo I-C'!B128</t>
  </si>
  <si>
    <t>'DCA-Anexo I-C'!C124=+'DCA-Anexo I-C'!C125+'DCA-Anexo I-C'!C126+'DCA-Anexo I-C'!C127+'DCA-Anexo I-C'!C128</t>
  </si>
  <si>
    <t>'DCA-Anexo I-C'!D124=+'DCA-Anexo I-C'!D125+'DCA-Anexo I-C'!D126+'DCA-Anexo I-C'!D127+'DCA-Anexo I-C'!D128</t>
  </si>
  <si>
    <t>'DCA-Anexo I-C'!E124=+'DCA-Anexo I-C'!E125+'DCA-Anexo I-C'!E126+'DCA-Anexo I-C'!E127+'DCA-Anexo I-C'!E128</t>
  </si>
  <si>
    <t>'DCA-Anexo I-C'!B129=+'DCA-Anexo I-C'!B130+'DCA-Anexo I-C'!B131+'DCA-Anexo I-C'!B132</t>
  </si>
  <si>
    <t>'DCA-Anexo I-C'!C129=+'DCA-Anexo I-C'!C130+'DCA-Anexo I-C'!C131+'DCA-Anexo I-C'!C132</t>
  </si>
  <si>
    <t>'DCA-Anexo I-C'!D129=+'DCA-Anexo I-C'!D130+'DCA-Anexo I-C'!D131+'DCA-Anexo I-C'!D132</t>
  </si>
  <si>
    <t>'DCA-Anexo I-C'!E129=+'DCA-Anexo I-C'!E130+'DCA-Anexo I-C'!E131+'DCA-Anexo I-C'!E132</t>
  </si>
  <si>
    <t>'DCA-Anexo I-C'!B133=+'DCA-Anexo I-C'!B134+'DCA-Anexo I-C'!B135+'DCA-Anexo I-C'!B136</t>
  </si>
  <si>
    <t>'DCA-Anexo I-C'!C133=+'DCA-Anexo I-C'!C134+'DCA-Anexo I-C'!C135+'DCA-Anexo I-C'!C136</t>
  </si>
  <si>
    <t>'DCA-Anexo I-C'!D133=+'DCA-Anexo I-C'!D134+'DCA-Anexo I-C'!D135+'DCA-Anexo I-C'!D136</t>
  </si>
  <si>
    <t>'DCA-Anexo I-C'!E133=+'DCA-Anexo I-C'!E134+'DCA-Anexo I-C'!E135+'DCA-Anexo I-C'!E136</t>
  </si>
  <si>
    <t>'DCA-Anexo I-C'!B137=+'DCA-Anexo I-C'!B138+'DCA-Anexo I-C'!B139+'DCA-Anexo I-C'!B140+'DCA-Anexo I-C'!B141+'DCA-Anexo I-C'!B142+'DCA-Anexo I-C'!B143</t>
  </si>
  <si>
    <t>'DCA-Anexo I-C'!C137=+'DCA-Anexo I-C'!C138+'DCA-Anexo I-C'!C139+'DCA-Anexo I-C'!C140+'DCA-Anexo I-C'!C141+'DCA-Anexo I-C'!C142+'DCA-Anexo I-C'!C143</t>
  </si>
  <si>
    <t>'DCA-Anexo I-C'!D137=+'DCA-Anexo I-C'!D138+'DCA-Anexo I-C'!D139+'DCA-Anexo I-C'!D140+'DCA-Anexo I-C'!D141+'DCA-Anexo I-C'!D142+'DCA-Anexo I-C'!D143</t>
  </si>
  <si>
    <t>'DCA-Anexo I-C'!E137=+'DCA-Anexo I-C'!E138+'DCA-Anexo I-C'!E139+'DCA-Anexo I-C'!E140+'DCA-Anexo I-C'!E141+'DCA-Anexo I-C'!E142+'DCA-Anexo I-C'!E143</t>
  </si>
  <si>
    <t>'DCA-Anexo I-C'!B144=+'DCA-Anexo I-C'!B145+'DCA-Anexo I-C'!B146+'DCA-Anexo I-C'!B147</t>
  </si>
  <si>
    <t>'DCA-Anexo I-C'!C144=+'DCA-Anexo I-C'!C145+'DCA-Anexo I-C'!C146+'DCA-Anexo I-C'!C147</t>
  </si>
  <si>
    <t>'DCA-Anexo I-C'!D144=+'DCA-Anexo I-C'!D145+'DCA-Anexo I-C'!D146+'DCA-Anexo I-C'!D147</t>
  </si>
  <si>
    <t>'DCA-Anexo I-C'!E144=+'DCA-Anexo I-C'!E145+'DCA-Anexo I-C'!E146+'DCA-Anexo I-C'!E147</t>
  </si>
  <si>
    <t>'DCA-Anexo I-C'!B148=+'DCA-Anexo I-C'!B149+'DCA-Anexo I-C'!B150+'DCA-Anexo I-C'!B151</t>
  </si>
  <si>
    <t>'DCA-Anexo I-C'!C148=+'DCA-Anexo I-C'!C149+'DCA-Anexo I-C'!C150+'DCA-Anexo I-C'!C151</t>
  </si>
  <si>
    <t>'DCA-Anexo I-C'!D148=+'DCA-Anexo I-C'!D149+'DCA-Anexo I-C'!D150+'DCA-Anexo I-C'!D151</t>
  </si>
  <si>
    <t>'DCA-Anexo I-C'!E148=+'DCA-Anexo I-C'!E149+'DCA-Anexo I-C'!E150+'DCA-Anexo I-C'!E151</t>
  </si>
  <si>
    <t>'DCA-Anexo I-C'!B152=+'DCA-Anexo I-C'!B153+'DCA-Anexo I-C'!B154+'DCA-Anexo I-C'!B155</t>
  </si>
  <si>
    <t>'DCA-Anexo I-C'!C152=+'DCA-Anexo I-C'!C153+'DCA-Anexo I-C'!C154+'DCA-Anexo I-C'!C155</t>
  </si>
  <si>
    <t>'DCA-Anexo I-C'!D152=+'DCA-Anexo I-C'!D153+'DCA-Anexo I-C'!D154+'DCA-Anexo I-C'!D155</t>
  </si>
  <si>
    <t>'DCA-Anexo I-C'!E152=+'DCA-Anexo I-C'!E153+'DCA-Anexo I-C'!E154+'DCA-Anexo I-C'!E155</t>
  </si>
  <si>
    <t>'DCA-Anexo I-C'!B156=+'DCA-Anexo I-C'!B157+'DCA-Anexo I-C'!B160+'DCA-Anexo I-C'!B163+'DCA-Anexo I-C'!B166+'DCA-Anexo I-C'!B169</t>
  </si>
  <si>
    <t>'DCA-Anexo I-C'!C156=+'DCA-Anexo I-C'!C157+'DCA-Anexo I-C'!C160+'DCA-Anexo I-C'!C163+'DCA-Anexo I-C'!C166+'DCA-Anexo I-C'!C169</t>
  </si>
  <si>
    <t>'DCA-Anexo I-C'!D156=+'DCA-Anexo I-C'!D157+'DCA-Anexo I-C'!D160+'DCA-Anexo I-C'!D163+'DCA-Anexo I-C'!D166+'DCA-Anexo I-C'!D169</t>
  </si>
  <si>
    <t>'DCA-Anexo I-C'!E156=+'DCA-Anexo I-C'!E157+'DCA-Anexo I-C'!E160+'DCA-Anexo I-C'!E163+'DCA-Anexo I-C'!E166+'DCA-Anexo I-C'!E169</t>
  </si>
  <si>
    <t>'DCA-Anexo I-C'!B157=+'DCA-Anexo I-C'!B158+'DCA-Anexo I-C'!B159</t>
  </si>
  <si>
    <t>'DCA-Anexo I-C'!C157=+'DCA-Anexo I-C'!C158+'DCA-Anexo I-C'!C159</t>
  </si>
  <si>
    <t>'DCA-Anexo I-C'!D157=+'DCA-Anexo I-C'!D158+'DCA-Anexo I-C'!D159</t>
  </si>
  <si>
    <t>'DCA-Anexo I-C'!E157=+'DCA-Anexo I-C'!E158+'DCA-Anexo I-C'!E159</t>
  </si>
  <si>
    <t>'DCA-Anexo I-C'!B160=+'DCA-Anexo I-C'!B161+'DCA-Anexo I-C'!B162</t>
  </si>
  <si>
    <t>'DCA-Anexo I-C'!C160=+'DCA-Anexo I-C'!C161+'DCA-Anexo I-C'!C162</t>
  </si>
  <si>
    <t>'DCA-Anexo I-C'!D160=+'DCA-Anexo I-C'!D161+'DCA-Anexo I-C'!D162</t>
  </si>
  <si>
    <t>'DCA-Anexo I-C'!E160=+'DCA-Anexo I-C'!E161+'DCA-Anexo I-C'!E162</t>
  </si>
  <si>
    <t>'DCA-Anexo I-C'!B163=+'DCA-Anexo I-C'!B164+'DCA-Anexo I-C'!B165</t>
  </si>
  <si>
    <t>'DCA-Anexo I-C'!C163=+'DCA-Anexo I-C'!C164+'DCA-Anexo I-C'!C165</t>
  </si>
  <si>
    <t>'DCA-Anexo I-C'!D163=+'DCA-Anexo I-C'!D164+'DCA-Anexo I-C'!D165</t>
  </si>
  <si>
    <t>'DCA-Anexo I-C'!E163=+'DCA-Anexo I-C'!E164+'DCA-Anexo I-C'!E165</t>
  </si>
  <si>
    <t>'DCA-Anexo I-C'!B166=+'DCA-Anexo I-C'!B167+'DCA-Anexo I-C'!B168</t>
  </si>
  <si>
    <t>'DCA-Anexo I-C'!C166=+'DCA-Anexo I-C'!C167+'DCA-Anexo I-C'!C168</t>
  </si>
  <si>
    <t>'DCA-Anexo I-C'!D166=+'DCA-Anexo I-C'!D167+'DCA-Anexo I-C'!D168</t>
  </si>
  <si>
    <t>'DCA-Anexo I-C'!E166=+'DCA-Anexo I-C'!E167+'DCA-Anexo I-C'!E168</t>
  </si>
  <si>
    <t>'DCA-Anexo I-C'!B169=+'DCA-Anexo I-C'!B170+'DCA-Anexo I-C'!B171</t>
  </si>
  <si>
    <t>'DCA-Anexo I-C'!C169=+'DCA-Anexo I-C'!C170+'DCA-Anexo I-C'!C171</t>
  </si>
  <si>
    <t>'DCA-Anexo I-C'!D169=+'DCA-Anexo I-C'!D170+'DCA-Anexo I-C'!D171</t>
  </si>
  <si>
    <t>'DCA-Anexo I-C'!E169=+'DCA-Anexo I-C'!E170+'DCA-Anexo I-C'!E171</t>
  </si>
  <si>
    <t>'DCA-Anexo I-C'!B172=+'DCA-Anexo I-C'!B173+'DCA-Anexo I-C'!B176+'DCA-Anexo I-C'!B179+'DCA-Anexo I-C'!B182+'DCA-Anexo I-C'!B185+'DCA-Anexo I-C'!B188+'DCA-Anexo I-C'!B191</t>
  </si>
  <si>
    <t>'DCA-Anexo I-C'!C172=+'DCA-Anexo I-C'!C173+'DCA-Anexo I-C'!C176+'DCA-Anexo I-C'!C179+'DCA-Anexo I-C'!C182+'DCA-Anexo I-C'!C185+'DCA-Anexo I-C'!C188+'DCA-Anexo I-C'!C191</t>
  </si>
  <si>
    <t>'DCA-Anexo I-C'!D172=+'DCA-Anexo I-C'!D173+'DCA-Anexo I-C'!D176+'DCA-Anexo I-C'!D179+'DCA-Anexo I-C'!D182+'DCA-Anexo I-C'!D185+'DCA-Anexo I-C'!D188+'DCA-Anexo I-C'!D191</t>
  </si>
  <si>
    <t>'DCA-Anexo I-C'!E172=+'DCA-Anexo I-C'!E173+'DCA-Anexo I-C'!E176+'DCA-Anexo I-C'!E179+'DCA-Anexo I-C'!E182+'DCA-Anexo I-C'!E185+'DCA-Anexo I-C'!E188+'DCA-Anexo I-C'!E191</t>
  </si>
  <si>
    <t>'DCA-Anexo I-C'!B173=+'DCA-Anexo I-C'!B174+'DCA-Anexo I-C'!B175</t>
  </si>
  <si>
    <t>'DCA-Anexo I-C'!C173=+'DCA-Anexo I-C'!C174+'DCA-Anexo I-C'!C175</t>
  </si>
  <si>
    <t>'DCA-Anexo I-C'!D173=+'DCA-Anexo I-C'!D174+'DCA-Anexo I-C'!D175</t>
  </si>
  <si>
    <t>'DCA-Anexo I-C'!E173=+'DCA-Anexo I-C'!E174+'DCA-Anexo I-C'!E175</t>
  </si>
  <si>
    <t>'DCA-Anexo I-C'!B176=+'DCA-Anexo I-C'!B177+'DCA-Anexo I-C'!B178</t>
  </si>
  <si>
    <t>'DCA-Anexo I-C'!C176=+'DCA-Anexo I-C'!C177+'DCA-Anexo I-C'!C178</t>
  </si>
  <si>
    <t>'DCA-Anexo I-C'!D176=+'DCA-Anexo I-C'!D177+'DCA-Anexo I-C'!D178</t>
  </si>
  <si>
    <t>'DCA-Anexo I-C'!E176=+'DCA-Anexo I-C'!E177+'DCA-Anexo I-C'!E178</t>
  </si>
  <si>
    <t>'DCA-Anexo I-C'!B179=+'DCA-Anexo I-C'!B180+'DCA-Anexo I-C'!B181</t>
  </si>
  <si>
    <t>'DCA-Anexo I-C'!C179=+'DCA-Anexo I-C'!C180+'DCA-Anexo I-C'!C181</t>
  </si>
  <si>
    <t>'DCA-Anexo I-C'!D179=+'DCA-Anexo I-C'!D180+'DCA-Anexo I-C'!D181</t>
  </si>
  <si>
    <t>'DCA-Anexo I-C'!E179=+'DCA-Anexo I-C'!E180+'DCA-Anexo I-C'!E181</t>
  </si>
  <si>
    <t>'DCA-Anexo I-C'!B182=+'DCA-Anexo I-C'!B183+'DCA-Anexo I-C'!B184</t>
  </si>
  <si>
    <t>'DCA-Anexo I-C'!C182=+'DCA-Anexo I-C'!C183+'DCA-Anexo I-C'!C184</t>
  </si>
  <si>
    <t>'DCA-Anexo I-C'!D182=+'DCA-Anexo I-C'!D183+'DCA-Anexo I-C'!D184</t>
  </si>
  <si>
    <t>'DCA-Anexo I-C'!E182=+'DCA-Anexo I-C'!E183+'DCA-Anexo I-C'!E184</t>
  </si>
  <si>
    <t>'DCA-Anexo I-C'!B185=+'DCA-Anexo I-C'!B186+'DCA-Anexo I-C'!B187</t>
  </si>
  <si>
    <t>'DCA-Anexo I-C'!C185=+'DCA-Anexo I-C'!C186+'DCA-Anexo I-C'!C187</t>
  </si>
  <si>
    <t>'DCA-Anexo I-C'!D185=+'DCA-Anexo I-C'!D186+'DCA-Anexo I-C'!D187</t>
  </si>
  <si>
    <t>'DCA-Anexo I-C'!E185=+'DCA-Anexo I-C'!E186+'DCA-Anexo I-C'!E187</t>
  </si>
  <si>
    <t>'DCA-Anexo I-C'!B188=+'DCA-Anexo I-C'!B189+'DCA-Anexo I-C'!B190</t>
  </si>
  <si>
    <t>'DCA-Anexo I-C'!C188=+'DCA-Anexo I-C'!C189+'DCA-Anexo I-C'!C190</t>
  </si>
  <si>
    <t>'DCA-Anexo I-C'!D188=+'DCA-Anexo I-C'!D189+'DCA-Anexo I-C'!D190</t>
  </si>
  <si>
    <t>'DCA-Anexo I-C'!E188=+'DCA-Anexo I-C'!E189+'DCA-Anexo I-C'!E190</t>
  </si>
  <si>
    <t>'DCA-Anexo I-C'!B194=+'DCA-Anexo I-C'!B195+'DCA-Anexo I-C'!B198+'DCA-Anexo I-C'!B201+'DCA-Anexo I-C'!B205+'DCA-Anexo I-C'!B208+'DCA-Anexo I-C'!B211+'DCA-Anexo I-C'!B214+'DCA-Anexo I-C'!B217+'DCA-Anexo I-C'!B223+'DCA-Anexo I-C'!B220</t>
  </si>
  <si>
    <t>'DCA-Anexo I-C'!C194=+'DCA-Anexo I-C'!C195+'DCA-Anexo I-C'!C198+'DCA-Anexo I-C'!C201+'DCA-Anexo I-C'!C205+'DCA-Anexo I-C'!C208+'DCA-Anexo I-C'!C211+'DCA-Anexo I-C'!C214+'DCA-Anexo I-C'!C217+'DCA-Anexo I-C'!C223+'DCA-Anexo I-C'!C220</t>
  </si>
  <si>
    <t>'DCA-Anexo I-C'!D194=+'DCA-Anexo I-C'!D195+'DCA-Anexo I-C'!D198+'DCA-Anexo I-C'!D201+'DCA-Anexo I-C'!D205+'DCA-Anexo I-C'!D208+'DCA-Anexo I-C'!D211+'DCA-Anexo I-C'!D214+'DCA-Anexo I-C'!D217+'DCA-Anexo I-C'!D223+'DCA-Anexo I-C'!D220</t>
  </si>
  <si>
    <t>'DCA-Anexo I-C'!E194=+'DCA-Anexo I-C'!E195+'DCA-Anexo I-C'!E198+'DCA-Anexo I-C'!E201+'DCA-Anexo I-C'!E205+'DCA-Anexo I-C'!E208+'DCA-Anexo I-C'!E211+'DCA-Anexo I-C'!E214+'DCA-Anexo I-C'!E217+'DCA-Anexo I-C'!E223+'DCA-Anexo I-C'!E220</t>
  </si>
  <si>
    <t>'DCA-Anexo I-C'!B195=+'DCA-Anexo I-C'!B196+'DCA-Anexo I-C'!B197</t>
  </si>
  <si>
    <t>'DCA-Anexo I-C'!C195=+'DCA-Anexo I-C'!C196+'DCA-Anexo I-C'!C197</t>
  </si>
  <si>
    <t>'DCA-Anexo I-C'!D195=+'DCA-Anexo I-C'!D196+'DCA-Anexo I-C'!D197</t>
  </si>
  <si>
    <t>'DCA-Anexo I-C'!E195=+'DCA-Anexo I-C'!E196+'DCA-Anexo I-C'!E197</t>
  </si>
  <si>
    <t>'DCA-Anexo I-C'!B198=+'DCA-Anexo I-C'!B199+'DCA-Anexo I-C'!B200</t>
  </si>
  <si>
    <t>'DCA-Anexo I-C'!C198=+'DCA-Anexo I-C'!C199+'DCA-Anexo I-C'!C200</t>
  </si>
  <si>
    <t>'DCA-Anexo I-C'!D198=+'DCA-Anexo I-C'!D199+'DCA-Anexo I-C'!D200</t>
  </si>
  <si>
    <t>'DCA-Anexo I-C'!E198=+'DCA-Anexo I-C'!E199+'DCA-Anexo I-C'!E200</t>
  </si>
  <si>
    <t>'DCA-Anexo I-C'!B201=+'DCA-Anexo I-C'!B202+'DCA-Anexo I-C'!B203+'DCA-Anexo I-C'!B204</t>
  </si>
  <si>
    <t>'DCA-Anexo I-C'!C201=+'DCA-Anexo I-C'!C202+'DCA-Anexo I-C'!C203+'DCA-Anexo I-C'!C204</t>
  </si>
  <si>
    <t>'DCA-Anexo I-C'!D201=+'DCA-Anexo I-C'!D202+'DCA-Anexo I-C'!D203+'DCA-Anexo I-C'!D204</t>
  </si>
  <si>
    <t>'DCA-Anexo I-C'!E201=+'DCA-Anexo I-C'!E202+'DCA-Anexo I-C'!E203+'DCA-Anexo I-C'!E204</t>
  </si>
  <si>
    <t>'DCA-Anexo I-C'!B205=+'DCA-Anexo I-C'!B206+'DCA-Anexo I-C'!B207</t>
  </si>
  <si>
    <t>'DCA-Anexo I-C'!C205=+'DCA-Anexo I-C'!C206+'DCA-Anexo I-C'!C207</t>
  </si>
  <si>
    <t>'DCA-Anexo I-C'!D205=+'DCA-Anexo I-C'!D206+'DCA-Anexo I-C'!D207</t>
  </si>
  <si>
    <t>'DCA-Anexo I-C'!E205=+'DCA-Anexo I-C'!E206+'DCA-Anexo I-C'!E207</t>
  </si>
  <si>
    <t>'DCA-Anexo I-C'!B208=+'DCA-Anexo I-C'!B209+'DCA-Anexo I-C'!B210</t>
  </si>
  <si>
    <t>'DCA-Anexo I-C'!C208=+'DCA-Anexo I-C'!C209+'DCA-Anexo I-C'!C210</t>
  </si>
  <si>
    <t>'DCA-Anexo I-C'!D208=+'DCA-Anexo I-C'!D209+'DCA-Anexo I-C'!D210</t>
  </si>
  <si>
    <t>'DCA-Anexo I-C'!E208=+'DCA-Anexo I-C'!E209+'DCA-Anexo I-C'!E210</t>
  </si>
  <si>
    <t>'DCA-Anexo I-C'!B211=+'DCA-Anexo I-C'!B212+'DCA-Anexo I-C'!B213</t>
  </si>
  <si>
    <t>'DCA-Anexo I-C'!C211=+'DCA-Anexo I-C'!C212+'DCA-Anexo I-C'!C213</t>
  </si>
  <si>
    <t>'DCA-Anexo I-C'!D211=+'DCA-Anexo I-C'!D212+'DCA-Anexo I-C'!D213</t>
  </si>
  <si>
    <t>'DCA-Anexo I-C'!E211=+'DCA-Anexo I-C'!E212+'DCA-Anexo I-C'!E213</t>
  </si>
  <si>
    <t>'DCA-Anexo I-C'!B214=+'DCA-Anexo I-C'!B215+'DCA-Anexo I-C'!B216</t>
  </si>
  <si>
    <t>'DCA-Anexo I-C'!C214=+'DCA-Anexo I-C'!C215+'DCA-Anexo I-C'!C216</t>
  </si>
  <si>
    <t>'DCA-Anexo I-C'!D214=+'DCA-Anexo I-C'!D215+'DCA-Anexo I-C'!D216</t>
  </si>
  <si>
    <t>'DCA-Anexo I-C'!E214=+'DCA-Anexo I-C'!E215+'DCA-Anexo I-C'!E216</t>
  </si>
  <si>
    <t>'DCA-Anexo I-C'!B217=+'DCA-Anexo I-C'!B218+'DCA-Anexo I-C'!B219</t>
  </si>
  <si>
    <t>'DCA-Anexo I-C'!C217=+'DCA-Anexo I-C'!C218+'DCA-Anexo I-C'!C219</t>
  </si>
  <si>
    <t>'DCA-Anexo I-C'!D217=+'DCA-Anexo I-C'!D218+'DCA-Anexo I-C'!D219</t>
  </si>
  <si>
    <t>'DCA-Anexo I-C'!E217=+'DCA-Anexo I-C'!E218+'DCA-Anexo I-C'!E219</t>
  </si>
  <si>
    <t>'DCA-Anexo I-C'!B223=+'DCA-Anexo I-C'!B224+'DCA-Anexo I-C'!B225+'DCA-Anexo I-C'!B226+'DCA-Anexo I-C'!B227</t>
  </si>
  <si>
    <t>'DCA-Anexo I-C'!C223=+'DCA-Anexo I-C'!C224+'DCA-Anexo I-C'!C225+'DCA-Anexo I-C'!C226+'DCA-Anexo I-C'!C227</t>
  </si>
  <si>
    <t>'DCA-Anexo I-C'!D223=+'DCA-Anexo I-C'!D224+'DCA-Anexo I-C'!D225+'DCA-Anexo I-C'!D226+'DCA-Anexo I-C'!D227</t>
  </si>
  <si>
    <t>'DCA-Anexo I-C'!E223=+'DCA-Anexo I-C'!E224+'DCA-Anexo I-C'!E225+'DCA-Anexo I-C'!E226+'DCA-Anexo I-C'!E227</t>
  </si>
  <si>
    <t>'DCA-Anexo I-C'!B228=+'DCA-Anexo I-C'!B229</t>
  </si>
  <si>
    <t>'DCA-Anexo I-C'!C228=+'DCA-Anexo I-C'!C229</t>
  </si>
  <si>
    <t>'DCA-Anexo I-C'!D228=+'DCA-Anexo I-C'!D229</t>
  </si>
  <si>
    <t>'DCA-Anexo I-C'!E228=+'DCA-Anexo I-C'!E229</t>
  </si>
  <si>
    <t>'DCA-Anexo I-C'!B229=+'DCA-Anexo I-C'!B230+'DCA-Anexo I-C'!B233+'DCA-Anexo I-C'!B234+'DCA-Anexo I-C'!B235+'DCA-Anexo I-C'!B236+'DCA-Anexo I-C'!B237+'DCA-Anexo I-C'!B238+'DCA-Anexo I-C'!B239+'DCA-Anexo I-C'!B242+'DCA-Anexo I-C'!B245+'DCA-Anexo I-C'!B246+'DCA-Anexo I-C'!B247+'DCA-Anexo I-C'!B248+'DCA-Anexo I-C'!B249+'DCA-Anexo I-C'!B250</t>
  </si>
  <si>
    <t>'DCA-Anexo I-C'!C229=+'DCA-Anexo I-C'!C230+'DCA-Anexo I-C'!C233+'DCA-Anexo I-C'!C234+'DCA-Anexo I-C'!C235+'DCA-Anexo I-C'!C236+'DCA-Anexo I-C'!C237+'DCA-Anexo I-C'!C238+'DCA-Anexo I-C'!C239+'DCA-Anexo I-C'!C242+'DCA-Anexo I-C'!C245+'DCA-Anexo I-C'!C246+'DCA-Anexo I-C'!C247+'DCA-Anexo I-C'!C248+'DCA-Anexo I-C'!C249+'DCA-Anexo I-C'!C250</t>
  </si>
  <si>
    <t>'DCA-Anexo I-C'!D229=+'DCA-Anexo I-C'!D230+'DCA-Anexo I-C'!D233+'DCA-Anexo I-C'!D234+'DCA-Anexo I-C'!D235+'DCA-Anexo I-C'!D236+'DCA-Anexo I-C'!D237+'DCA-Anexo I-C'!D238+'DCA-Anexo I-C'!D239+'DCA-Anexo I-C'!D242+'DCA-Anexo I-C'!D245+'DCA-Anexo I-C'!D246+'DCA-Anexo I-C'!D247+'DCA-Anexo I-C'!D248+'DCA-Anexo I-C'!D249+'DCA-Anexo I-C'!D250</t>
  </si>
  <si>
    <t>'DCA-Anexo I-C'!E229=+'DCA-Anexo I-C'!E230+'DCA-Anexo I-C'!E233+'DCA-Anexo I-C'!E234+'DCA-Anexo I-C'!E235+'DCA-Anexo I-C'!E236+'DCA-Anexo I-C'!E237+'DCA-Anexo I-C'!E238+'DCA-Anexo I-C'!E239+'DCA-Anexo I-C'!E242+'DCA-Anexo I-C'!E245+'DCA-Anexo I-C'!E246+'DCA-Anexo I-C'!E247+'DCA-Anexo I-C'!E248+'DCA-Anexo I-C'!E249+'DCA-Anexo I-C'!E250</t>
  </si>
  <si>
    <t>'DCA-Anexo I-C'!B230=+'DCA-Anexo I-C'!B231+'DCA-Anexo I-C'!B232</t>
  </si>
  <si>
    <t>'DCA-Anexo I-C'!C230=+'DCA-Anexo I-C'!C231+'DCA-Anexo I-C'!C232</t>
  </si>
  <si>
    <t>'DCA-Anexo I-C'!D230=+'DCA-Anexo I-C'!D231+'DCA-Anexo I-C'!D232</t>
  </si>
  <si>
    <t>'DCA-Anexo I-C'!E230=+'DCA-Anexo I-C'!E231+'DCA-Anexo I-C'!E232</t>
  </si>
  <si>
    <t>'DCA-Anexo I-C'!B239=+'DCA-Anexo I-C'!B240+'DCA-Anexo I-C'!B241</t>
  </si>
  <si>
    <t>'DCA-Anexo I-C'!C239=+'DCA-Anexo I-C'!C240+'DCA-Anexo I-C'!C241</t>
  </si>
  <si>
    <t>'DCA-Anexo I-C'!D239=+'DCA-Anexo I-C'!D240+'DCA-Anexo I-C'!D241</t>
  </si>
  <si>
    <t>'DCA-Anexo I-C'!E239=+'DCA-Anexo I-C'!E240+'DCA-Anexo I-C'!E241</t>
  </si>
  <si>
    <t>'DCA-Anexo I-C'!B242=+'DCA-Anexo I-C'!B243+'DCA-Anexo I-C'!B244</t>
  </si>
  <si>
    <t>'DCA-Anexo I-C'!C242=+'DCA-Anexo I-C'!C243+'DCA-Anexo I-C'!C244</t>
  </si>
  <si>
    <t>'DCA-Anexo I-C'!D242=+'DCA-Anexo I-C'!D243+'DCA-Anexo I-C'!D244</t>
  </si>
  <si>
    <t>'DCA-Anexo I-C'!E242=+'DCA-Anexo I-C'!E243+'DCA-Anexo I-C'!E244</t>
  </si>
  <si>
    <t>'DCA-Anexo I-C'!B253=+'DCA-Anexo I-C'!B254+'DCA-Anexo I-C'!B261+'DCA-Anexo I-C'!B272+'DCA-Anexo I-C'!B306+'DCA-Anexo I-C'!B366+'DCA-Anexo I-C'!B372+'DCA-Anexo I-C'!B377</t>
  </si>
  <si>
    <t>'DCA-Anexo I-C'!C253=+'DCA-Anexo I-C'!C254+'DCA-Anexo I-C'!C261+'DCA-Anexo I-C'!C272+'DCA-Anexo I-C'!C306+'DCA-Anexo I-C'!C366+'DCA-Anexo I-C'!C372+'DCA-Anexo I-C'!C377</t>
  </si>
  <si>
    <t>'DCA-Anexo I-C'!D253=+'DCA-Anexo I-C'!D254+'DCA-Anexo I-C'!D261+'DCA-Anexo I-C'!D272+'DCA-Anexo I-C'!D306+'DCA-Anexo I-C'!D366+'DCA-Anexo I-C'!D372+'DCA-Anexo I-C'!D377</t>
  </si>
  <si>
    <t>'DCA-Anexo I-C'!E253=+'DCA-Anexo I-C'!E254+'DCA-Anexo I-C'!E261+'DCA-Anexo I-C'!E272+'DCA-Anexo I-C'!E306+'DCA-Anexo I-C'!E366+'DCA-Anexo I-C'!E372+'DCA-Anexo I-C'!E377</t>
  </si>
  <si>
    <t>'DCA-Anexo I-C'!B254=+'DCA-Anexo I-C'!B255</t>
  </si>
  <si>
    <t>'DCA-Anexo I-C'!C254=+'DCA-Anexo I-C'!C255</t>
  </si>
  <si>
    <t>'DCA-Anexo I-C'!D254=+'DCA-Anexo I-C'!D255</t>
  </si>
  <si>
    <t>'DCA-Anexo I-C'!E254=+'DCA-Anexo I-C'!E255</t>
  </si>
  <si>
    <t>'DCA-Anexo I-C'!B255=+'DCA-Anexo I-C'!B256+'DCA-Anexo I-C'!B259+'DCA-Anexo I-C'!B260</t>
  </si>
  <si>
    <t>'DCA-Anexo I-C'!C255=+'DCA-Anexo I-C'!C256+'DCA-Anexo I-C'!C259+'DCA-Anexo I-C'!C260</t>
  </si>
  <si>
    <t>'DCA-Anexo I-C'!D255=+'DCA-Anexo I-C'!D256+'DCA-Anexo I-C'!D259+'DCA-Anexo I-C'!D260</t>
  </si>
  <si>
    <t>'DCA-Anexo I-C'!E255=+'DCA-Anexo I-C'!E256+'DCA-Anexo I-C'!E259+'DCA-Anexo I-C'!E260</t>
  </si>
  <si>
    <t>'DCA-Anexo I-C'!B256=+'DCA-Anexo I-C'!B257+'DCA-Anexo I-C'!B258</t>
  </si>
  <si>
    <t>'DCA-Anexo I-C'!C256=+'DCA-Anexo I-C'!C257+'DCA-Anexo I-C'!C258</t>
  </si>
  <si>
    <t>'DCA-Anexo I-C'!D256=+'DCA-Anexo I-C'!D257+'DCA-Anexo I-C'!D258</t>
  </si>
  <si>
    <t>'DCA-Anexo I-C'!E256=+'DCA-Anexo I-C'!E257+'DCA-Anexo I-C'!E258</t>
  </si>
  <si>
    <t>'DCA-Anexo I-C'!B261=+'DCA-Anexo I-C'!B262+'DCA-Anexo I-C'!B269+'DCA-Anexo I-C'!B270+'DCA-Anexo I-C'!B271</t>
  </si>
  <si>
    <t>'DCA-Anexo I-C'!C261=+'DCA-Anexo I-C'!C262+'DCA-Anexo I-C'!C269+'DCA-Anexo I-C'!C270+'DCA-Anexo I-C'!C271</t>
  </si>
  <si>
    <t>'DCA-Anexo I-C'!D261=+'DCA-Anexo I-C'!D262+'DCA-Anexo I-C'!D269+'DCA-Anexo I-C'!D270+'DCA-Anexo I-C'!D271</t>
  </si>
  <si>
    <t>'DCA-Anexo I-C'!E261=+'DCA-Anexo I-C'!E262+'DCA-Anexo I-C'!E269+'DCA-Anexo I-C'!E270+'DCA-Anexo I-C'!E271</t>
  </si>
  <si>
    <t>'DCA-Anexo I-C'!B262=+'DCA-Anexo I-C'!B263+'DCA-Anexo I-C'!B264+'DCA-Anexo I-C'!B265+'DCA-Anexo I-C'!B266+'DCA-Anexo I-C'!B267+'DCA-Anexo I-C'!B268</t>
  </si>
  <si>
    <t>'DCA-Anexo I-C'!C262=+'DCA-Anexo I-C'!C263+'DCA-Anexo I-C'!C264+'DCA-Anexo I-C'!C265+'DCA-Anexo I-C'!C266+'DCA-Anexo I-C'!C267+'DCA-Anexo I-C'!C268</t>
  </si>
  <si>
    <t>'DCA-Anexo I-C'!D262=+'DCA-Anexo I-C'!D263+'DCA-Anexo I-C'!D264+'DCA-Anexo I-C'!D265+'DCA-Anexo I-C'!D266+'DCA-Anexo I-C'!D267+'DCA-Anexo I-C'!D268</t>
  </si>
  <si>
    <t>'DCA-Anexo I-C'!E262=+'DCA-Anexo I-C'!E263+'DCA-Anexo I-C'!E264+'DCA-Anexo I-C'!E265+'DCA-Anexo I-C'!E266+'DCA-Anexo I-C'!E267+'DCA-Anexo I-C'!E268</t>
  </si>
  <si>
    <t>'DCA-Anexo I-C'!B272=+'DCA-Anexo I-C'!B273+'DCA-Anexo I-C'!B279+'DCA-Anexo I-C'!B286+'DCA-Anexo I-C'!B295+'DCA-Anexo I-C'!B297+'DCA-Anexo I-C'!B302</t>
  </si>
  <si>
    <t>'DCA-Anexo I-C'!C272=+'DCA-Anexo I-C'!C273+'DCA-Anexo I-C'!C279+'DCA-Anexo I-C'!C286+'DCA-Anexo I-C'!C295+'DCA-Anexo I-C'!C297+'DCA-Anexo I-C'!C302</t>
  </si>
  <si>
    <t>'DCA-Anexo I-C'!D272=+'DCA-Anexo I-C'!D273+'DCA-Anexo I-C'!D279+'DCA-Anexo I-C'!D286+'DCA-Anexo I-C'!D295+'DCA-Anexo I-C'!D297+'DCA-Anexo I-C'!D302</t>
  </si>
  <si>
    <t>'DCA-Anexo I-C'!E272=+'DCA-Anexo I-C'!E273+'DCA-Anexo I-C'!E279+'DCA-Anexo I-C'!E286+'DCA-Anexo I-C'!E295+'DCA-Anexo I-C'!E297+'DCA-Anexo I-C'!E302</t>
  </si>
  <si>
    <t>'DCA-Anexo I-C'!B273=+'DCA-Anexo I-C'!B274+'DCA-Anexo I-C'!B275+'DCA-Anexo I-C'!B276+'DCA-Anexo I-C'!B277+'DCA-Anexo I-C'!B278</t>
  </si>
  <si>
    <t>'DCA-Anexo I-C'!C273=+'DCA-Anexo I-C'!C274+'DCA-Anexo I-C'!C275+'DCA-Anexo I-C'!C276+'DCA-Anexo I-C'!C277+'DCA-Anexo I-C'!C278</t>
  </si>
  <si>
    <t>'DCA-Anexo I-C'!D273=+'DCA-Anexo I-C'!D274+'DCA-Anexo I-C'!D275+'DCA-Anexo I-C'!D276+'DCA-Anexo I-C'!D277+'DCA-Anexo I-C'!D278</t>
  </si>
  <si>
    <t>'DCA-Anexo I-C'!E273=+'DCA-Anexo I-C'!E274+'DCA-Anexo I-C'!E275+'DCA-Anexo I-C'!E276+'DCA-Anexo I-C'!E277+'DCA-Anexo I-C'!E278</t>
  </si>
  <si>
    <t>'DCA-Anexo I-C'!B279=+'DCA-Anexo I-C'!B280+'DCA-Anexo I-C'!B283+'DCA-Anexo I-C'!B284+'DCA-Anexo I-C'!B285</t>
  </si>
  <si>
    <t>'DCA-Anexo I-C'!C279=+'DCA-Anexo I-C'!C280+'DCA-Anexo I-C'!C283+'DCA-Anexo I-C'!C284+'DCA-Anexo I-C'!C285</t>
  </si>
  <si>
    <t>'DCA-Anexo I-C'!D279=+'DCA-Anexo I-C'!D280+'DCA-Anexo I-C'!D283+'DCA-Anexo I-C'!D284+'DCA-Anexo I-C'!D285</t>
  </si>
  <si>
    <t>'DCA-Anexo I-C'!E279=+'DCA-Anexo I-C'!E280+'DCA-Anexo I-C'!E283+'DCA-Anexo I-C'!E284+'DCA-Anexo I-C'!E285</t>
  </si>
  <si>
    <t>'DCA-Anexo I-C'!B280=+'DCA-Anexo I-C'!B281+'DCA-Anexo I-C'!B282</t>
  </si>
  <si>
    <t>'DCA-Anexo I-C'!C280=+'DCA-Anexo I-C'!C281+'DCA-Anexo I-C'!C282</t>
  </si>
  <si>
    <t>'DCA-Anexo I-C'!D280=+'DCA-Anexo I-C'!D281+'DCA-Anexo I-C'!D282</t>
  </si>
  <si>
    <t>'DCA-Anexo I-C'!E280=+'DCA-Anexo I-C'!E281+'DCA-Anexo I-C'!E282</t>
  </si>
  <si>
    <t>'DCA-Anexo I-C'!B286=+'DCA-Anexo I-C'!B287+'DCA-Anexo I-C'!B288+'DCA-Anexo I-C'!B289+'DCA-Anexo I-C'!B290+'DCA-Anexo I-C'!B291+'DCA-Anexo I-C'!B292+'DCA-Anexo I-C'!B293+'DCA-Anexo I-C'!B294</t>
  </si>
  <si>
    <t>'DCA-Anexo I-C'!C286=+'DCA-Anexo I-C'!C287+'DCA-Anexo I-C'!C288+'DCA-Anexo I-C'!C289+'DCA-Anexo I-C'!C290+'DCA-Anexo I-C'!C291+'DCA-Anexo I-C'!C292+'DCA-Anexo I-C'!C293+'DCA-Anexo I-C'!C294</t>
  </si>
  <si>
    <t>'DCA-Anexo I-C'!D286=+'DCA-Anexo I-C'!D287+'DCA-Anexo I-C'!D288+'DCA-Anexo I-C'!D289+'DCA-Anexo I-C'!D290+'DCA-Anexo I-C'!D291+'DCA-Anexo I-C'!D292+'DCA-Anexo I-C'!D293+'DCA-Anexo I-C'!D294</t>
  </si>
  <si>
    <t>'DCA-Anexo I-C'!E286=+'DCA-Anexo I-C'!E287+'DCA-Anexo I-C'!E288+'DCA-Anexo I-C'!E289+'DCA-Anexo I-C'!E290+'DCA-Anexo I-C'!E291+'DCA-Anexo I-C'!E292+'DCA-Anexo I-C'!E293+'DCA-Anexo I-C'!E294</t>
  </si>
  <si>
    <t>'DCA-Anexo I-C'!B295=+'DCA-Anexo I-C'!B296</t>
  </si>
  <si>
    <t>'DCA-Anexo I-C'!C295=+'DCA-Anexo I-C'!C296</t>
  </si>
  <si>
    <t>'DCA-Anexo I-C'!D295=+'DCA-Anexo I-C'!D296</t>
  </si>
  <si>
    <t>'DCA-Anexo I-C'!E295=+'DCA-Anexo I-C'!E296</t>
  </si>
  <si>
    <t>'DCA-Anexo I-C'!B306=+'DCA-Anexo I-C'!B307+'DCA-Anexo I-C'!B327+'DCA-Anexo I-C'!B334+'DCA-Anexo I-C'!B343+'DCA-Anexo I-C'!B346+'DCA-Anexo I-C'!B353+'DCA-Anexo I-C'!B363</t>
  </si>
  <si>
    <t>'DCA-Anexo I-C'!C306=+'DCA-Anexo I-C'!C307+'DCA-Anexo I-C'!C327+'DCA-Anexo I-C'!C334+'DCA-Anexo I-C'!C343+'DCA-Anexo I-C'!C346+'DCA-Anexo I-C'!C353+'DCA-Anexo I-C'!C363</t>
  </si>
  <si>
    <t>'DCA-Anexo I-C'!D306=+'DCA-Anexo I-C'!D307+'DCA-Anexo I-C'!D327+'DCA-Anexo I-C'!D334+'DCA-Anexo I-C'!D343+'DCA-Anexo I-C'!D346+'DCA-Anexo I-C'!D353+'DCA-Anexo I-C'!D363</t>
  </si>
  <si>
    <t>'DCA-Anexo I-C'!E306=+'DCA-Anexo I-C'!E307+'DCA-Anexo I-C'!E327+'DCA-Anexo I-C'!E334+'DCA-Anexo I-C'!E343+'DCA-Anexo I-C'!E346+'DCA-Anexo I-C'!E353+'DCA-Anexo I-C'!E363</t>
  </si>
  <si>
    <t>'DCA-Anexo I-C'!B307=+'DCA-Anexo I-C'!B308+'DCA-Anexo I-C'!B311+'DCA-Anexo I-C'!B316+'DCA-Anexo I-C'!B321+'DCA-Anexo I-C'!B326</t>
  </si>
  <si>
    <t>'DCA-Anexo I-C'!C307=+'DCA-Anexo I-C'!C308+'DCA-Anexo I-C'!C311+'DCA-Anexo I-C'!C316+'DCA-Anexo I-C'!C321+'DCA-Anexo I-C'!C326</t>
  </si>
  <si>
    <t>'DCA-Anexo I-C'!D307=+'DCA-Anexo I-C'!D308+'DCA-Anexo I-C'!D311+'DCA-Anexo I-C'!D316+'DCA-Anexo I-C'!D321+'DCA-Anexo I-C'!D326</t>
  </si>
  <si>
    <t>'DCA-Anexo I-C'!E307=+'DCA-Anexo I-C'!E308+'DCA-Anexo I-C'!E311+'DCA-Anexo I-C'!E316+'DCA-Anexo I-C'!E321+'DCA-Anexo I-C'!E326</t>
  </si>
  <si>
    <t>'DCA-Anexo I-C'!B308=+'DCA-Anexo I-C'!B309+'DCA-Anexo I-C'!B310</t>
  </si>
  <si>
    <t>'DCA-Anexo I-C'!C308=+'DCA-Anexo I-C'!C309+'DCA-Anexo I-C'!C310</t>
  </si>
  <si>
    <t>'DCA-Anexo I-C'!D308=+'DCA-Anexo I-C'!D309+'DCA-Anexo I-C'!D310</t>
  </si>
  <si>
    <t>'DCA-Anexo I-C'!E308=+'DCA-Anexo I-C'!E309+'DCA-Anexo I-C'!E310</t>
  </si>
  <si>
    <t>'DCA-Anexo I-C'!B311=+'DCA-Anexo I-C'!B312+'DCA-Anexo I-C'!B313+'DCA-Anexo I-C'!B314+'DCA-Anexo I-C'!B315</t>
  </si>
  <si>
    <t>'DCA-Anexo I-C'!C311=+'DCA-Anexo I-C'!C312+'DCA-Anexo I-C'!C313+'DCA-Anexo I-C'!C314+'DCA-Anexo I-C'!C315</t>
  </si>
  <si>
    <t>'DCA-Anexo I-C'!D311=+'DCA-Anexo I-C'!D312+'DCA-Anexo I-C'!D313+'DCA-Anexo I-C'!D314+'DCA-Anexo I-C'!D315</t>
  </si>
  <si>
    <t>'DCA-Anexo I-C'!E311=+'DCA-Anexo I-C'!E312+'DCA-Anexo I-C'!E313+'DCA-Anexo I-C'!E314+'DCA-Anexo I-C'!E315</t>
  </si>
  <si>
    <t>'DCA-Anexo I-C'!B316=+'DCA-Anexo I-C'!B317+'DCA-Anexo I-C'!B318+'DCA-Anexo I-C'!B319+'DCA-Anexo I-C'!B320</t>
  </si>
  <si>
    <t>'DCA-Anexo I-C'!C316=+'DCA-Anexo I-C'!C317+'DCA-Anexo I-C'!C318+'DCA-Anexo I-C'!C319+'DCA-Anexo I-C'!C320</t>
  </si>
  <si>
    <t>'DCA-Anexo I-C'!D316=+'DCA-Anexo I-C'!D317+'DCA-Anexo I-C'!D318+'DCA-Anexo I-C'!D319+'DCA-Anexo I-C'!D320</t>
  </si>
  <si>
    <t>'DCA-Anexo I-C'!E316=+'DCA-Anexo I-C'!E317+'DCA-Anexo I-C'!E318+'DCA-Anexo I-C'!E319+'DCA-Anexo I-C'!E320</t>
  </si>
  <si>
    <t>'DCA-Anexo I-C'!B321=+'DCA-Anexo I-C'!B322+'DCA-Anexo I-C'!B323+'DCA-Anexo I-C'!B324+'DCA-Anexo I-C'!B325</t>
  </si>
  <si>
    <t>'DCA-Anexo I-C'!C321=+'DCA-Anexo I-C'!C322+'DCA-Anexo I-C'!C323+'DCA-Anexo I-C'!C324+'DCA-Anexo I-C'!C325</t>
  </si>
  <si>
    <t>'DCA-Anexo I-C'!D321=+'DCA-Anexo I-C'!D322+'DCA-Anexo I-C'!D323+'DCA-Anexo I-C'!D324+'DCA-Anexo I-C'!D325</t>
  </si>
  <si>
    <t>'DCA-Anexo I-C'!E321=+'DCA-Anexo I-C'!E322+'DCA-Anexo I-C'!E323+'DCA-Anexo I-C'!E324+'DCA-Anexo I-C'!E325</t>
  </si>
  <si>
    <t>'DCA-Anexo I-C'!B327=+'DCA-Anexo I-C'!B328+'DCA-Anexo I-C'!B331</t>
  </si>
  <si>
    <t>'DCA-Anexo I-C'!C327=+'DCA-Anexo I-C'!C328+'DCA-Anexo I-C'!C331</t>
  </si>
  <si>
    <t>'DCA-Anexo I-C'!D327=+'DCA-Anexo I-C'!D328+'DCA-Anexo I-C'!D331</t>
  </si>
  <si>
    <t>'DCA-Anexo I-C'!E327=+'DCA-Anexo I-C'!E328+'DCA-Anexo I-C'!E331</t>
  </si>
  <si>
    <t>'DCA-Anexo I-C'!B328=+'DCA-Anexo I-C'!B329+'DCA-Anexo I-C'!B330</t>
  </si>
  <si>
    <t>'DCA-Anexo I-C'!C328=+'DCA-Anexo I-C'!C329+'DCA-Anexo I-C'!C330</t>
  </si>
  <si>
    <t>'DCA-Anexo I-C'!D328=+'DCA-Anexo I-C'!D329+'DCA-Anexo I-C'!D330</t>
  </si>
  <si>
    <t>'DCA-Anexo I-C'!E328=+'DCA-Anexo I-C'!E329+'DCA-Anexo I-C'!E330</t>
  </si>
  <si>
    <t>'DCA-Anexo I-C'!B331=+'DCA-Anexo I-C'!B332+'DCA-Anexo I-C'!B333</t>
  </si>
  <si>
    <t>'DCA-Anexo I-C'!C331=+'DCA-Anexo I-C'!C332+'DCA-Anexo I-C'!C333</t>
  </si>
  <si>
    <t>'DCA-Anexo I-C'!D331=+'DCA-Anexo I-C'!D332+'DCA-Anexo I-C'!D333</t>
  </si>
  <si>
    <t>'DCA-Anexo I-C'!E331=+'DCA-Anexo I-C'!E332+'DCA-Anexo I-C'!E333</t>
  </si>
  <si>
    <t>'DCA-Anexo I-C'!B334=+'DCA-Anexo I-C'!B335+'DCA-Anexo I-C'!B340</t>
  </si>
  <si>
    <t>'DCA-Anexo I-C'!C334=+'DCA-Anexo I-C'!C335+'DCA-Anexo I-C'!C340</t>
  </si>
  <si>
    <t>'DCA-Anexo I-C'!D334=+'DCA-Anexo I-C'!D335+'DCA-Anexo I-C'!D340</t>
  </si>
  <si>
    <t>'DCA-Anexo I-C'!E334=+'DCA-Anexo I-C'!E335+'DCA-Anexo I-C'!E340</t>
  </si>
  <si>
    <t>'DCA-Anexo I-C'!B335=+'DCA-Anexo I-C'!B336+'DCA-Anexo I-C'!B337+'DCA-Anexo I-C'!B338+'DCA-Anexo I-C'!B339</t>
  </si>
  <si>
    <t>'DCA-Anexo I-C'!C335=+'DCA-Anexo I-C'!C336+'DCA-Anexo I-C'!C337+'DCA-Anexo I-C'!C338+'DCA-Anexo I-C'!C339</t>
  </si>
  <si>
    <t>'DCA-Anexo I-C'!D335=+'DCA-Anexo I-C'!D336+'DCA-Anexo I-C'!D337+'DCA-Anexo I-C'!D338+'DCA-Anexo I-C'!D339</t>
  </si>
  <si>
    <t>'DCA-Anexo I-C'!E335=+'DCA-Anexo I-C'!E336+'DCA-Anexo I-C'!E337+'DCA-Anexo I-C'!E338+'DCA-Anexo I-C'!E339</t>
  </si>
  <si>
    <t>'DCA-Anexo I-C'!B340=+'DCA-Anexo I-C'!B341+'DCA-Anexo I-C'!B342</t>
  </si>
  <si>
    <t>'DCA-Anexo I-C'!C340=+'DCA-Anexo I-C'!C341+'DCA-Anexo I-C'!C342</t>
  </si>
  <si>
    <t>'DCA-Anexo I-C'!D340=+'DCA-Anexo I-C'!D341+'DCA-Anexo I-C'!D342</t>
  </si>
  <si>
    <t>'DCA-Anexo I-C'!E340=+'DCA-Anexo I-C'!E341+'DCA-Anexo I-C'!E342</t>
  </si>
  <si>
    <t>'DCA-Anexo I-C'!B343=+'DCA-Anexo I-C'!B344+'DCA-Anexo I-C'!B345</t>
  </si>
  <si>
    <t>'DCA-Anexo I-C'!C343=+'DCA-Anexo I-C'!C344+'DCA-Anexo I-C'!C345</t>
  </si>
  <si>
    <t>'DCA-Anexo I-C'!D343=+'DCA-Anexo I-C'!D344+'DCA-Anexo I-C'!D345</t>
  </si>
  <si>
    <t>'DCA-Anexo I-C'!E343=+'DCA-Anexo I-C'!E344+'DCA-Anexo I-C'!E345</t>
  </si>
  <si>
    <t>'DCA-Anexo I-C'!B346=+'DCA-Anexo I-C'!B347+'DCA-Anexo I-C'!B348+'DCA-Anexo I-C'!B349</t>
  </si>
  <si>
    <t>'DCA-Anexo I-C'!C346=+'DCA-Anexo I-C'!C347+'DCA-Anexo I-C'!C348+'DCA-Anexo I-C'!C349</t>
  </si>
  <si>
    <t>'DCA-Anexo I-C'!D346=+'DCA-Anexo I-C'!D347+'DCA-Anexo I-C'!D348+'DCA-Anexo I-C'!D349</t>
  </si>
  <si>
    <t>'DCA-Anexo I-C'!E346=+'DCA-Anexo I-C'!E347+'DCA-Anexo I-C'!E348+'DCA-Anexo I-C'!E349</t>
  </si>
  <si>
    <t>'DCA-Anexo I-C'!B349=+'DCA-Anexo I-C'!B350+'DCA-Anexo I-C'!B351+'DCA-Anexo I-C'!B352</t>
  </si>
  <si>
    <t>'DCA-Anexo I-C'!C349=+'DCA-Anexo I-C'!C350+'DCA-Anexo I-C'!C351+'DCA-Anexo I-C'!C352</t>
  </si>
  <si>
    <t>'DCA-Anexo I-C'!D349=+'DCA-Anexo I-C'!D350+'DCA-Anexo I-C'!D351+'DCA-Anexo I-C'!D352</t>
  </si>
  <si>
    <t>'DCA-Anexo I-C'!E349=+'DCA-Anexo I-C'!E350+'DCA-Anexo I-C'!E351+'DCA-Anexo I-C'!E352</t>
  </si>
  <si>
    <t>'DCA-Anexo I-C'!B353=+'DCA-Anexo I-C'!B354+'DCA-Anexo I-C'!B357+'DCA-Anexo I-C'!B360+'DCA-Anexo I-C'!B361+'DCA-Anexo I-C'!B362</t>
  </si>
  <si>
    <t>'DCA-Anexo I-C'!C353=+'DCA-Anexo I-C'!C354+'DCA-Anexo I-C'!C357+'DCA-Anexo I-C'!C360+'DCA-Anexo I-C'!C361+'DCA-Anexo I-C'!C362</t>
  </si>
  <si>
    <t>'DCA-Anexo I-C'!D353=+'DCA-Anexo I-C'!D354+'DCA-Anexo I-C'!D357+'DCA-Anexo I-C'!D360+'DCA-Anexo I-C'!D361+'DCA-Anexo I-C'!D362</t>
  </si>
  <si>
    <t>'DCA-Anexo I-C'!E353=+'DCA-Anexo I-C'!E354+'DCA-Anexo I-C'!E357+'DCA-Anexo I-C'!E360+'DCA-Anexo I-C'!E361+'DCA-Anexo I-C'!E362</t>
  </si>
  <si>
    <t>'DCA-Anexo I-C'!B354=+'DCA-Anexo I-C'!B355+'DCA-Anexo I-C'!B356</t>
  </si>
  <si>
    <t>'DCA-Anexo I-C'!C354=+'DCA-Anexo I-C'!C355+'DCA-Anexo I-C'!C356</t>
  </si>
  <si>
    <t>'DCA-Anexo I-C'!D354=+'DCA-Anexo I-C'!D355+'DCA-Anexo I-C'!D356</t>
  </si>
  <si>
    <t>'DCA-Anexo I-C'!E354=+'DCA-Anexo I-C'!E355+'DCA-Anexo I-C'!E356</t>
  </si>
  <si>
    <t>'DCA-Anexo I-C'!B357=+'DCA-Anexo I-C'!B358+'DCA-Anexo I-C'!B359</t>
  </si>
  <si>
    <t>'DCA-Anexo I-C'!C357=+'DCA-Anexo I-C'!C358+'DCA-Anexo I-C'!C359</t>
  </si>
  <si>
    <t>'DCA-Anexo I-C'!D357=+'DCA-Anexo I-C'!D358+'DCA-Anexo I-C'!D359</t>
  </si>
  <si>
    <t>'DCA-Anexo I-C'!E357=+'DCA-Anexo I-C'!E358+'DCA-Anexo I-C'!E359</t>
  </si>
  <si>
    <t>'DCA-Anexo I-C'!B363=+'DCA-Anexo I-C'!B364+'DCA-Anexo I-C'!B365</t>
  </si>
  <si>
    <t>'DCA-Anexo I-C'!C363=+'DCA-Anexo I-C'!C364+'DCA-Anexo I-C'!C365</t>
  </si>
  <si>
    <t>'DCA-Anexo I-C'!D363=+'DCA-Anexo I-C'!D364+'DCA-Anexo I-C'!D365</t>
  </si>
  <si>
    <t>'DCA-Anexo I-C'!E363=+'DCA-Anexo I-C'!E364+'DCA-Anexo I-C'!E365</t>
  </si>
  <si>
    <t>'DCA-Anexo I-C'!B366=+'DCA-Anexo I-C'!B367</t>
  </si>
  <si>
    <t>'DCA-Anexo I-C'!C366=+'DCA-Anexo I-C'!C367</t>
  </si>
  <si>
    <t>'DCA-Anexo I-C'!D366=+'DCA-Anexo I-C'!D367</t>
  </si>
  <si>
    <t>'DCA-Anexo I-C'!E366=+'DCA-Anexo I-C'!E367</t>
  </si>
  <si>
    <t>'DCA-Anexo I-C'!B367=+'DCA-Anexo I-C'!B368+'DCA-Anexo I-C'!B369+'DCA-Anexo I-C'!B370+'DCA-Anexo I-C'!B371</t>
  </si>
  <si>
    <t>'DCA-Anexo I-C'!C367=+'DCA-Anexo I-C'!C368+'DCA-Anexo I-C'!C369+'DCA-Anexo I-C'!C370+'DCA-Anexo I-C'!C371</t>
  </si>
  <si>
    <t>'DCA-Anexo I-C'!D367=+'DCA-Anexo I-C'!D368+'DCA-Anexo I-C'!D369+'DCA-Anexo I-C'!D370+'DCA-Anexo I-C'!D371</t>
  </si>
  <si>
    <t>'DCA-Anexo I-C'!E367=+'DCA-Anexo I-C'!E368+'DCA-Anexo I-C'!E369+'DCA-Anexo I-C'!E370+'DCA-Anexo I-C'!E371</t>
  </si>
  <si>
    <t>'DCA-Anexo I-C'!B372=+'DCA-Anexo I-C'!B373</t>
  </si>
  <si>
    <t>'DCA-Anexo I-C'!C372=+'DCA-Anexo I-C'!C373</t>
  </si>
  <si>
    <t>'DCA-Anexo I-C'!D372=+'DCA-Anexo I-C'!D373</t>
  </si>
  <si>
    <t>'DCA-Anexo I-C'!E372=+'DCA-Anexo I-C'!E373</t>
  </si>
  <si>
    <t>'DCA-Anexo I-C'!B373=+'DCA-Anexo I-C'!B374</t>
  </si>
  <si>
    <t>'DCA-Anexo I-C'!C373=+'DCA-Anexo I-C'!C374</t>
  </si>
  <si>
    <t>'DCA-Anexo I-C'!D373=+'DCA-Anexo I-C'!D374</t>
  </si>
  <si>
    <t>'DCA-Anexo I-C'!E373=+'DCA-Anexo I-C'!E374</t>
  </si>
  <si>
    <t>'DCA-Anexo I-C'!B374=+'DCA-Anexo I-C'!B375+'DCA-Anexo I-C'!B376</t>
  </si>
  <si>
    <t>'DCA-Anexo I-C'!C374=+'DCA-Anexo I-C'!C375+'DCA-Anexo I-C'!C376</t>
  </si>
  <si>
    <t>'DCA-Anexo I-C'!D374=+'DCA-Anexo I-C'!D375+'DCA-Anexo I-C'!D376</t>
  </si>
  <si>
    <t>'DCA-Anexo I-C'!E374=+'DCA-Anexo I-C'!E375+'DCA-Anexo I-C'!E376</t>
  </si>
  <si>
    <t>'DCA-Anexo I-C'!B380=+'DCA-Anexo I-C'!B381+'DCA-Anexo I-C'!B389+'DCA-Anexo I-C'!B400+'DCA-Anexo I-C'!B411+'DCA-Anexo I-C'!B416</t>
  </si>
  <si>
    <t>'DCA-Anexo I-C'!C380=+'DCA-Anexo I-C'!C381+'DCA-Anexo I-C'!C389+'DCA-Anexo I-C'!C400+'DCA-Anexo I-C'!C411+'DCA-Anexo I-C'!C416</t>
  </si>
  <si>
    <t>'DCA-Anexo I-C'!D380=+'DCA-Anexo I-C'!D381+'DCA-Anexo I-C'!D389+'DCA-Anexo I-C'!D400+'DCA-Anexo I-C'!D411+'DCA-Anexo I-C'!D416</t>
  </si>
  <si>
    <t>'DCA-Anexo I-C'!E380=+'DCA-Anexo I-C'!E381+'DCA-Anexo I-C'!E389+'DCA-Anexo I-C'!E400+'DCA-Anexo I-C'!E411+'DCA-Anexo I-C'!E416</t>
  </si>
  <si>
    <t>'DCA-Anexo I-C'!B381=+'DCA-Anexo I-C'!B382</t>
  </si>
  <si>
    <t>'DCA-Anexo I-C'!C381=+'DCA-Anexo I-C'!C382</t>
  </si>
  <si>
    <t>'DCA-Anexo I-C'!D381=+'DCA-Anexo I-C'!D382</t>
  </si>
  <si>
    <t>'DCA-Anexo I-C'!E381=+'DCA-Anexo I-C'!E382</t>
  </si>
  <si>
    <t>'DCA-Anexo I-C'!B382=+'DCA-Anexo I-C'!B383+'DCA-Anexo I-C'!B384+'DCA-Anexo I-C'!B385+'DCA-Anexo I-C'!B386+'DCA-Anexo I-C'!B387+'DCA-Anexo I-C'!B388</t>
  </si>
  <si>
    <t>'DCA-Anexo I-C'!C382=+'DCA-Anexo I-C'!C383+'DCA-Anexo I-C'!C384+'DCA-Anexo I-C'!C385+'DCA-Anexo I-C'!C386+'DCA-Anexo I-C'!C387+'DCA-Anexo I-C'!C388</t>
  </si>
  <si>
    <t>'DCA-Anexo I-C'!D382=+'DCA-Anexo I-C'!D383+'DCA-Anexo I-C'!D384+'DCA-Anexo I-C'!D385+'DCA-Anexo I-C'!D386+'DCA-Anexo I-C'!D387+'DCA-Anexo I-C'!D388</t>
  </si>
  <si>
    <t>'DCA-Anexo I-C'!E382=+'DCA-Anexo I-C'!E383+'DCA-Anexo I-C'!E384+'DCA-Anexo I-C'!E385+'DCA-Anexo I-C'!E386+'DCA-Anexo I-C'!E387+'DCA-Anexo I-C'!E388</t>
  </si>
  <si>
    <t>'DCA-Anexo I-C'!B389=+'DCA-Anexo I-C'!B390</t>
  </si>
  <si>
    <t>'DCA-Anexo I-C'!C389=+'DCA-Anexo I-C'!C390</t>
  </si>
  <si>
    <t>'DCA-Anexo I-C'!D389=+'DCA-Anexo I-C'!D390</t>
  </si>
  <si>
    <t>'DCA-Anexo I-C'!E389=+'DCA-Anexo I-C'!E390</t>
  </si>
  <si>
    <t>'DCA-Anexo I-C'!B390=+'DCA-Anexo I-C'!B391+'DCA-Anexo I-C'!B394+'DCA-Anexo I-C'!B395+'DCA-Anexo I-C'!B396</t>
  </si>
  <si>
    <t>'DCA-Anexo I-C'!C390=+'DCA-Anexo I-C'!C391+'DCA-Anexo I-C'!C394+'DCA-Anexo I-C'!C395+'DCA-Anexo I-C'!C396</t>
  </si>
  <si>
    <t>'DCA-Anexo I-C'!D390=+'DCA-Anexo I-C'!D391+'DCA-Anexo I-C'!D394+'DCA-Anexo I-C'!D395+'DCA-Anexo I-C'!D396</t>
  </si>
  <si>
    <t>'DCA-Anexo I-C'!E390=+'DCA-Anexo I-C'!E391+'DCA-Anexo I-C'!E394+'DCA-Anexo I-C'!E395+'DCA-Anexo I-C'!E396</t>
  </si>
  <si>
    <t>'DCA-Anexo I-C'!B391=+'DCA-Anexo I-C'!B392+'DCA-Anexo I-C'!B393</t>
  </si>
  <si>
    <t>'DCA-Anexo I-C'!C391=+'DCA-Anexo I-C'!C392+'DCA-Anexo I-C'!C393</t>
  </si>
  <si>
    <t>'DCA-Anexo I-C'!D391=+'DCA-Anexo I-C'!D392+'DCA-Anexo I-C'!D393</t>
  </si>
  <si>
    <t>'DCA-Anexo I-C'!E391=+'DCA-Anexo I-C'!E392+'DCA-Anexo I-C'!E393</t>
  </si>
  <si>
    <t>'DCA-Anexo I-C'!B396=+'DCA-Anexo I-C'!B397+'DCA-Anexo I-C'!B398+'DCA-Anexo I-C'!B399</t>
  </si>
  <si>
    <t>'DCA-Anexo I-C'!C396=+'DCA-Anexo I-C'!C397+'DCA-Anexo I-C'!C398+'DCA-Anexo I-C'!C399</t>
  </si>
  <si>
    <t>'DCA-Anexo I-C'!D396=+'DCA-Anexo I-C'!D397+'DCA-Anexo I-C'!D398+'DCA-Anexo I-C'!D399</t>
  </si>
  <si>
    <t>'DCA-Anexo I-C'!E396=+'DCA-Anexo I-C'!E397+'DCA-Anexo I-C'!E398+'DCA-Anexo I-C'!E399</t>
  </si>
  <si>
    <t>'DCA-Anexo I-C'!B400=+'DCA-Anexo I-C'!B401+'DCA-Anexo I-C'!B408</t>
  </si>
  <si>
    <t>'DCA-Anexo I-C'!C400=+'DCA-Anexo I-C'!C401+'DCA-Anexo I-C'!C408</t>
  </si>
  <si>
    <t>'DCA-Anexo I-C'!D400=+'DCA-Anexo I-C'!D401+'DCA-Anexo I-C'!D408</t>
  </si>
  <si>
    <t>'DCA-Anexo I-C'!E400=+'DCA-Anexo I-C'!E401+'DCA-Anexo I-C'!E408</t>
  </si>
  <si>
    <t>'DCA-Anexo I-C'!B401=+'DCA-Anexo I-C'!B402+'DCA-Anexo I-C'!B403+'DCA-Anexo I-C'!B404+'DCA-Anexo I-C'!B405+'DCA-Anexo I-C'!B406+'DCA-Anexo I-C'!B407</t>
  </si>
  <si>
    <t>'DCA-Anexo I-C'!C401=+'DCA-Anexo I-C'!C402+'DCA-Anexo I-C'!C403+'DCA-Anexo I-C'!C404+'DCA-Anexo I-C'!C405+'DCA-Anexo I-C'!C406+'DCA-Anexo I-C'!C407</t>
  </si>
  <si>
    <t>'DCA-Anexo I-C'!D401=+'DCA-Anexo I-C'!D402+'DCA-Anexo I-C'!D403+'DCA-Anexo I-C'!D404+'DCA-Anexo I-C'!D405+'DCA-Anexo I-C'!D406+'DCA-Anexo I-C'!D407</t>
  </si>
  <si>
    <t>'DCA-Anexo I-C'!E401=+'DCA-Anexo I-C'!E402+'DCA-Anexo I-C'!E403+'DCA-Anexo I-C'!E404+'DCA-Anexo I-C'!E405+'DCA-Anexo I-C'!E406+'DCA-Anexo I-C'!E407</t>
  </si>
  <si>
    <t>'DCA-Anexo I-C'!B408=+'DCA-Anexo I-C'!B409+'DCA-Anexo I-C'!B410</t>
  </si>
  <si>
    <t>'DCA-Anexo I-C'!C408=+'DCA-Anexo I-C'!C409+'DCA-Anexo I-C'!C410</t>
  </si>
  <si>
    <t>'DCA-Anexo I-C'!D408=+'DCA-Anexo I-C'!D409+'DCA-Anexo I-C'!D410</t>
  </si>
  <si>
    <t>'DCA-Anexo I-C'!E408=+'DCA-Anexo I-C'!E409+'DCA-Anexo I-C'!E410</t>
  </si>
  <si>
    <t>'DCA-Anexo I-C'!B411=+'DCA-Anexo I-C'!B412</t>
  </si>
  <si>
    <t>'DCA-Anexo I-C'!C411=+'DCA-Anexo I-C'!C412</t>
  </si>
  <si>
    <t>'DCA-Anexo I-C'!D411=+'DCA-Anexo I-C'!D412</t>
  </si>
  <si>
    <t>'DCA-Anexo I-C'!E411=+'DCA-Anexo I-C'!E412</t>
  </si>
  <si>
    <t>'DCA-Anexo I-C'!B412=+'DCA-Anexo I-C'!B413+'DCA-Anexo I-C'!B414+'DCA-Anexo I-C'!B415</t>
  </si>
  <si>
    <t>'DCA-Anexo I-C'!C412=+'DCA-Anexo I-C'!C413+'DCA-Anexo I-C'!C414+'DCA-Anexo I-C'!C415</t>
  </si>
  <si>
    <t>'DCA-Anexo I-C'!D412=+'DCA-Anexo I-C'!D413+'DCA-Anexo I-C'!D414+'DCA-Anexo I-C'!D415</t>
  </si>
  <si>
    <t>'DCA-Anexo I-C'!E412=+'DCA-Anexo I-C'!E413+'DCA-Anexo I-C'!E414+'DCA-Anexo I-C'!E415</t>
  </si>
  <si>
    <t>'DCA-Anexo I-C'!B417=+'DCA-Anexo I-C'!B418+'DCA-Anexo I-C'!B493+'DCA-Anexo I-C'!B517+'DCA-Anexo I-C'!B528+'DCA-Anexo I-C'!B534+'DCA-Anexo I-C'!B537+'DCA-Anexo I-C'!B543</t>
  </si>
  <si>
    <t>'DCA-Anexo I-C'!C417=+'DCA-Anexo I-C'!C418+'DCA-Anexo I-C'!C493+'DCA-Anexo I-C'!C517+'DCA-Anexo I-C'!C528+'DCA-Anexo I-C'!C534+'DCA-Anexo I-C'!C537+'DCA-Anexo I-C'!C543</t>
  </si>
  <si>
    <t>'DCA-Anexo I-C'!D417=+'DCA-Anexo I-C'!D418+'DCA-Anexo I-C'!D493+'DCA-Anexo I-C'!D517+'DCA-Anexo I-C'!D528+'DCA-Anexo I-C'!D534+'DCA-Anexo I-C'!D537+'DCA-Anexo I-C'!D543</t>
  </si>
  <si>
    <t>'DCA-Anexo I-C'!E417=+'DCA-Anexo I-C'!E418+'DCA-Anexo I-C'!E493+'DCA-Anexo I-C'!E517+'DCA-Anexo I-C'!E528+'DCA-Anexo I-C'!E534+'DCA-Anexo I-C'!E537+'DCA-Anexo I-C'!E543</t>
  </si>
  <si>
    <t>'DCA-Anexo I-C'!B418=+'DCA-Anexo I-C'!B419+'DCA-Anexo I-C'!B430+'DCA-Anexo I-C'!B440+'DCA-Anexo I-C'!B456+'DCA-Anexo I-C'!B470+'DCA-Anexo I-C'!B471+'DCA-Anexo I-C'!B472+'DCA-Anexo I-C'!B479</t>
  </si>
  <si>
    <t>'DCA-Anexo I-C'!C418=+'DCA-Anexo I-C'!C419+'DCA-Anexo I-C'!C430+'DCA-Anexo I-C'!C440+'DCA-Anexo I-C'!C456+'DCA-Anexo I-C'!C470+'DCA-Anexo I-C'!C471+'DCA-Anexo I-C'!C472+'DCA-Anexo I-C'!C479</t>
  </si>
  <si>
    <t>'DCA-Anexo I-C'!D418=+'DCA-Anexo I-C'!D419+'DCA-Anexo I-C'!D430+'DCA-Anexo I-C'!D440+'DCA-Anexo I-C'!D456+'DCA-Anexo I-C'!D470+'DCA-Anexo I-C'!D471+'DCA-Anexo I-C'!D472+'DCA-Anexo I-C'!D479</t>
  </si>
  <si>
    <t>'DCA-Anexo I-C'!E418=+'DCA-Anexo I-C'!E419+'DCA-Anexo I-C'!E430+'DCA-Anexo I-C'!E440+'DCA-Anexo I-C'!E456+'DCA-Anexo I-C'!E470+'DCA-Anexo I-C'!E471+'DCA-Anexo I-C'!E472+'DCA-Anexo I-C'!E479</t>
  </si>
  <si>
    <t>'DCA-Anexo I-C'!B419=+'DCA-Anexo I-C'!B420+'DCA-Anexo I-C'!B421+'DCA-Anexo I-C'!B424+'DCA-Anexo I-C'!B425+'DCA-Anexo I-C'!B426+'DCA-Anexo I-C'!B427+'DCA-Anexo I-C'!B429+'DCA-Anexo I-C'!B428</t>
  </si>
  <si>
    <t>'DCA-Anexo I-C'!C419=+'DCA-Anexo I-C'!C420+'DCA-Anexo I-C'!C421+'DCA-Anexo I-C'!C424+'DCA-Anexo I-C'!C425+'DCA-Anexo I-C'!C426+'DCA-Anexo I-C'!C427+'DCA-Anexo I-C'!C429+'DCA-Anexo I-C'!C428</t>
  </si>
  <si>
    <t>'DCA-Anexo I-C'!D419=+'DCA-Anexo I-C'!D420+'DCA-Anexo I-C'!D421+'DCA-Anexo I-C'!D424+'DCA-Anexo I-C'!D425+'DCA-Anexo I-C'!D426+'DCA-Anexo I-C'!D427+'DCA-Anexo I-C'!D429+'DCA-Anexo I-C'!D428</t>
  </si>
  <si>
    <t>'DCA-Anexo I-C'!E419=+'DCA-Anexo I-C'!E420+'DCA-Anexo I-C'!E421+'DCA-Anexo I-C'!E424+'DCA-Anexo I-C'!E425+'DCA-Anexo I-C'!E426+'DCA-Anexo I-C'!E427+'DCA-Anexo I-C'!E429+'DCA-Anexo I-C'!E428</t>
  </si>
  <si>
    <t>'DCA-Anexo I-C'!B421=+'DCA-Anexo I-C'!B422+'DCA-Anexo I-C'!B423</t>
  </si>
  <si>
    <t>'DCA-Anexo I-C'!C421=+'DCA-Anexo I-C'!C422+'DCA-Anexo I-C'!C423</t>
  </si>
  <si>
    <t>'DCA-Anexo I-C'!D421=+'DCA-Anexo I-C'!D422+'DCA-Anexo I-C'!D423</t>
  </si>
  <si>
    <t>'DCA-Anexo I-C'!E421=+'DCA-Anexo I-C'!E422+'DCA-Anexo I-C'!E423</t>
  </si>
  <si>
    <t>'DCA-Anexo I-C'!B430=+'DCA-Anexo I-C'!B431+'DCA-Anexo I-C'!B432+'DCA-Anexo I-C'!B433+'DCA-Anexo I-C'!B438+'DCA-Anexo I-C'!B439</t>
  </si>
  <si>
    <t>'DCA-Anexo I-C'!C430=+'DCA-Anexo I-C'!C431+'DCA-Anexo I-C'!C432+'DCA-Anexo I-C'!C433+'DCA-Anexo I-C'!C438+'DCA-Anexo I-C'!C439</t>
  </si>
  <si>
    <t>'DCA-Anexo I-C'!D430=+'DCA-Anexo I-C'!D431+'DCA-Anexo I-C'!D432+'DCA-Anexo I-C'!D433+'DCA-Anexo I-C'!D438+'DCA-Anexo I-C'!D439</t>
  </si>
  <si>
    <t>'DCA-Anexo I-C'!E430=+'DCA-Anexo I-C'!E431+'DCA-Anexo I-C'!E432+'DCA-Anexo I-C'!E433+'DCA-Anexo I-C'!E438+'DCA-Anexo I-C'!E439</t>
  </si>
  <si>
    <t>'DCA-Anexo I-C'!B433=+'DCA-Anexo I-C'!B434+'DCA-Anexo I-C'!B435+'DCA-Anexo I-C'!B436+'DCA-Anexo I-C'!B437</t>
  </si>
  <si>
    <t>'DCA-Anexo I-C'!C433=+'DCA-Anexo I-C'!C434+'DCA-Anexo I-C'!C435+'DCA-Anexo I-C'!C436+'DCA-Anexo I-C'!C437</t>
  </si>
  <si>
    <t>'DCA-Anexo I-C'!D433=+'DCA-Anexo I-C'!D434+'DCA-Anexo I-C'!D435+'DCA-Anexo I-C'!D436+'DCA-Anexo I-C'!D437</t>
  </si>
  <si>
    <t>'DCA-Anexo I-C'!E433=+'DCA-Anexo I-C'!E434+'DCA-Anexo I-C'!E435+'DCA-Anexo I-C'!E436+'DCA-Anexo I-C'!E437</t>
  </si>
  <si>
    <t>'DCA-Anexo I-C'!B440=+'DCA-Anexo I-C'!B441+'DCA-Anexo I-C'!B448+'DCA-Anexo I-C'!B455</t>
  </si>
  <si>
    <t>'DCA-Anexo I-C'!C440=+'DCA-Anexo I-C'!C441+'DCA-Anexo I-C'!C448+'DCA-Anexo I-C'!C455</t>
  </si>
  <si>
    <t>'DCA-Anexo I-C'!D440=+'DCA-Anexo I-C'!D441+'DCA-Anexo I-C'!D448+'DCA-Anexo I-C'!D455</t>
  </si>
  <si>
    <t>'DCA-Anexo I-C'!E440=+'DCA-Anexo I-C'!E441+'DCA-Anexo I-C'!E448+'DCA-Anexo I-C'!E455</t>
  </si>
  <si>
    <t>'DCA-Anexo I-C'!B441=+'DCA-Anexo I-C'!B442+'DCA-Anexo I-C'!B443+'DCA-Anexo I-C'!B444+'DCA-Anexo I-C'!B445+'DCA-Anexo I-C'!B446+'DCA-Anexo I-C'!B447</t>
  </si>
  <si>
    <t>'DCA-Anexo I-C'!C441=+'DCA-Anexo I-C'!C442+'DCA-Anexo I-C'!C443+'DCA-Anexo I-C'!C444+'DCA-Anexo I-C'!C445+'DCA-Anexo I-C'!C446+'DCA-Anexo I-C'!C447</t>
  </si>
  <si>
    <t>'DCA-Anexo I-C'!D441=+'DCA-Anexo I-C'!D442+'DCA-Anexo I-C'!D443+'DCA-Anexo I-C'!D444+'DCA-Anexo I-C'!D445+'DCA-Anexo I-C'!D446+'DCA-Anexo I-C'!D447</t>
  </si>
  <si>
    <t>'DCA-Anexo I-C'!E441=+'DCA-Anexo I-C'!E442+'DCA-Anexo I-C'!E443+'DCA-Anexo I-C'!E444+'DCA-Anexo I-C'!E445+'DCA-Anexo I-C'!E446+'DCA-Anexo I-C'!E447</t>
  </si>
  <si>
    <t>'DCA-Anexo I-C'!B448=+'DCA-Anexo I-C'!B449+'DCA-Anexo I-C'!B450+'DCA-Anexo I-C'!B451+'DCA-Anexo I-C'!B452+'DCA-Anexo I-C'!B453+'DCA-Anexo I-C'!B454</t>
  </si>
  <si>
    <t>'DCA-Anexo I-C'!C448=+'DCA-Anexo I-C'!C449+'DCA-Anexo I-C'!C450+'DCA-Anexo I-C'!C451+'DCA-Anexo I-C'!C452+'DCA-Anexo I-C'!C453+'DCA-Anexo I-C'!C454</t>
  </si>
  <si>
    <t>'DCA-Anexo I-C'!D448=+'DCA-Anexo I-C'!D449+'DCA-Anexo I-C'!D450+'DCA-Anexo I-C'!D451+'DCA-Anexo I-C'!D452+'DCA-Anexo I-C'!D453+'DCA-Anexo I-C'!D454</t>
  </si>
  <si>
    <t>'DCA-Anexo I-C'!E448=+'DCA-Anexo I-C'!E449+'DCA-Anexo I-C'!E450+'DCA-Anexo I-C'!E451+'DCA-Anexo I-C'!E452+'DCA-Anexo I-C'!E453+'DCA-Anexo I-C'!E454</t>
  </si>
  <si>
    <t>'DCA-Anexo I-C'!B456=+'DCA-Anexo I-C'!B457+'DCA-Anexo I-C'!B458+'DCA-Anexo I-C'!B459+'DCA-Anexo I-C'!B460+'DCA-Anexo I-C'!B461+'DCA-Anexo I-C'!B464+'DCA-Anexo I-C'!B465+'DCA-Anexo I-C'!B466+'DCA-Anexo I-C'!B467+'DCA-Anexo I-C'!B468+'DCA-Anexo I-C'!B469</t>
  </si>
  <si>
    <t>'DCA-Anexo I-C'!C456=+'DCA-Anexo I-C'!C457+'DCA-Anexo I-C'!C458+'DCA-Anexo I-C'!C459+'DCA-Anexo I-C'!C460+'DCA-Anexo I-C'!C461+'DCA-Anexo I-C'!C464+'DCA-Anexo I-C'!C465+'DCA-Anexo I-C'!C466+'DCA-Anexo I-C'!C467+'DCA-Anexo I-C'!C468+'DCA-Anexo I-C'!C469</t>
  </si>
  <si>
    <t>'DCA-Anexo I-C'!D456=+'DCA-Anexo I-C'!D457+'DCA-Anexo I-C'!D458+'DCA-Anexo I-C'!D459+'DCA-Anexo I-C'!D460+'DCA-Anexo I-C'!D461+'DCA-Anexo I-C'!D464+'DCA-Anexo I-C'!D465+'DCA-Anexo I-C'!D466+'DCA-Anexo I-C'!D467+'DCA-Anexo I-C'!D468+'DCA-Anexo I-C'!D469</t>
  </si>
  <si>
    <t>'DCA-Anexo I-C'!E456=+'DCA-Anexo I-C'!E457+'DCA-Anexo I-C'!E458+'DCA-Anexo I-C'!E459+'DCA-Anexo I-C'!E460+'DCA-Anexo I-C'!E461+'DCA-Anexo I-C'!E464+'DCA-Anexo I-C'!E465+'DCA-Anexo I-C'!E466+'DCA-Anexo I-C'!E467+'DCA-Anexo I-C'!E468+'DCA-Anexo I-C'!E469</t>
  </si>
  <si>
    <t>'DCA-Anexo I-C'!B461=+'DCA-Anexo I-C'!B462+'DCA-Anexo I-C'!B463</t>
  </si>
  <si>
    <t>'DCA-Anexo I-C'!C461=+'DCA-Anexo I-C'!C462+'DCA-Anexo I-C'!C463</t>
  </si>
  <si>
    <t>'DCA-Anexo I-C'!D461=+'DCA-Anexo I-C'!D462+'DCA-Anexo I-C'!D463</t>
  </si>
  <si>
    <t>'DCA-Anexo I-C'!E461=+'DCA-Anexo I-C'!E462+'DCA-Anexo I-C'!E463</t>
  </si>
  <si>
    <t>'DCA-Anexo I-C'!B472=+'DCA-Anexo I-C'!B473+'DCA-Anexo I-C'!B474+'DCA-Anexo I-C'!B475+'DCA-Anexo I-C'!B476+'DCA-Anexo I-C'!B477+'DCA-Anexo I-C'!B478</t>
  </si>
  <si>
    <t>'DCA-Anexo I-C'!C472=+'DCA-Anexo I-C'!C473+'DCA-Anexo I-C'!C474+'DCA-Anexo I-C'!C475+'DCA-Anexo I-C'!C476+'DCA-Anexo I-C'!C477+'DCA-Anexo I-C'!C478</t>
  </si>
  <si>
    <t>'DCA-Anexo I-C'!D472=+'DCA-Anexo I-C'!D473+'DCA-Anexo I-C'!D474+'DCA-Anexo I-C'!D475+'DCA-Anexo I-C'!D476+'DCA-Anexo I-C'!D477+'DCA-Anexo I-C'!D478</t>
  </si>
  <si>
    <t>'DCA-Anexo I-C'!E472=+'DCA-Anexo I-C'!E473+'DCA-Anexo I-C'!E474+'DCA-Anexo I-C'!E475+'DCA-Anexo I-C'!E476+'DCA-Anexo I-C'!E477+'DCA-Anexo I-C'!E478</t>
  </si>
  <si>
    <t>'DCA-Anexo I-C'!B479=+'DCA-Anexo I-C'!B480+'DCA-Anexo I-C'!B481+'DCA-Anexo I-C'!B482+'DCA-Anexo I-C'!B483+'DCA-Anexo I-C'!B484+'DCA-Anexo I-C'!B485+'DCA-Anexo I-C'!B486+'DCA-Anexo I-C'!B487+'DCA-Anexo I-C'!B488+'DCA-Anexo I-C'!B489+'DCA-Anexo I-C'!B490+'DCA-Anexo I-C'!B491+'DCA-Anexo I-C'!B492</t>
  </si>
  <si>
    <t>'DCA-Anexo I-C'!C479=+'DCA-Anexo I-C'!C480+'DCA-Anexo I-C'!C481+'DCA-Anexo I-C'!C482+'DCA-Anexo I-C'!C483+'DCA-Anexo I-C'!C484+'DCA-Anexo I-C'!C485+'DCA-Anexo I-C'!C486+'DCA-Anexo I-C'!C487+'DCA-Anexo I-C'!C488+'DCA-Anexo I-C'!C489+'DCA-Anexo I-C'!C490+'DCA-Anexo I-C'!C491+'DCA-Anexo I-C'!C492</t>
  </si>
  <si>
    <t>'DCA-Anexo I-C'!D479=+'DCA-Anexo I-C'!D480+'DCA-Anexo I-C'!D481+'DCA-Anexo I-C'!D482+'DCA-Anexo I-C'!D483+'DCA-Anexo I-C'!D484+'DCA-Anexo I-C'!D485+'DCA-Anexo I-C'!D486+'DCA-Anexo I-C'!D487+'DCA-Anexo I-C'!D488+'DCA-Anexo I-C'!D489+'DCA-Anexo I-C'!D490+'DCA-Anexo I-C'!D491+'DCA-Anexo I-C'!D492</t>
  </si>
  <si>
    <t>'DCA-Anexo I-C'!E479=+'DCA-Anexo I-C'!E480+'DCA-Anexo I-C'!E481+'DCA-Anexo I-C'!E482+'DCA-Anexo I-C'!E483+'DCA-Anexo I-C'!E484+'DCA-Anexo I-C'!E485+'DCA-Anexo I-C'!E486+'DCA-Anexo I-C'!E487+'DCA-Anexo I-C'!E488+'DCA-Anexo I-C'!E489+'DCA-Anexo I-C'!E490+'DCA-Anexo I-C'!E491+'DCA-Anexo I-C'!E492</t>
  </si>
  <si>
    <t>'DCA-Anexo I-C'!B493=+'DCA-Anexo I-C'!B494+'DCA-Anexo I-C'!B500+'DCA-Anexo I-C'!B505+'DCA-Anexo I-C'!B506+'DCA-Anexo I-C'!B511</t>
  </si>
  <si>
    <t>'DCA-Anexo I-C'!C493=+'DCA-Anexo I-C'!C494+'DCA-Anexo I-C'!C500+'DCA-Anexo I-C'!C505+'DCA-Anexo I-C'!C506+'DCA-Anexo I-C'!C511</t>
  </si>
  <si>
    <t>'DCA-Anexo I-C'!D493=+'DCA-Anexo I-C'!D494+'DCA-Anexo I-C'!D500+'DCA-Anexo I-C'!D505+'DCA-Anexo I-C'!D506+'DCA-Anexo I-C'!D511</t>
  </si>
  <si>
    <t>'DCA-Anexo I-C'!E493=+'DCA-Anexo I-C'!E494+'DCA-Anexo I-C'!E500+'DCA-Anexo I-C'!E505+'DCA-Anexo I-C'!E506+'DCA-Anexo I-C'!E511</t>
  </si>
  <si>
    <t>'DCA-Anexo I-C'!B494=+'DCA-Anexo I-C'!B495+'DCA-Anexo I-C'!B496+'DCA-Anexo I-C'!B497+'DCA-Anexo I-C'!B498+'DCA-Anexo I-C'!B499</t>
  </si>
  <si>
    <t>'DCA-Anexo I-C'!C494=+'DCA-Anexo I-C'!C495+'DCA-Anexo I-C'!C496+'DCA-Anexo I-C'!C497+'DCA-Anexo I-C'!C498+'DCA-Anexo I-C'!C499</t>
  </si>
  <si>
    <t>'DCA-Anexo I-C'!D494=+'DCA-Anexo I-C'!D495+'DCA-Anexo I-C'!D496+'DCA-Anexo I-C'!D497+'DCA-Anexo I-C'!D498+'DCA-Anexo I-C'!D499</t>
  </si>
  <si>
    <t>'DCA-Anexo I-C'!E494=+'DCA-Anexo I-C'!E495+'DCA-Anexo I-C'!E496+'DCA-Anexo I-C'!E497+'DCA-Anexo I-C'!E498+'DCA-Anexo I-C'!E499</t>
  </si>
  <si>
    <t>'DCA-Anexo I-C'!B500=+'DCA-Anexo I-C'!B501+'DCA-Anexo I-C'!B502+'DCA-Anexo I-C'!B503+'DCA-Anexo I-C'!B504</t>
  </si>
  <si>
    <t>'DCA-Anexo I-C'!C500=+'DCA-Anexo I-C'!C501+'DCA-Anexo I-C'!C502+'DCA-Anexo I-C'!C503+'DCA-Anexo I-C'!C504</t>
  </si>
  <si>
    <t>'DCA-Anexo I-C'!D500=+'DCA-Anexo I-C'!D501+'DCA-Anexo I-C'!D502+'DCA-Anexo I-C'!D503+'DCA-Anexo I-C'!D504</t>
  </si>
  <si>
    <t>'DCA-Anexo I-C'!E500=+'DCA-Anexo I-C'!E501+'DCA-Anexo I-C'!E502+'DCA-Anexo I-C'!E503+'DCA-Anexo I-C'!E504</t>
  </si>
  <si>
    <t>'DCA-Anexo I-C'!B506=+'DCA-Anexo I-C'!B507+'DCA-Anexo I-C'!B508+'DCA-Anexo I-C'!B509+'DCA-Anexo I-C'!B510</t>
  </si>
  <si>
    <t>'DCA-Anexo I-C'!C506=+'DCA-Anexo I-C'!C507+'DCA-Anexo I-C'!C508+'DCA-Anexo I-C'!C509+'DCA-Anexo I-C'!C510</t>
  </si>
  <si>
    <t>'DCA-Anexo I-C'!D506=+'DCA-Anexo I-C'!D507+'DCA-Anexo I-C'!D508+'DCA-Anexo I-C'!D509+'DCA-Anexo I-C'!D510</t>
  </si>
  <si>
    <t>'DCA-Anexo I-C'!E506=+'DCA-Anexo I-C'!E507+'DCA-Anexo I-C'!E508+'DCA-Anexo I-C'!E509+'DCA-Anexo I-C'!E510</t>
  </si>
  <si>
    <t>'DCA-Anexo I-C'!B511=+'DCA-Anexo I-C'!B512+'DCA-Anexo I-C'!B513+'DCA-Anexo I-C'!B514+'DCA-Anexo I-C'!B515+'DCA-Anexo I-C'!B516</t>
  </si>
  <si>
    <t>'DCA-Anexo I-C'!C511=+'DCA-Anexo I-C'!C512+'DCA-Anexo I-C'!C513+'DCA-Anexo I-C'!C514+'DCA-Anexo I-C'!C515+'DCA-Anexo I-C'!C516</t>
  </si>
  <si>
    <t>'DCA-Anexo I-C'!D511=+'DCA-Anexo I-C'!D512+'DCA-Anexo I-C'!D513+'DCA-Anexo I-C'!D514+'DCA-Anexo I-C'!D515+'DCA-Anexo I-C'!D516</t>
  </si>
  <si>
    <t>'DCA-Anexo I-C'!E511=+'DCA-Anexo I-C'!E512+'DCA-Anexo I-C'!E513+'DCA-Anexo I-C'!E514+'DCA-Anexo I-C'!E515+'DCA-Anexo I-C'!E516</t>
  </si>
  <si>
    <t>'DCA-Anexo I-C'!B517=+'DCA-Anexo I-C'!B518+'DCA-Anexo I-C'!B520+'DCA-Anexo I-C'!B525</t>
  </si>
  <si>
    <t>'DCA-Anexo I-C'!C517=+'DCA-Anexo I-C'!C518+'DCA-Anexo I-C'!C520+'DCA-Anexo I-C'!C525</t>
  </si>
  <si>
    <t>'DCA-Anexo I-C'!D517=+'DCA-Anexo I-C'!D518+'DCA-Anexo I-C'!D520+'DCA-Anexo I-C'!D525</t>
  </si>
  <si>
    <t>'DCA-Anexo I-C'!E517=+'DCA-Anexo I-C'!E518+'DCA-Anexo I-C'!E520+'DCA-Anexo I-C'!E525</t>
  </si>
  <si>
    <t>'DCA-Anexo I-C'!B518=+'DCA-Anexo I-C'!B519</t>
  </si>
  <si>
    <t>'DCA-Anexo I-C'!C518=+'DCA-Anexo I-C'!C519</t>
  </si>
  <si>
    <t>'DCA-Anexo I-C'!D518=+'DCA-Anexo I-C'!D519</t>
  </si>
  <si>
    <t>'DCA-Anexo I-C'!E518=+'DCA-Anexo I-C'!E519</t>
  </si>
  <si>
    <t>'DCA-Anexo I-C'!B520=+'DCA-Anexo I-C'!B521+'DCA-Anexo I-C'!B522+'DCA-Anexo I-C'!B523+'DCA-Anexo I-C'!B524</t>
  </si>
  <si>
    <t>'DCA-Anexo I-C'!C520=+'DCA-Anexo I-C'!C521+'DCA-Anexo I-C'!C522+'DCA-Anexo I-C'!C523+'DCA-Anexo I-C'!C524</t>
  </si>
  <si>
    <t>'DCA-Anexo I-C'!D520=+'DCA-Anexo I-C'!D521+'DCA-Anexo I-C'!D522+'DCA-Anexo I-C'!D523+'DCA-Anexo I-C'!D524</t>
  </si>
  <si>
    <t>'DCA-Anexo I-C'!E520=+'DCA-Anexo I-C'!E521+'DCA-Anexo I-C'!E522+'DCA-Anexo I-C'!E523+'DCA-Anexo I-C'!E524</t>
  </si>
  <si>
    <t>'DCA-Anexo I-C'!B525=+'DCA-Anexo I-C'!B526+'DCA-Anexo I-C'!B527</t>
  </si>
  <si>
    <t>'DCA-Anexo I-C'!C525=+'DCA-Anexo I-C'!C526+'DCA-Anexo I-C'!C527</t>
  </si>
  <si>
    <t>'DCA-Anexo I-C'!D525=+'DCA-Anexo I-C'!D526+'DCA-Anexo I-C'!D527</t>
  </si>
  <si>
    <t>'DCA-Anexo I-C'!E525=+'DCA-Anexo I-C'!E526+'DCA-Anexo I-C'!E527</t>
  </si>
  <si>
    <t>'DCA-Anexo I-C'!B528=+'DCA-Anexo I-C'!B529</t>
  </si>
  <si>
    <t>'DCA-Anexo I-C'!C528=+'DCA-Anexo I-C'!C529</t>
  </si>
  <si>
    <t>'DCA-Anexo I-C'!D528=+'DCA-Anexo I-C'!D529</t>
  </si>
  <si>
    <t>'DCA-Anexo I-C'!E528=+'DCA-Anexo I-C'!E529</t>
  </si>
  <si>
    <t>'DCA-Anexo I-C'!B529=+'DCA-Anexo I-C'!B530+'DCA-Anexo I-C'!B531+'DCA-Anexo I-C'!B532+'DCA-Anexo I-C'!B533</t>
  </si>
  <si>
    <t>'DCA-Anexo I-C'!C529=+'DCA-Anexo I-C'!C530+'DCA-Anexo I-C'!C531+'DCA-Anexo I-C'!C532+'DCA-Anexo I-C'!C533</t>
  </si>
  <si>
    <t>'DCA-Anexo I-C'!D529=+'DCA-Anexo I-C'!D530+'DCA-Anexo I-C'!D531+'DCA-Anexo I-C'!D532+'DCA-Anexo I-C'!D533</t>
  </si>
  <si>
    <t>'DCA-Anexo I-C'!E529=+'DCA-Anexo I-C'!E530+'DCA-Anexo I-C'!E531+'DCA-Anexo I-C'!E532+'DCA-Anexo I-C'!E533</t>
  </si>
  <si>
    <t>'DCA-Anexo I-C'!B534=+'DCA-Anexo I-C'!B535+'DCA-Anexo I-C'!B536</t>
  </si>
  <si>
    <t>'DCA-Anexo I-C'!C534=+'DCA-Anexo I-C'!C535+'DCA-Anexo I-C'!C536</t>
  </si>
  <si>
    <t>'DCA-Anexo I-C'!D534=+'DCA-Anexo I-C'!D535+'DCA-Anexo I-C'!D536</t>
  </si>
  <si>
    <t>'DCA-Anexo I-C'!E534=+'DCA-Anexo I-C'!E535+'DCA-Anexo I-C'!E536</t>
  </si>
  <si>
    <t>'DCA-Anexo I-C'!B537=+'DCA-Anexo I-C'!B538</t>
  </si>
  <si>
    <t>'DCA-Anexo I-C'!C537=+'DCA-Anexo I-C'!C538</t>
  </si>
  <si>
    <t>'DCA-Anexo I-C'!D537=+'DCA-Anexo I-C'!D538</t>
  </si>
  <si>
    <t>'DCA-Anexo I-C'!E537=+'DCA-Anexo I-C'!E538</t>
  </si>
  <si>
    <t>'DCA-Anexo I-C'!B538=+'DCA-Anexo I-C'!B539+'DCA-Anexo I-C'!B540+'DCA-Anexo I-C'!B541+'DCA-Anexo I-C'!B542</t>
  </si>
  <si>
    <t>'DCA-Anexo I-C'!C538=+'DCA-Anexo I-C'!C539+'DCA-Anexo I-C'!C540+'DCA-Anexo I-C'!C541+'DCA-Anexo I-C'!C542</t>
  </si>
  <si>
    <t>'DCA-Anexo I-C'!D538=+'DCA-Anexo I-C'!D539+'DCA-Anexo I-C'!D540+'DCA-Anexo I-C'!D541+'DCA-Anexo I-C'!D542</t>
  </si>
  <si>
    <t>'DCA-Anexo I-C'!E538=+'DCA-Anexo I-C'!E539+'DCA-Anexo I-C'!E540+'DCA-Anexo I-C'!E541+'DCA-Anexo I-C'!E542</t>
  </si>
  <si>
    <t>'DCA-Anexo I-C'!B543=+'DCA-Anexo I-C'!B544+'DCA-Anexo I-C'!B549+'DCA-Anexo I-C'!B550</t>
  </si>
  <si>
    <t>'DCA-Anexo I-C'!C543=+'DCA-Anexo I-C'!C544+'DCA-Anexo I-C'!C549+'DCA-Anexo I-C'!C550</t>
  </si>
  <si>
    <t>'DCA-Anexo I-C'!D543=+'DCA-Anexo I-C'!D544+'DCA-Anexo I-C'!D549+'DCA-Anexo I-C'!D550</t>
  </si>
  <si>
    <t>'DCA-Anexo I-C'!E543=+'DCA-Anexo I-C'!E544+'DCA-Anexo I-C'!E549+'DCA-Anexo I-C'!E550</t>
  </si>
  <si>
    <t>'DCA-Anexo I-C'!B544=+'DCA-Anexo I-C'!B545+'DCA-Anexo I-C'!B546+'DCA-Anexo I-C'!B547+'DCA-Anexo I-C'!B548</t>
  </si>
  <si>
    <t>'DCA-Anexo I-C'!C544=+'DCA-Anexo I-C'!C545+'DCA-Anexo I-C'!C546+'DCA-Anexo I-C'!C547+'DCA-Anexo I-C'!C548</t>
  </si>
  <si>
    <t>'DCA-Anexo I-C'!D544=+'DCA-Anexo I-C'!D545+'DCA-Anexo I-C'!D546+'DCA-Anexo I-C'!D547+'DCA-Anexo I-C'!D548</t>
  </si>
  <si>
    <t>'DCA-Anexo I-C'!E544=+'DCA-Anexo I-C'!E545+'DCA-Anexo I-C'!E546+'DCA-Anexo I-C'!E547+'DCA-Anexo I-C'!E548</t>
  </si>
  <si>
    <t>'DCA-Anexo I-C'!B551=+'DCA-Anexo I-C'!B552+'DCA-Anexo I-C'!B573+'DCA-Anexo I-C'!B614+'DCA-Anexo I-C'!B629+'DCA-Anexo I-C'!B659</t>
  </si>
  <si>
    <t>'DCA-Anexo I-C'!C551=+'DCA-Anexo I-C'!C552+'DCA-Anexo I-C'!C573+'DCA-Anexo I-C'!C614+'DCA-Anexo I-C'!C629+'DCA-Anexo I-C'!C659</t>
  </si>
  <si>
    <t>'DCA-Anexo I-C'!D551=+'DCA-Anexo I-C'!D552+'DCA-Anexo I-C'!D573+'DCA-Anexo I-C'!D614+'DCA-Anexo I-C'!D629+'DCA-Anexo I-C'!D659</t>
  </si>
  <si>
    <t>'DCA-Anexo I-C'!E551=+'DCA-Anexo I-C'!E552+'DCA-Anexo I-C'!E573+'DCA-Anexo I-C'!E614+'DCA-Anexo I-C'!E629+'DCA-Anexo I-C'!E659</t>
  </si>
  <si>
    <t>'DCA-Anexo I-C'!B552=+'DCA-Anexo I-C'!B553</t>
  </si>
  <si>
    <t>'DCA-Anexo I-C'!C552=+'DCA-Anexo I-C'!C553</t>
  </si>
  <si>
    <t>'DCA-Anexo I-C'!D552=+'DCA-Anexo I-C'!D553</t>
  </si>
  <si>
    <t>'DCA-Anexo I-C'!E552=+'DCA-Anexo I-C'!E553</t>
  </si>
  <si>
    <t>'DCA-Anexo I-C'!B553=+'DCA-Anexo I-C'!B554+'DCA-Anexo I-C'!B555+'DCA-Anexo I-C'!B556+'DCA-Anexo I-C'!B557+'DCA-Anexo I-C'!B558+'DCA-Anexo I-C'!B559+'DCA-Anexo I-C'!B562+'DCA-Anexo I-C'!B563+'DCA-Anexo I-C'!B564+'DCA-Anexo I-C'!B565+'DCA-Anexo I-C'!B566+'DCA-Anexo I-C'!B567+'DCA-Anexo I-C'!B568+'DCA-Anexo I-C'!B571+'DCA-Anexo I-C'!B572</t>
  </si>
  <si>
    <t>'DCA-Anexo I-C'!C553=+'DCA-Anexo I-C'!C554+'DCA-Anexo I-C'!C555+'DCA-Anexo I-C'!C556+'DCA-Anexo I-C'!C557+'DCA-Anexo I-C'!C558+'DCA-Anexo I-C'!C559+'DCA-Anexo I-C'!C562+'DCA-Anexo I-C'!C563+'DCA-Anexo I-C'!C564+'DCA-Anexo I-C'!C565+'DCA-Anexo I-C'!C566+'DCA-Anexo I-C'!C567+'DCA-Anexo I-C'!C568+'DCA-Anexo I-C'!C571+'DCA-Anexo I-C'!C572</t>
  </si>
  <si>
    <t>'DCA-Anexo I-C'!D553=+'DCA-Anexo I-C'!D554+'DCA-Anexo I-C'!D555+'DCA-Anexo I-C'!D556+'DCA-Anexo I-C'!D557+'DCA-Anexo I-C'!D558+'DCA-Anexo I-C'!D559+'DCA-Anexo I-C'!D562+'DCA-Anexo I-C'!D563+'DCA-Anexo I-C'!D564+'DCA-Anexo I-C'!D565+'DCA-Anexo I-C'!D566+'DCA-Anexo I-C'!D567+'DCA-Anexo I-C'!D568+'DCA-Anexo I-C'!D571+'DCA-Anexo I-C'!D572</t>
  </si>
  <si>
    <t>'DCA-Anexo I-C'!E553=+'DCA-Anexo I-C'!E554+'DCA-Anexo I-C'!E555+'DCA-Anexo I-C'!E556+'DCA-Anexo I-C'!E557+'DCA-Anexo I-C'!E558+'DCA-Anexo I-C'!E559+'DCA-Anexo I-C'!E562+'DCA-Anexo I-C'!E563+'DCA-Anexo I-C'!E564+'DCA-Anexo I-C'!E565+'DCA-Anexo I-C'!E566+'DCA-Anexo I-C'!E567+'DCA-Anexo I-C'!E568+'DCA-Anexo I-C'!E571+'DCA-Anexo I-C'!E572</t>
  </si>
  <si>
    <t>'DCA-Anexo I-C'!B559=+'DCA-Anexo I-C'!B560+'DCA-Anexo I-C'!B561</t>
  </si>
  <si>
    <t>'DCA-Anexo I-C'!C559=+'DCA-Anexo I-C'!C560+'DCA-Anexo I-C'!C561</t>
  </si>
  <si>
    <t>'DCA-Anexo I-C'!D559=+'DCA-Anexo I-C'!D560+'DCA-Anexo I-C'!D561</t>
  </si>
  <si>
    <t>'DCA-Anexo I-C'!E559=+'DCA-Anexo I-C'!E560+'DCA-Anexo I-C'!E561</t>
  </si>
  <si>
    <t>'DCA-Anexo I-C'!B568=+'DCA-Anexo I-C'!B569+'DCA-Anexo I-C'!B570</t>
  </si>
  <si>
    <t>'DCA-Anexo I-C'!C568=+'DCA-Anexo I-C'!C569+'DCA-Anexo I-C'!C570</t>
  </si>
  <si>
    <t>'DCA-Anexo I-C'!D568=+'DCA-Anexo I-C'!D569+'DCA-Anexo I-C'!D570</t>
  </si>
  <si>
    <t>'DCA-Anexo I-C'!E568=+'DCA-Anexo I-C'!E569+'DCA-Anexo I-C'!E570</t>
  </si>
  <si>
    <t>'DCA-Anexo I-C'!B573=+'DCA-Anexo I-C'!B574+'DCA-Anexo I-C'!B582+'DCA-Anexo I-C'!B607</t>
  </si>
  <si>
    <t>'DCA-Anexo I-C'!C573=+'DCA-Anexo I-C'!C574+'DCA-Anexo I-C'!C582+'DCA-Anexo I-C'!C607</t>
  </si>
  <si>
    <t>'DCA-Anexo I-C'!D573=+'DCA-Anexo I-C'!D574+'DCA-Anexo I-C'!D582+'DCA-Anexo I-C'!D607</t>
  </si>
  <si>
    <t>'DCA-Anexo I-C'!E573=+'DCA-Anexo I-C'!E574+'DCA-Anexo I-C'!E582+'DCA-Anexo I-C'!E607</t>
  </si>
  <si>
    <t>'DCA-Anexo I-C'!B574=+'DCA-Anexo I-C'!B575+'DCA-Anexo I-C'!B576+'DCA-Anexo I-C'!B577+'DCA-Anexo I-C'!B578+'DCA-Anexo I-C'!B579+'DCA-Anexo I-C'!B580+'DCA-Anexo I-C'!B581</t>
  </si>
  <si>
    <t>'DCA-Anexo I-C'!C574=+'DCA-Anexo I-C'!C575+'DCA-Anexo I-C'!C576+'DCA-Anexo I-C'!C577+'DCA-Anexo I-C'!C578+'DCA-Anexo I-C'!C579+'DCA-Anexo I-C'!C580+'DCA-Anexo I-C'!C581</t>
  </si>
  <si>
    <t>'DCA-Anexo I-C'!D574=+'DCA-Anexo I-C'!D575+'DCA-Anexo I-C'!D576+'DCA-Anexo I-C'!D577+'DCA-Anexo I-C'!D578+'DCA-Anexo I-C'!D579+'DCA-Anexo I-C'!D580+'DCA-Anexo I-C'!D581</t>
  </si>
  <si>
    <t>'DCA-Anexo I-C'!E574=+'DCA-Anexo I-C'!E575+'DCA-Anexo I-C'!E576+'DCA-Anexo I-C'!E577+'DCA-Anexo I-C'!E578+'DCA-Anexo I-C'!E579+'DCA-Anexo I-C'!E580+'DCA-Anexo I-C'!E581</t>
  </si>
  <si>
    <t>'DCA-Anexo I-C'!B582=+'DCA-Anexo I-C'!B583+'DCA-Anexo I-C'!B586+'DCA-Anexo I-C'!B587+'DCA-Anexo I-C'!B588+'DCA-Anexo I-C'!B589+'DCA-Anexo I-C'!B590+'DCA-Anexo I-C'!B594+'DCA-Anexo I-C'!B595+'DCA-Anexo I-C'!B596+'DCA-Anexo I-C'!B597+'DCA-Anexo I-C'!B600+'DCA-Anexo I-C'!B601+'DCA-Anexo I-C'!B602+'DCA-Anexo I-C'!B603+'DCA-Anexo I-C'!B604+'DCA-Anexo I-C'!B605+'DCA-Anexo I-C'!B606</t>
  </si>
  <si>
    <t>'DCA-Anexo I-C'!C582=+'DCA-Anexo I-C'!C583+'DCA-Anexo I-C'!C586+'DCA-Anexo I-C'!C587+'DCA-Anexo I-C'!C588+'DCA-Anexo I-C'!C589+'DCA-Anexo I-C'!C590+'DCA-Anexo I-C'!C594+'DCA-Anexo I-C'!C595+'DCA-Anexo I-C'!C596+'DCA-Anexo I-C'!C597+'DCA-Anexo I-C'!C600+'DCA-Anexo I-C'!C601+'DCA-Anexo I-C'!C602+'DCA-Anexo I-C'!C603+'DCA-Anexo I-C'!C604+'DCA-Anexo I-C'!C605+'DCA-Anexo I-C'!C606</t>
  </si>
  <si>
    <t>'DCA-Anexo I-C'!D582=+'DCA-Anexo I-C'!D583+'DCA-Anexo I-C'!D586+'DCA-Anexo I-C'!D587+'DCA-Anexo I-C'!D588+'DCA-Anexo I-C'!D589+'DCA-Anexo I-C'!D590+'DCA-Anexo I-C'!D594+'DCA-Anexo I-C'!D595+'DCA-Anexo I-C'!D596+'DCA-Anexo I-C'!D597+'DCA-Anexo I-C'!D600+'DCA-Anexo I-C'!D601+'DCA-Anexo I-C'!D602+'DCA-Anexo I-C'!D603+'DCA-Anexo I-C'!D604+'DCA-Anexo I-C'!D605+'DCA-Anexo I-C'!D606</t>
  </si>
  <si>
    <t>'DCA-Anexo I-C'!E582=+'DCA-Anexo I-C'!E583+'DCA-Anexo I-C'!E586+'DCA-Anexo I-C'!E587+'DCA-Anexo I-C'!E588+'DCA-Anexo I-C'!E589+'DCA-Anexo I-C'!E590+'DCA-Anexo I-C'!E594+'DCA-Anexo I-C'!E595+'DCA-Anexo I-C'!E596+'DCA-Anexo I-C'!E597+'DCA-Anexo I-C'!E600+'DCA-Anexo I-C'!E601+'DCA-Anexo I-C'!E602+'DCA-Anexo I-C'!E603+'DCA-Anexo I-C'!E604+'DCA-Anexo I-C'!E605+'DCA-Anexo I-C'!E606</t>
  </si>
  <si>
    <t>'DCA-Anexo I-C'!B597=+'DCA-Anexo I-C'!B598+'DCA-Anexo I-C'!B599</t>
  </si>
  <si>
    <t>'DCA-Anexo I-C'!C597=+'DCA-Anexo I-C'!C598+'DCA-Anexo I-C'!C599</t>
  </si>
  <si>
    <t>'DCA-Anexo I-C'!D597=+'DCA-Anexo I-C'!D598+'DCA-Anexo I-C'!D599</t>
  </si>
  <si>
    <t>'DCA-Anexo I-C'!E597=+'DCA-Anexo I-C'!E598+'DCA-Anexo I-C'!E599</t>
  </si>
  <si>
    <t>'DCA-Anexo I-C'!B607=+'DCA-Anexo I-C'!B608+'DCA-Anexo I-C'!B609+'DCA-Anexo I-C'!B610+'DCA-Anexo I-C'!B611+'DCA-Anexo I-C'!B613+'DCA-Anexo I-C'!B612</t>
  </si>
  <si>
    <t>'DCA-Anexo I-C'!C607=+'DCA-Anexo I-C'!C608+'DCA-Anexo I-C'!C609+'DCA-Anexo I-C'!C610+'DCA-Anexo I-C'!C611+'DCA-Anexo I-C'!C613+'DCA-Anexo I-C'!C612</t>
  </si>
  <si>
    <t>'DCA-Anexo I-C'!D607=+'DCA-Anexo I-C'!D608+'DCA-Anexo I-C'!D609+'DCA-Anexo I-C'!D610+'DCA-Anexo I-C'!D611+'DCA-Anexo I-C'!D613+'DCA-Anexo I-C'!D612</t>
  </si>
  <si>
    <t>'DCA-Anexo I-C'!E607=+'DCA-Anexo I-C'!E608+'DCA-Anexo I-C'!E609+'DCA-Anexo I-C'!E610+'DCA-Anexo I-C'!E611+'DCA-Anexo I-C'!E613+'DCA-Anexo I-C'!E612</t>
  </si>
  <si>
    <t>'DCA-Anexo I-C'!B614=+'DCA-Anexo I-C'!B615</t>
  </si>
  <si>
    <t>'DCA-Anexo I-C'!C614=+'DCA-Anexo I-C'!C615</t>
  </si>
  <si>
    <t>'DCA-Anexo I-C'!D614=+'DCA-Anexo I-C'!D615</t>
  </si>
  <si>
    <t>'DCA-Anexo I-C'!E614=+'DCA-Anexo I-C'!E615</t>
  </si>
  <si>
    <t>'DCA-Anexo I-C'!B615=+'DCA-Anexo I-C'!B616+'DCA-Anexo I-C'!B617+'DCA-Anexo I-C'!B620+'DCA-Anexo I-C'!B621+'DCA-Anexo I-C'!B622+'DCA-Anexo I-C'!B623+'DCA-Anexo I-C'!B624+'DCA-Anexo I-C'!B625+'DCA-Anexo I-C'!B628+'DCA-Anexo I-C'!B626+'DCA-Anexo I-C'!B627</t>
  </si>
  <si>
    <t>'DCA-Anexo I-C'!C615=+'DCA-Anexo I-C'!C616+'DCA-Anexo I-C'!C617+'DCA-Anexo I-C'!C620+'DCA-Anexo I-C'!C621+'DCA-Anexo I-C'!C622+'DCA-Anexo I-C'!C623+'DCA-Anexo I-C'!C624+'DCA-Anexo I-C'!C625+'DCA-Anexo I-C'!C628+'DCA-Anexo I-C'!C626+'DCA-Anexo I-C'!C627</t>
  </si>
  <si>
    <t>'DCA-Anexo I-C'!D615=+'DCA-Anexo I-C'!D616+'DCA-Anexo I-C'!D617+'DCA-Anexo I-C'!D620+'DCA-Anexo I-C'!D621+'DCA-Anexo I-C'!D622+'DCA-Anexo I-C'!D623+'DCA-Anexo I-C'!D624+'DCA-Anexo I-C'!D625+'DCA-Anexo I-C'!D628+'DCA-Anexo I-C'!D626+'DCA-Anexo I-C'!D627</t>
  </si>
  <si>
    <t>'DCA-Anexo I-C'!E615=+'DCA-Anexo I-C'!E616+'DCA-Anexo I-C'!E617+'DCA-Anexo I-C'!E620+'DCA-Anexo I-C'!E621+'DCA-Anexo I-C'!E622+'DCA-Anexo I-C'!E623+'DCA-Anexo I-C'!E624+'DCA-Anexo I-C'!E625+'DCA-Anexo I-C'!E628+'DCA-Anexo I-C'!E626+'DCA-Anexo I-C'!E627</t>
  </si>
  <si>
    <t>'DCA-Anexo I-C'!B629=+'DCA-Anexo I-C'!B630+'DCA-Anexo I-C'!B639+'DCA-Anexo I-C'!B644+'DCA-Anexo I-C'!B646+'DCA-Anexo I-C'!B657</t>
  </si>
  <si>
    <t>'DCA-Anexo I-C'!C629=+'DCA-Anexo I-C'!C630+'DCA-Anexo I-C'!C639+'DCA-Anexo I-C'!C644+'DCA-Anexo I-C'!C646+'DCA-Anexo I-C'!C657</t>
  </si>
  <si>
    <t>'DCA-Anexo I-C'!D629=+'DCA-Anexo I-C'!D630+'DCA-Anexo I-C'!D639+'DCA-Anexo I-C'!D644+'DCA-Anexo I-C'!D646+'DCA-Anexo I-C'!D657</t>
  </si>
  <si>
    <t>'DCA-Anexo I-C'!E629=+'DCA-Anexo I-C'!E630+'DCA-Anexo I-C'!E639+'DCA-Anexo I-C'!E644+'DCA-Anexo I-C'!E646+'DCA-Anexo I-C'!E657</t>
  </si>
  <si>
    <t>'DCA-Anexo I-C'!B630=+'DCA-Anexo I-C'!B631+'DCA-Anexo I-C'!B632+'DCA-Anexo I-C'!B637+'DCA-Anexo I-C'!B638</t>
  </si>
  <si>
    <t>'DCA-Anexo I-C'!C630=+'DCA-Anexo I-C'!C631+'DCA-Anexo I-C'!C632+'DCA-Anexo I-C'!C637+'DCA-Anexo I-C'!C638</t>
  </si>
  <si>
    <t>'DCA-Anexo I-C'!D630=+'DCA-Anexo I-C'!D631+'DCA-Anexo I-C'!D632+'DCA-Anexo I-C'!D637+'DCA-Anexo I-C'!D638</t>
  </si>
  <si>
    <t>'DCA-Anexo I-C'!E630=+'DCA-Anexo I-C'!E631+'DCA-Anexo I-C'!E632+'DCA-Anexo I-C'!E637+'DCA-Anexo I-C'!E638</t>
  </si>
  <si>
    <t>'DCA-Anexo I-C'!B632=+'DCA-Anexo I-C'!B633+'DCA-Anexo I-C'!B634+'DCA-Anexo I-C'!B635+'DCA-Anexo I-C'!B636</t>
  </si>
  <si>
    <t>'DCA-Anexo I-C'!C632=+'DCA-Anexo I-C'!C633+'DCA-Anexo I-C'!C634+'DCA-Anexo I-C'!C635+'DCA-Anexo I-C'!C636</t>
  </si>
  <si>
    <t>'DCA-Anexo I-C'!D632=+'DCA-Anexo I-C'!D633+'DCA-Anexo I-C'!D634+'DCA-Anexo I-C'!D635+'DCA-Anexo I-C'!D636</t>
  </si>
  <si>
    <t>'DCA-Anexo I-C'!E632=+'DCA-Anexo I-C'!E633+'DCA-Anexo I-C'!E634+'DCA-Anexo I-C'!E635+'DCA-Anexo I-C'!E636</t>
  </si>
  <si>
    <t>'DCA-Anexo I-C'!B639=+'DCA-Anexo I-C'!B640+'DCA-Anexo I-C'!B641+'DCA-Anexo I-C'!B642+'DCA-Anexo I-C'!B643</t>
  </si>
  <si>
    <t>'DCA-Anexo I-C'!C639=+'DCA-Anexo I-C'!C640+'DCA-Anexo I-C'!C641+'DCA-Anexo I-C'!C642+'DCA-Anexo I-C'!C643</t>
  </si>
  <si>
    <t>'DCA-Anexo I-C'!D639=+'DCA-Anexo I-C'!D640+'DCA-Anexo I-C'!D641+'DCA-Anexo I-C'!D642+'DCA-Anexo I-C'!D643</t>
  </si>
  <si>
    <t>'DCA-Anexo I-C'!E639=+'DCA-Anexo I-C'!E640+'DCA-Anexo I-C'!E641+'DCA-Anexo I-C'!E642+'DCA-Anexo I-C'!E643</t>
  </si>
  <si>
    <t>'DCA-Anexo I-C'!B644=+'DCA-Anexo I-C'!B645</t>
  </si>
  <si>
    <t>'DCA-Anexo I-C'!C644=+'DCA-Anexo I-C'!C645</t>
  </si>
  <si>
    <t>'DCA-Anexo I-C'!D644=+'DCA-Anexo I-C'!D645</t>
  </si>
  <si>
    <t>'DCA-Anexo I-C'!E644=+'DCA-Anexo I-C'!E645</t>
  </si>
  <si>
    <t>'DCA-Anexo I-C'!B646=+'DCA-Anexo I-C'!B647+'DCA-Anexo I-C'!B648+'DCA-Anexo I-C'!B649+'DCA-Anexo I-C'!B650+'DCA-Anexo I-C'!B651+'DCA-Anexo I-C'!B652+'DCA-Anexo I-C'!B653</t>
  </si>
  <si>
    <t>'DCA-Anexo I-C'!C646=+'DCA-Anexo I-C'!C647+'DCA-Anexo I-C'!C648+'DCA-Anexo I-C'!C649+'DCA-Anexo I-C'!C650+'DCA-Anexo I-C'!C651+'DCA-Anexo I-C'!C652+'DCA-Anexo I-C'!C653</t>
  </si>
  <si>
    <t>'DCA-Anexo I-C'!D646=+'DCA-Anexo I-C'!D647+'DCA-Anexo I-C'!D648+'DCA-Anexo I-C'!D649+'DCA-Anexo I-C'!D650+'DCA-Anexo I-C'!D651+'DCA-Anexo I-C'!D652+'DCA-Anexo I-C'!D653</t>
  </si>
  <si>
    <t>'DCA-Anexo I-C'!E646=+'DCA-Anexo I-C'!E647+'DCA-Anexo I-C'!E648+'DCA-Anexo I-C'!E649+'DCA-Anexo I-C'!E650+'DCA-Anexo I-C'!E651+'DCA-Anexo I-C'!E652+'DCA-Anexo I-C'!E653</t>
  </si>
  <si>
    <t>'DCA-Anexo I-C'!B653=+'DCA-Anexo I-C'!B654+'DCA-Anexo I-C'!B655+'DCA-Anexo I-C'!B656</t>
  </si>
  <si>
    <t>'DCA-Anexo I-C'!C653=+'DCA-Anexo I-C'!C654+'DCA-Anexo I-C'!C655+'DCA-Anexo I-C'!C656</t>
  </si>
  <si>
    <t>'DCA-Anexo I-C'!D653=+'DCA-Anexo I-C'!D654+'DCA-Anexo I-C'!D655+'DCA-Anexo I-C'!D656</t>
  </si>
  <si>
    <t>'DCA-Anexo I-C'!E653=+'DCA-Anexo I-C'!E654+'DCA-Anexo I-C'!E655+'DCA-Anexo I-C'!E656</t>
  </si>
  <si>
    <t>'DCA-Anexo I-C'!B657=+'DCA-Anexo I-C'!B658</t>
  </si>
  <si>
    <t>'DCA-Anexo I-C'!C657=+'DCA-Anexo I-C'!C658</t>
  </si>
  <si>
    <t>'DCA-Anexo I-C'!D657=+'DCA-Anexo I-C'!D658</t>
  </si>
  <si>
    <t>'DCA-Anexo I-C'!E657=+'DCA-Anexo I-C'!E658</t>
  </si>
  <si>
    <t>'DCA-Anexo I-C'!B659=+'DCA-Anexo I-C'!B660</t>
  </si>
  <si>
    <t>'DCA-Anexo I-C'!C659=+'DCA-Anexo I-C'!C660</t>
  </si>
  <si>
    <t>'DCA-Anexo I-C'!D659=+'DCA-Anexo I-C'!D660</t>
  </si>
  <si>
    <t>'DCA-Anexo I-C'!E659=+'DCA-Anexo I-C'!E660</t>
  </si>
  <si>
    <t>'DCA-Anexo I-C'!B660=+'DCA-Anexo I-C'!B661+'DCA-Anexo I-C'!B662+'DCA-Anexo I-C'!B663+'DCA-Anexo I-C'!B664+'DCA-Anexo I-C'!B665+'DCA-Anexo I-C'!B666+'DCA-Anexo I-C'!B667+'DCA-Anexo I-C'!B668+'DCA-Anexo I-C'!B671+'DCA-Anexo I-C'!B672+'DCA-Anexo I-C'!B673+'DCA-Anexo I-C'!B674+'DCA-Anexo I-C'!B677+'DCA-Anexo I-C'!B678+'DCA-Anexo I-C'!B679+'DCA-Anexo I-C'!B680+'DCA-Anexo I-C'!B686+'DCA-Anexo I-C'!B681+'DCA-Anexo I-C'!B682+'DCA-Anexo I-C'!B683+'DCA-Anexo I-C'!B684+'DCA-Anexo I-C'!B685</t>
  </si>
  <si>
    <t>'DCA-Anexo I-C'!C660=+'DCA-Anexo I-C'!C661+'DCA-Anexo I-C'!C662+'DCA-Anexo I-C'!C663+'DCA-Anexo I-C'!C664+'DCA-Anexo I-C'!C665+'DCA-Anexo I-C'!C666+'DCA-Anexo I-C'!C667+'DCA-Anexo I-C'!C668+'DCA-Anexo I-C'!C671+'DCA-Anexo I-C'!C672+'DCA-Anexo I-C'!C673+'DCA-Anexo I-C'!C674+'DCA-Anexo I-C'!C677+'DCA-Anexo I-C'!C678+'DCA-Anexo I-C'!C679+'DCA-Anexo I-C'!C680+'DCA-Anexo I-C'!C686+'DCA-Anexo I-C'!C681+'DCA-Anexo I-C'!C682+'DCA-Anexo I-C'!C683+'DCA-Anexo I-C'!C684+'DCA-Anexo I-C'!C685</t>
  </si>
  <si>
    <t>'DCA-Anexo I-C'!D660=+'DCA-Anexo I-C'!D661+'DCA-Anexo I-C'!D662+'DCA-Anexo I-C'!D663+'DCA-Anexo I-C'!D664+'DCA-Anexo I-C'!D665+'DCA-Anexo I-C'!D666+'DCA-Anexo I-C'!D667+'DCA-Anexo I-C'!D668+'DCA-Anexo I-C'!D671+'DCA-Anexo I-C'!D672+'DCA-Anexo I-C'!D673+'DCA-Anexo I-C'!D674+'DCA-Anexo I-C'!D677+'DCA-Anexo I-C'!D678+'DCA-Anexo I-C'!D679+'DCA-Anexo I-C'!D680+'DCA-Anexo I-C'!D686+'DCA-Anexo I-C'!D681+'DCA-Anexo I-C'!D682+'DCA-Anexo I-C'!D683+'DCA-Anexo I-C'!D684+'DCA-Anexo I-C'!D685</t>
  </si>
  <si>
    <t>'DCA-Anexo I-C'!E660=+'DCA-Anexo I-C'!E661+'DCA-Anexo I-C'!E662+'DCA-Anexo I-C'!E663+'DCA-Anexo I-C'!E664+'DCA-Anexo I-C'!E665+'DCA-Anexo I-C'!E666+'DCA-Anexo I-C'!E667+'DCA-Anexo I-C'!E668+'DCA-Anexo I-C'!E671+'DCA-Anexo I-C'!E672+'DCA-Anexo I-C'!E673+'DCA-Anexo I-C'!E674+'DCA-Anexo I-C'!E677+'DCA-Anexo I-C'!E678+'DCA-Anexo I-C'!E679+'DCA-Anexo I-C'!E680+'DCA-Anexo I-C'!E686+'DCA-Anexo I-C'!E681+'DCA-Anexo I-C'!E682+'DCA-Anexo I-C'!E683+'DCA-Anexo I-C'!E684+'DCA-Anexo I-C'!E685</t>
  </si>
  <si>
    <t>'DCA-Anexo I-C'!B668=+'DCA-Anexo I-C'!B669+'DCA-Anexo I-C'!B670</t>
  </si>
  <si>
    <t>'DCA-Anexo I-C'!C668=+'DCA-Anexo I-C'!C669+'DCA-Anexo I-C'!C670</t>
  </si>
  <si>
    <t>'DCA-Anexo I-C'!D668=+'DCA-Anexo I-C'!D669+'DCA-Anexo I-C'!D670</t>
  </si>
  <si>
    <t>'DCA-Anexo I-C'!E668=+'DCA-Anexo I-C'!E669+'DCA-Anexo I-C'!E670</t>
  </si>
  <si>
    <t>'DCA-Anexo I-C'!B674=+'DCA-Anexo I-C'!B675+'DCA-Anexo I-C'!B676</t>
  </si>
  <si>
    <t>'DCA-Anexo I-C'!C674=+'DCA-Anexo I-C'!C675+'DCA-Anexo I-C'!C676</t>
  </si>
  <si>
    <t>'DCA-Anexo I-C'!D674=+'DCA-Anexo I-C'!D675+'DCA-Anexo I-C'!D676</t>
  </si>
  <si>
    <t>'DCA-Anexo I-C'!E674=+'DCA-Anexo I-C'!E675+'DCA-Anexo I-C'!E676</t>
  </si>
  <si>
    <t>'DCA-Anexo I-C'!B686=+'DCA-Anexo I-C'!B687+'DCA-Anexo I-C'!B688+'DCA-Anexo I-C'!B689</t>
  </si>
  <si>
    <t>'DCA-Anexo I-C'!C686=+'DCA-Anexo I-C'!C687+'DCA-Anexo I-C'!C688+'DCA-Anexo I-C'!C689</t>
  </si>
  <si>
    <t>'DCA-Anexo I-C'!D686=+'DCA-Anexo I-C'!D687+'DCA-Anexo I-C'!D688+'DCA-Anexo I-C'!D689</t>
  </si>
  <si>
    <t>'DCA-Anexo I-C'!E686=+'DCA-Anexo I-C'!E687+'DCA-Anexo I-C'!E688+'DCA-Anexo I-C'!E689</t>
  </si>
  <si>
    <t>'DCA-Anexo I-C'!B583=+'DCA-Anexo I-C'!B584+'DCA-Anexo I-C'!B585</t>
  </si>
  <si>
    <t>'DCA-Anexo I-C'!C583=+'DCA-Anexo I-C'!C584+'DCA-Anexo I-C'!C585</t>
  </si>
  <si>
    <t>'DCA-Anexo I-C'!D583=+'DCA-Anexo I-C'!D584+'DCA-Anexo I-C'!D585</t>
  </si>
  <si>
    <t>'DCA-Anexo I-C'!E583=+'DCA-Anexo I-C'!E584+'DCA-Anexo I-C'!E585</t>
  </si>
  <si>
    <t>'DCA-Anexo I-C'!B590=+'DCA-Anexo I-C'!B592+'DCA-Anexo I-C'!B593+'DCA-Anexo I-C'!B591</t>
  </si>
  <si>
    <t>'DCA-Anexo I-C'!C590=+'DCA-Anexo I-C'!C592+'DCA-Anexo I-C'!C593+'DCA-Anexo I-C'!C591</t>
  </si>
  <si>
    <t>'DCA-Anexo I-C'!D590=+'DCA-Anexo I-C'!D592+'DCA-Anexo I-C'!D593+'DCA-Anexo I-C'!D591</t>
  </si>
  <si>
    <t>'DCA-Anexo I-C'!E590=+'DCA-Anexo I-C'!E592+'DCA-Anexo I-C'!E593+'DCA-Anexo I-C'!E591</t>
  </si>
  <si>
    <t>'DCA-Anexo I-C'!B191=+'DCA-Anexo I-C'!B192+'DCA-Anexo I-C'!B193</t>
  </si>
  <si>
    <t>'DCA-Anexo I-C'!C191=+'DCA-Anexo I-C'!C192+'DCA-Anexo I-C'!C193</t>
  </si>
  <si>
    <t>'DCA-Anexo I-C'!D191=+'DCA-Anexo I-C'!D192+'DCA-Anexo I-C'!D193</t>
  </si>
  <si>
    <t>'DCA-Anexo I-C'!E191=+'DCA-Anexo I-C'!E192+'DCA-Anexo I-C'!E193</t>
  </si>
  <si>
    <t>'DCA-Anexo I-C'!B220=+'DCA-Anexo I-C'!B221+'DCA-Anexo I-C'!B222</t>
  </si>
  <si>
    <t>'DCA-Anexo I-C'!C220=+'DCA-Anexo I-C'!C221+'DCA-Anexo I-C'!C222</t>
  </si>
  <si>
    <t>'DCA-Anexo I-C'!D220=+'DCA-Anexo I-C'!D221+'DCA-Anexo I-C'!D222</t>
  </si>
  <si>
    <t>'DCA-Anexo I-C'!E220=+'DCA-Anexo I-C'!E221+'DCA-Anexo I-C'!E222</t>
  </si>
  <si>
    <t>'DCA-Anexo I-C'!B297=+'DCA-Anexo I-C'!B298+'DCA-Anexo I-C'!B299+'DCA-Anexo I-C'!B300+'DCA-Anexo I-C'!B301</t>
  </si>
  <si>
    <t>'DCA-Anexo I-C'!C297=+'DCA-Anexo I-C'!C298+'DCA-Anexo I-C'!C299+'DCA-Anexo I-C'!C300+'DCA-Anexo I-C'!C301</t>
  </si>
  <si>
    <t>'DCA-Anexo I-C'!D297=+'DCA-Anexo I-C'!D298+'DCA-Anexo I-C'!D299+'DCA-Anexo I-C'!D300+'DCA-Anexo I-C'!D301</t>
  </si>
  <si>
    <t>'DCA-Anexo I-C'!E297=+'DCA-Anexo I-C'!E298+'DCA-Anexo I-C'!E299+'DCA-Anexo I-C'!E300+'DCA-Anexo I-C'!E301</t>
  </si>
  <si>
    <t>'DCA-Anexo I-C'!B302=+'DCA-Anexo I-C'!B303+'DCA-Anexo I-C'!B304+'DCA-Anexo I-C'!B305</t>
  </si>
  <si>
    <t>'DCA-Anexo I-C'!C302=+'DCA-Anexo I-C'!C303+'DCA-Anexo I-C'!C304+'DCA-Anexo I-C'!C305</t>
  </si>
  <si>
    <t>'DCA-Anexo I-C'!D302=+'DCA-Anexo I-C'!D303+'DCA-Anexo I-C'!D304+'DCA-Anexo I-C'!D305</t>
  </si>
  <si>
    <t>'DCA-Anexo I-C'!E302=+'DCA-Anexo I-C'!E303+'DCA-Anexo I-C'!E304+'DCA-Anexo I-C'!E305</t>
  </si>
  <si>
    <t>'DCA-Anexo I-C'!B617=+'DCA-Anexo I-C'!B618+'DCA-Anexo I-C'!B619</t>
  </si>
  <si>
    <t>'DCA-Anexo I-C'!C617=+'DCA-Anexo I-C'!C618+'DCA-Anexo I-C'!C619</t>
  </si>
  <si>
    <t>'DCA-Anexo I-C'!D617=+'DCA-Anexo I-C'!D618+'DCA-Anexo I-C'!D619</t>
  </si>
  <si>
    <t>'DCA-Anexo I-C'!E617=+'DCA-Anexo I-C'!E618+'DCA-Anexo I-C'!E619</t>
  </si>
  <si>
    <t>'DCA-Anexo I-C'!B690=+'DCA-Anexo I-C'!B691+'DCA-Anexo I-C'!B721+'DCA-Anexo I-C'!B732+'DCA-Anexo I-C'!B742+'DCA-Anexo I-C'!B830</t>
  </si>
  <si>
    <t>'DCA-Anexo I-C'!C690=+'DCA-Anexo I-C'!C691+'DCA-Anexo I-C'!C721+'DCA-Anexo I-C'!C732+'DCA-Anexo I-C'!C742+'DCA-Anexo I-C'!C830</t>
  </si>
  <si>
    <t>'DCA-Anexo I-C'!D690=+'DCA-Anexo I-C'!D691+'DCA-Anexo I-C'!D721+'DCA-Anexo I-C'!D732+'DCA-Anexo I-C'!D742+'DCA-Anexo I-C'!D830</t>
  </si>
  <si>
    <t>'DCA-Anexo I-C'!E690=+'DCA-Anexo I-C'!E691+'DCA-Anexo I-C'!E721+'DCA-Anexo I-C'!E732+'DCA-Anexo I-C'!E742+'DCA-Anexo I-C'!E830</t>
  </si>
  <si>
    <t>'DCA-Anexo I-C'!B691=+'DCA-Anexo I-C'!B692+'DCA-Anexo I-C'!B708</t>
  </si>
  <si>
    <t>'DCA-Anexo I-C'!C691=+'DCA-Anexo I-C'!C692+'DCA-Anexo I-C'!C708</t>
  </si>
  <si>
    <t>'DCA-Anexo I-C'!D691=+'DCA-Anexo I-C'!D692+'DCA-Anexo I-C'!D708</t>
  </si>
  <si>
    <t>'DCA-Anexo I-C'!E691=+'DCA-Anexo I-C'!E692+'DCA-Anexo I-C'!E708</t>
  </si>
  <si>
    <t>'DCA-Anexo I-C'!B692=+'DCA-Anexo I-C'!B693+'DCA-Anexo I-C'!B697+'DCA-Anexo I-C'!B706+'DCA-Anexo I-C'!B707</t>
  </si>
  <si>
    <t>'DCA-Anexo I-C'!C692=+'DCA-Anexo I-C'!C693+'DCA-Anexo I-C'!C697+'DCA-Anexo I-C'!C706+'DCA-Anexo I-C'!C707</t>
  </si>
  <si>
    <t>'DCA-Anexo I-C'!D692=+'DCA-Anexo I-C'!D693+'DCA-Anexo I-C'!D697+'DCA-Anexo I-C'!D706+'DCA-Anexo I-C'!D707</t>
  </si>
  <si>
    <t>'DCA-Anexo I-C'!E692=+'DCA-Anexo I-C'!E693+'DCA-Anexo I-C'!E697+'DCA-Anexo I-C'!E706+'DCA-Anexo I-C'!E707</t>
  </si>
  <si>
    <t>'DCA-Anexo I-C'!B693=+'DCA-Anexo I-C'!B694+'DCA-Anexo I-C'!B695+'DCA-Anexo I-C'!B696</t>
  </si>
  <si>
    <t>'DCA-Anexo I-C'!C693=+'DCA-Anexo I-C'!C694+'DCA-Anexo I-C'!C695+'DCA-Anexo I-C'!C696</t>
  </si>
  <si>
    <t>'DCA-Anexo I-C'!D693=+'DCA-Anexo I-C'!D694+'DCA-Anexo I-C'!D695+'DCA-Anexo I-C'!D696</t>
  </si>
  <si>
    <t>'DCA-Anexo I-C'!E693=+'DCA-Anexo I-C'!E694+'DCA-Anexo I-C'!E695+'DCA-Anexo I-C'!E696</t>
  </si>
  <si>
    <t>'DCA-Anexo I-C'!B697=+'DCA-Anexo I-C'!B698+'DCA-Anexo I-C'!B699+'DCA-Anexo I-C'!B700+'DCA-Anexo I-C'!B701+'DCA-Anexo I-C'!B702+'DCA-Anexo I-C'!B703+'DCA-Anexo I-C'!B704+'DCA-Anexo I-C'!B705</t>
  </si>
  <si>
    <t>'DCA-Anexo I-C'!C697=+'DCA-Anexo I-C'!C698+'DCA-Anexo I-C'!C699+'DCA-Anexo I-C'!C700+'DCA-Anexo I-C'!C701+'DCA-Anexo I-C'!C702+'DCA-Anexo I-C'!C703+'DCA-Anexo I-C'!C704+'DCA-Anexo I-C'!C705</t>
  </si>
  <si>
    <t>'DCA-Anexo I-C'!D697=+'DCA-Anexo I-C'!D698+'DCA-Anexo I-C'!D699+'DCA-Anexo I-C'!D700+'DCA-Anexo I-C'!D701+'DCA-Anexo I-C'!D702+'DCA-Anexo I-C'!D703+'DCA-Anexo I-C'!D704+'DCA-Anexo I-C'!D705</t>
  </si>
  <si>
    <t>'DCA-Anexo I-C'!E697=+'DCA-Anexo I-C'!E698+'DCA-Anexo I-C'!E699+'DCA-Anexo I-C'!E700+'DCA-Anexo I-C'!E701+'DCA-Anexo I-C'!E702+'DCA-Anexo I-C'!E703+'DCA-Anexo I-C'!E704+'DCA-Anexo I-C'!E705</t>
  </si>
  <si>
    <t>'DCA-Anexo I-C'!B708=+'DCA-Anexo I-C'!B709+'DCA-Anexo I-C'!B712+'DCA-Anexo I-C'!B720</t>
  </si>
  <si>
    <t>'DCA-Anexo I-C'!C708=+'DCA-Anexo I-C'!C709+'DCA-Anexo I-C'!C712+'DCA-Anexo I-C'!C720</t>
  </si>
  <si>
    <t>'DCA-Anexo I-C'!D708=+'DCA-Anexo I-C'!D709+'DCA-Anexo I-C'!D712+'DCA-Anexo I-C'!D720</t>
  </si>
  <si>
    <t>'DCA-Anexo I-C'!E708=+'DCA-Anexo I-C'!E709+'DCA-Anexo I-C'!E712+'DCA-Anexo I-C'!E720</t>
  </si>
  <si>
    <t>'DCA-Anexo I-C'!B709=+'DCA-Anexo I-C'!B710+'DCA-Anexo I-C'!B711</t>
  </si>
  <si>
    <t>'DCA-Anexo I-C'!C709=+'DCA-Anexo I-C'!C710+'DCA-Anexo I-C'!C711</t>
  </si>
  <si>
    <t>'DCA-Anexo I-C'!D709=+'DCA-Anexo I-C'!D710+'DCA-Anexo I-C'!D711</t>
  </si>
  <si>
    <t>'DCA-Anexo I-C'!E709=+'DCA-Anexo I-C'!E710+'DCA-Anexo I-C'!E711</t>
  </si>
  <si>
    <t>'DCA-Anexo I-C'!B712=+'DCA-Anexo I-C'!B713+'DCA-Anexo I-C'!B714+'DCA-Anexo I-C'!B715+'DCA-Anexo I-C'!B716+'DCA-Anexo I-C'!B717+'DCA-Anexo I-C'!B718+'DCA-Anexo I-C'!B719</t>
  </si>
  <si>
    <t>'DCA-Anexo I-C'!C712=+'DCA-Anexo I-C'!C713+'DCA-Anexo I-C'!C714+'DCA-Anexo I-C'!C715+'DCA-Anexo I-C'!C716+'DCA-Anexo I-C'!C717+'DCA-Anexo I-C'!C718+'DCA-Anexo I-C'!C719</t>
  </si>
  <si>
    <t>'DCA-Anexo I-C'!D712=+'DCA-Anexo I-C'!D713+'DCA-Anexo I-C'!D714+'DCA-Anexo I-C'!D715+'DCA-Anexo I-C'!D716+'DCA-Anexo I-C'!D717+'DCA-Anexo I-C'!D718+'DCA-Anexo I-C'!D719</t>
  </si>
  <si>
    <t>'DCA-Anexo I-C'!E712=+'DCA-Anexo I-C'!E713+'DCA-Anexo I-C'!E714+'DCA-Anexo I-C'!E715+'DCA-Anexo I-C'!E716+'DCA-Anexo I-C'!E717+'DCA-Anexo I-C'!E718+'DCA-Anexo I-C'!E719</t>
  </si>
  <si>
    <t>'DCA-Anexo I-C'!B721=+'DCA-Anexo I-C'!B722+'DCA-Anexo I-C'!B730+'DCA-Anexo I-C'!B731</t>
  </si>
  <si>
    <t>'DCA-Anexo I-C'!C721=+'DCA-Anexo I-C'!C722+'DCA-Anexo I-C'!C730+'DCA-Anexo I-C'!C731</t>
  </si>
  <si>
    <t>'DCA-Anexo I-C'!D721=+'DCA-Anexo I-C'!D722+'DCA-Anexo I-C'!D730+'DCA-Anexo I-C'!D731</t>
  </si>
  <si>
    <t>'DCA-Anexo I-C'!E721=+'DCA-Anexo I-C'!E722+'DCA-Anexo I-C'!E730+'DCA-Anexo I-C'!E731</t>
  </si>
  <si>
    <t>'DCA-Anexo I-C'!B722=+'DCA-Anexo I-C'!B723+'DCA-Anexo I-C'!B724+'DCA-Anexo I-C'!B729</t>
  </si>
  <si>
    <t>'DCA-Anexo I-C'!C722=+'DCA-Anexo I-C'!C723+'DCA-Anexo I-C'!C724+'DCA-Anexo I-C'!C729</t>
  </si>
  <si>
    <t>'DCA-Anexo I-C'!D722=+'DCA-Anexo I-C'!D723+'DCA-Anexo I-C'!D724+'DCA-Anexo I-C'!D729</t>
  </si>
  <si>
    <t>'DCA-Anexo I-C'!E722=+'DCA-Anexo I-C'!E723+'DCA-Anexo I-C'!E724+'DCA-Anexo I-C'!E729</t>
  </si>
  <si>
    <t>'DCA-Anexo I-C'!B724=+'DCA-Anexo I-C'!B725+'DCA-Anexo I-C'!B726+'DCA-Anexo I-C'!B727+'DCA-Anexo I-C'!B728</t>
  </si>
  <si>
    <t>'DCA-Anexo I-C'!C724=+'DCA-Anexo I-C'!C725+'DCA-Anexo I-C'!C726+'DCA-Anexo I-C'!C727+'DCA-Anexo I-C'!C728</t>
  </si>
  <si>
    <t>'DCA-Anexo I-C'!D724=+'DCA-Anexo I-C'!D725+'DCA-Anexo I-C'!D726+'DCA-Anexo I-C'!D727+'DCA-Anexo I-C'!D728</t>
  </si>
  <si>
    <t>'DCA-Anexo I-C'!E724=+'DCA-Anexo I-C'!E725+'DCA-Anexo I-C'!E726+'DCA-Anexo I-C'!E727+'DCA-Anexo I-C'!E728</t>
  </si>
  <si>
    <t>'DCA-Anexo I-C'!B732=+'DCA-Anexo I-C'!B733</t>
  </si>
  <si>
    <t>'DCA-Anexo I-C'!C732=+'DCA-Anexo I-C'!C733</t>
  </si>
  <si>
    <t>'DCA-Anexo I-C'!D732=+'DCA-Anexo I-C'!D733</t>
  </si>
  <si>
    <t>'DCA-Anexo I-C'!E732=+'DCA-Anexo I-C'!E733</t>
  </si>
  <si>
    <t>'DCA-Anexo I-C'!B733=+'DCA-Anexo I-C'!B734</t>
  </si>
  <si>
    <t>'DCA-Anexo I-C'!C733=+'DCA-Anexo I-C'!C734</t>
  </si>
  <si>
    <t>'DCA-Anexo I-C'!D733=+'DCA-Anexo I-C'!D734</t>
  </si>
  <si>
    <t>'DCA-Anexo I-C'!E733=+'DCA-Anexo I-C'!E734</t>
  </si>
  <si>
    <t>'DCA-Anexo I-C'!B734=+'DCA-Anexo I-C'!B735+'DCA-Anexo I-C'!B736+'DCA-Anexo I-C'!B737+'DCA-Anexo I-C'!B738+'DCA-Anexo I-C'!B739+'DCA-Anexo I-C'!B740+'DCA-Anexo I-C'!B741</t>
  </si>
  <si>
    <t>'DCA-Anexo I-C'!C734=+'DCA-Anexo I-C'!C735+'DCA-Anexo I-C'!C736+'DCA-Anexo I-C'!C737+'DCA-Anexo I-C'!C738+'DCA-Anexo I-C'!C739+'DCA-Anexo I-C'!C740+'DCA-Anexo I-C'!C741</t>
  </si>
  <si>
    <t>'DCA-Anexo I-C'!D734=+'DCA-Anexo I-C'!D735+'DCA-Anexo I-C'!D736+'DCA-Anexo I-C'!D737+'DCA-Anexo I-C'!D738+'DCA-Anexo I-C'!D739+'DCA-Anexo I-C'!D740+'DCA-Anexo I-C'!D741</t>
  </si>
  <si>
    <t>'DCA-Anexo I-C'!E734=+'DCA-Anexo I-C'!E735+'DCA-Anexo I-C'!E736+'DCA-Anexo I-C'!E737+'DCA-Anexo I-C'!E738+'DCA-Anexo I-C'!E739+'DCA-Anexo I-C'!E740+'DCA-Anexo I-C'!E741</t>
  </si>
  <si>
    <t>'DCA-Anexo I-C'!B742=+'DCA-Anexo I-C'!B743+'DCA-Anexo I-C'!B781+'DCA-Anexo I-C'!B796+'DCA-Anexo I-C'!B808+'DCA-Anexo I-C'!B814+'DCA-Anexo I-C'!B816+'DCA-Anexo I-C'!B822</t>
  </si>
  <si>
    <t>'DCA-Anexo I-C'!C742=+'DCA-Anexo I-C'!C743+'DCA-Anexo I-C'!C781+'DCA-Anexo I-C'!C796+'DCA-Anexo I-C'!C808+'DCA-Anexo I-C'!C814+'DCA-Anexo I-C'!C816+'DCA-Anexo I-C'!C822</t>
  </si>
  <si>
    <t>'DCA-Anexo I-C'!D742=+'DCA-Anexo I-C'!D743+'DCA-Anexo I-C'!D781+'DCA-Anexo I-C'!D796+'DCA-Anexo I-C'!D808+'DCA-Anexo I-C'!D814+'DCA-Anexo I-C'!D816+'DCA-Anexo I-C'!D822</t>
  </si>
  <si>
    <t>'DCA-Anexo I-C'!E742=+'DCA-Anexo I-C'!E743+'DCA-Anexo I-C'!E781+'DCA-Anexo I-C'!E796+'DCA-Anexo I-C'!E808+'DCA-Anexo I-C'!E814+'DCA-Anexo I-C'!E816+'DCA-Anexo I-C'!E822</t>
  </si>
  <si>
    <t>'DCA-Anexo I-C'!B743=+'DCA-Anexo I-C'!B744+'DCA-Anexo I-C'!B760+'DCA-Anexo I-C'!B765+'DCA-Anexo I-C'!B767+'DCA-Anexo I-C'!B774</t>
  </si>
  <si>
    <t>'DCA-Anexo I-C'!C743=+'DCA-Anexo I-C'!C744+'DCA-Anexo I-C'!C760+'DCA-Anexo I-C'!C765+'DCA-Anexo I-C'!C767+'DCA-Anexo I-C'!C774</t>
  </si>
  <si>
    <t>'DCA-Anexo I-C'!D743=+'DCA-Anexo I-C'!D744+'DCA-Anexo I-C'!D760+'DCA-Anexo I-C'!D765+'DCA-Anexo I-C'!D767+'DCA-Anexo I-C'!D774</t>
  </si>
  <si>
    <t>'DCA-Anexo I-C'!E743=+'DCA-Anexo I-C'!E744+'DCA-Anexo I-C'!E760+'DCA-Anexo I-C'!E765+'DCA-Anexo I-C'!E767+'DCA-Anexo I-C'!E774</t>
  </si>
  <si>
    <t>'DCA-Anexo I-C'!B744=+'DCA-Anexo I-C'!B745+'DCA-Anexo I-C'!B752+'DCA-Anexo I-C'!B759</t>
  </si>
  <si>
    <t>'DCA-Anexo I-C'!C744=+'DCA-Anexo I-C'!C745+'DCA-Anexo I-C'!C752+'DCA-Anexo I-C'!C759</t>
  </si>
  <si>
    <t>'DCA-Anexo I-C'!D744=+'DCA-Anexo I-C'!D745+'DCA-Anexo I-C'!D752+'DCA-Anexo I-C'!D759</t>
  </si>
  <si>
    <t>'DCA-Anexo I-C'!E744=+'DCA-Anexo I-C'!E745+'DCA-Anexo I-C'!E752+'DCA-Anexo I-C'!E759</t>
  </si>
  <si>
    <t>'DCA-Anexo I-C'!B745=+'DCA-Anexo I-C'!B746+'DCA-Anexo I-C'!B747+'DCA-Anexo I-C'!B748+'DCA-Anexo I-C'!B749+'DCA-Anexo I-C'!B750+'DCA-Anexo I-C'!B751</t>
  </si>
  <si>
    <t>'DCA-Anexo I-C'!C745=+'DCA-Anexo I-C'!C746+'DCA-Anexo I-C'!C747+'DCA-Anexo I-C'!C748+'DCA-Anexo I-C'!C749+'DCA-Anexo I-C'!C750+'DCA-Anexo I-C'!C751</t>
  </si>
  <si>
    <t>'DCA-Anexo I-C'!D745=+'DCA-Anexo I-C'!D746+'DCA-Anexo I-C'!D747+'DCA-Anexo I-C'!D748+'DCA-Anexo I-C'!D749+'DCA-Anexo I-C'!D750+'DCA-Anexo I-C'!D751</t>
  </si>
  <si>
    <t>'DCA-Anexo I-C'!E745=+'DCA-Anexo I-C'!E746+'DCA-Anexo I-C'!E747+'DCA-Anexo I-C'!E748+'DCA-Anexo I-C'!E749+'DCA-Anexo I-C'!E750+'DCA-Anexo I-C'!E751</t>
  </si>
  <si>
    <t>'DCA-Anexo I-C'!B752=+'DCA-Anexo I-C'!B753+'DCA-Anexo I-C'!B754+'DCA-Anexo I-C'!B755+'DCA-Anexo I-C'!B756+'DCA-Anexo I-C'!B757+'DCA-Anexo I-C'!B758</t>
  </si>
  <si>
    <t>'DCA-Anexo I-C'!C752=+'DCA-Anexo I-C'!C753+'DCA-Anexo I-C'!C754+'DCA-Anexo I-C'!C755+'DCA-Anexo I-C'!C756+'DCA-Anexo I-C'!C757+'DCA-Anexo I-C'!C758</t>
  </si>
  <si>
    <t>'DCA-Anexo I-C'!D752=+'DCA-Anexo I-C'!D753+'DCA-Anexo I-C'!D754+'DCA-Anexo I-C'!D755+'DCA-Anexo I-C'!D756+'DCA-Anexo I-C'!D757+'DCA-Anexo I-C'!D758</t>
  </si>
  <si>
    <t>'DCA-Anexo I-C'!E752=+'DCA-Anexo I-C'!E753+'DCA-Anexo I-C'!E754+'DCA-Anexo I-C'!E755+'DCA-Anexo I-C'!E756+'DCA-Anexo I-C'!E757+'DCA-Anexo I-C'!E758</t>
  </si>
  <si>
    <t>'DCA-Anexo I-C'!B760=+'DCA-Anexo I-C'!B761</t>
  </si>
  <si>
    <t>'DCA-Anexo I-C'!C760=+'DCA-Anexo I-C'!C761</t>
  </si>
  <si>
    <t>'DCA-Anexo I-C'!D760=+'DCA-Anexo I-C'!D761</t>
  </si>
  <si>
    <t>'DCA-Anexo I-C'!E760=+'DCA-Anexo I-C'!E761</t>
  </si>
  <si>
    <t>'DCA-Anexo I-C'!B761=+'DCA-Anexo I-C'!B762+'DCA-Anexo I-C'!B763+'DCA-Anexo I-C'!B764</t>
  </si>
  <si>
    <t>'DCA-Anexo I-C'!C761=+'DCA-Anexo I-C'!C762+'DCA-Anexo I-C'!C763+'DCA-Anexo I-C'!C764</t>
  </si>
  <si>
    <t>'DCA-Anexo I-C'!D761=+'DCA-Anexo I-C'!D762+'DCA-Anexo I-C'!D763+'DCA-Anexo I-C'!D764</t>
  </si>
  <si>
    <t>'DCA-Anexo I-C'!E761=+'DCA-Anexo I-C'!E762+'DCA-Anexo I-C'!E763+'DCA-Anexo I-C'!E764</t>
  </si>
  <si>
    <t>'DCA-Anexo I-C'!B765=+'DCA-Anexo I-C'!B766</t>
  </si>
  <si>
    <t>'DCA-Anexo I-C'!C765=+'DCA-Anexo I-C'!C766</t>
  </si>
  <si>
    <t>'DCA-Anexo I-C'!D765=+'DCA-Anexo I-C'!D766</t>
  </si>
  <si>
    <t>'DCA-Anexo I-C'!E765=+'DCA-Anexo I-C'!E766</t>
  </si>
  <si>
    <t>'DCA-Anexo I-C'!B767=+'DCA-Anexo I-C'!B768+'DCA-Anexo I-C'!B769+'DCA-Anexo I-C'!B770+'DCA-Anexo I-C'!B771+'DCA-Anexo I-C'!B772+'DCA-Anexo I-C'!B773</t>
  </si>
  <si>
    <t>'DCA-Anexo I-C'!C767=+'DCA-Anexo I-C'!C768+'DCA-Anexo I-C'!C769+'DCA-Anexo I-C'!C770+'DCA-Anexo I-C'!C771+'DCA-Anexo I-C'!C772+'DCA-Anexo I-C'!C773</t>
  </si>
  <si>
    <t>'DCA-Anexo I-C'!D767=+'DCA-Anexo I-C'!D768+'DCA-Anexo I-C'!D769+'DCA-Anexo I-C'!D770+'DCA-Anexo I-C'!D771+'DCA-Anexo I-C'!D772+'DCA-Anexo I-C'!D773</t>
  </si>
  <si>
    <t>'DCA-Anexo I-C'!E767=+'DCA-Anexo I-C'!E768+'DCA-Anexo I-C'!E769+'DCA-Anexo I-C'!E770+'DCA-Anexo I-C'!E771+'DCA-Anexo I-C'!E772+'DCA-Anexo I-C'!E773</t>
  </si>
  <si>
    <t>'DCA-Anexo I-C'!B774=+'DCA-Anexo I-C'!B775+'DCA-Anexo I-C'!B776+'DCA-Anexo I-C'!B777+'DCA-Anexo I-C'!B778+'DCA-Anexo I-C'!B779+'DCA-Anexo I-C'!B780</t>
  </si>
  <si>
    <t>'DCA-Anexo I-C'!C774=+'DCA-Anexo I-C'!C775+'DCA-Anexo I-C'!C776+'DCA-Anexo I-C'!C777+'DCA-Anexo I-C'!C778+'DCA-Anexo I-C'!C779+'DCA-Anexo I-C'!C780</t>
  </si>
  <si>
    <t>'DCA-Anexo I-C'!D774=+'DCA-Anexo I-C'!D775+'DCA-Anexo I-C'!D776+'DCA-Anexo I-C'!D777+'DCA-Anexo I-C'!D778+'DCA-Anexo I-C'!D779+'DCA-Anexo I-C'!D780</t>
  </si>
  <si>
    <t>'DCA-Anexo I-C'!E774=+'DCA-Anexo I-C'!E775+'DCA-Anexo I-C'!E776+'DCA-Anexo I-C'!E777+'DCA-Anexo I-C'!E778+'DCA-Anexo I-C'!E779+'DCA-Anexo I-C'!E780</t>
  </si>
  <si>
    <t>'DCA-Anexo I-C'!B781=+'DCA-Anexo I-C'!B782+'DCA-Anexo I-C'!B784+'DCA-Anexo I-C'!B792</t>
  </si>
  <si>
    <t>'DCA-Anexo I-C'!C781=+'DCA-Anexo I-C'!C782+'DCA-Anexo I-C'!C784+'DCA-Anexo I-C'!C792</t>
  </si>
  <si>
    <t>'DCA-Anexo I-C'!D781=+'DCA-Anexo I-C'!D782+'DCA-Anexo I-C'!D784+'DCA-Anexo I-C'!D792</t>
  </si>
  <si>
    <t>'DCA-Anexo I-C'!E781=+'DCA-Anexo I-C'!E782+'DCA-Anexo I-C'!E784+'DCA-Anexo I-C'!E792</t>
  </si>
  <si>
    <t>'DCA-Anexo I-C'!B782=+'DCA-Anexo I-C'!B783</t>
  </si>
  <si>
    <t>'DCA-Anexo I-C'!C782=+'DCA-Anexo I-C'!C783</t>
  </si>
  <si>
    <t>'DCA-Anexo I-C'!D782=+'DCA-Anexo I-C'!D783</t>
  </si>
  <si>
    <t>'DCA-Anexo I-C'!E782=+'DCA-Anexo I-C'!E783</t>
  </si>
  <si>
    <t>'DCA-Anexo I-C'!B784=+'DCA-Anexo I-C'!B785+'DCA-Anexo I-C'!B786+'DCA-Anexo I-C'!B787+'DCA-Anexo I-C'!B788+'DCA-Anexo I-C'!B789+'DCA-Anexo I-C'!B790+'DCA-Anexo I-C'!B791</t>
  </si>
  <si>
    <t>'DCA-Anexo I-C'!C784=+'DCA-Anexo I-C'!C785+'DCA-Anexo I-C'!C786+'DCA-Anexo I-C'!C787+'DCA-Anexo I-C'!C788+'DCA-Anexo I-C'!C789+'DCA-Anexo I-C'!C790+'DCA-Anexo I-C'!C791</t>
  </si>
  <si>
    <t>'DCA-Anexo I-C'!D784=+'DCA-Anexo I-C'!D785+'DCA-Anexo I-C'!D786+'DCA-Anexo I-C'!D787+'DCA-Anexo I-C'!D788+'DCA-Anexo I-C'!D789+'DCA-Anexo I-C'!D790+'DCA-Anexo I-C'!D791</t>
  </si>
  <si>
    <t>'DCA-Anexo I-C'!E784=+'DCA-Anexo I-C'!E785+'DCA-Anexo I-C'!E786+'DCA-Anexo I-C'!E787+'DCA-Anexo I-C'!E788+'DCA-Anexo I-C'!E789+'DCA-Anexo I-C'!E790+'DCA-Anexo I-C'!E791</t>
  </si>
  <si>
    <t>'DCA-Anexo I-C'!B792=+'DCA-Anexo I-C'!B793+'DCA-Anexo I-C'!B794+'DCA-Anexo I-C'!B795</t>
  </si>
  <si>
    <t>'DCA-Anexo I-C'!C792=+'DCA-Anexo I-C'!C793+'DCA-Anexo I-C'!C794+'DCA-Anexo I-C'!C795</t>
  </si>
  <si>
    <t>'DCA-Anexo I-C'!D792=+'DCA-Anexo I-C'!D793+'DCA-Anexo I-C'!D794+'DCA-Anexo I-C'!D795</t>
  </si>
  <si>
    <t>'DCA-Anexo I-C'!E792=+'DCA-Anexo I-C'!E793+'DCA-Anexo I-C'!E794+'DCA-Anexo I-C'!E795</t>
  </si>
  <si>
    <t>'DCA-Anexo I-C'!B796=+'DCA-Anexo I-C'!B797+'DCA-Anexo I-C'!B799+'DCA-Anexo I-C'!B805</t>
  </si>
  <si>
    <t>'DCA-Anexo I-C'!C796=+'DCA-Anexo I-C'!C797+'DCA-Anexo I-C'!C799+'DCA-Anexo I-C'!C805</t>
  </si>
  <si>
    <t>'DCA-Anexo I-C'!D796=+'DCA-Anexo I-C'!D797+'DCA-Anexo I-C'!D799+'DCA-Anexo I-C'!D805</t>
  </si>
  <si>
    <t>'DCA-Anexo I-C'!E796=+'DCA-Anexo I-C'!E797+'DCA-Anexo I-C'!E799+'DCA-Anexo I-C'!E805</t>
  </si>
  <si>
    <t>'DCA-Anexo I-C'!B797=+'DCA-Anexo I-C'!B798</t>
  </si>
  <si>
    <t>'DCA-Anexo I-C'!C797=+'DCA-Anexo I-C'!C798</t>
  </si>
  <si>
    <t>'DCA-Anexo I-C'!D797=+'DCA-Anexo I-C'!D798</t>
  </si>
  <si>
    <t>'DCA-Anexo I-C'!E797=+'DCA-Anexo I-C'!E798</t>
  </si>
  <si>
    <t>'DCA-Anexo I-C'!B799=+'DCA-Anexo I-C'!B800+'DCA-Anexo I-C'!B801+'DCA-Anexo I-C'!B802+'DCA-Anexo I-C'!B803+'DCA-Anexo I-C'!B804</t>
  </si>
  <si>
    <t>'DCA-Anexo I-C'!C799=+'DCA-Anexo I-C'!C800+'DCA-Anexo I-C'!C801+'DCA-Anexo I-C'!C802+'DCA-Anexo I-C'!C803+'DCA-Anexo I-C'!C804</t>
  </si>
  <si>
    <t>'DCA-Anexo I-C'!D799=+'DCA-Anexo I-C'!D800+'DCA-Anexo I-C'!D801+'DCA-Anexo I-C'!D802+'DCA-Anexo I-C'!D803+'DCA-Anexo I-C'!D804</t>
  </si>
  <si>
    <t>'DCA-Anexo I-C'!E799=+'DCA-Anexo I-C'!E800+'DCA-Anexo I-C'!E801+'DCA-Anexo I-C'!E802+'DCA-Anexo I-C'!E803+'DCA-Anexo I-C'!E804</t>
  </si>
  <si>
    <t>'DCA-Anexo I-C'!B805=+'DCA-Anexo I-C'!B806+'DCA-Anexo I-C'!B807</t>
  </si>
  <si>
    <t>'DCA-Anexo I-C'!C805=+'DCA-Anexo I-C'!C806+'DCA-Anexo I-C'!C807</t>
  </si>
  <si>
    <t>'DCA-Anexo I-C'!D805=+'DCA-Anexo I-C'!D806+'DCA-Anexo I-C'!D807</t>
  </si>
  <si>
    <t>'DCA-Anexo I-C'!E805=+'DCA-Anexo I-C'!E806+'DCA-Anexo I-C'!E807</t>
  </si>
  <si>
    <t>'DCA-Anexo I-C'!B808=+'DCA-Anexo I-C'!B809</t>
  </si>
  <si>
    <t>'DCA-Anexo I-C'!C808=+'DCA-Anexo I-C'!C809</t>
  </si>
  <si>
    <t>'DCA-Anexo I-C'!D808=+'DCA-Anexo I-C'!D809</t>
  </si>
  <si>
    <t>'DCA-Anexo I-C'!E808=+'DCA-Anexo I-C'!E809</t>
  </si>
  <si>
    <t>'DCA-Anexo I-C'!B809=+'DCA-Anexo I-C'!B810+'DCA-Anexo I-C'!B811+'DCA-Anexo I-C'!B812+'DCA-Anexo I-C'!B813</t>
  </si>
  <si>
    <t>'DCA-Anexo I-C'!C809=+'DCA-Anexo I-C'!C810+'DCA-Anexo I-C'!C811+'DCA-Anexo I-C'!C812+'DCA-Anexo I-C'!C813</t>
  </si>
  <si>
    <t>'DCA-Anexo I-C'!D809=+'DCA-Anexo I-C'!D810+'DCA-Anexo I-C'!D811+'DCA-Anexo I-C'!D812+'DCA-Anexo I-C'!D813</t>
  </si>
  <si>
    <t>'DCA-Anexo I-C'!E809=+'DCA-Anexo I-C'!E810+'DCA-Anexo I-C'!E811+'DCA-Anexo I-C'!E812+'DCA-Anexo I-C'!E813</t>
  </si>
  <si>
    <t>'DCA-Anexo I-C'!B814=+'DCA-Anexo I-C'!B815</t>
  </si>
  <si>
    <t>'DCA-Anexo I-C'!C814=+'DCA-Anexo I-C'!C815</t>
  </si>
  <si>
    <t>'DCA-Anexo I-C'!D814=+'DCA-Anexo I-C'!D815</t>
  </si>
  <si>
    <t>'DCA-Anexo I-C'!E814=+'DCA-Anexo I-C'!E815</t>
  </si>
  <si>
    <t>'DCA-Anexo I-C'!B816=+'DCA-Anexo I-C'!B817</t>
  </si>
  <si>
    <t>'DCA-Anexo I-C'!C816=+'DCA-Anexo I-C'!C817</t>
  </si>
  <si>
    <t>'DCA-Anexo I-C'!D816=+'DCA-Anexo I-C'!D817</t>
  </si>
  <si>
    <t>'DCA-Anexo I-C'!E816=+'DCA-Anexo I-C'!E817</t>
  </si>
  <si>
    <t>'DCA-Anexo I-C'!B817=+'DCA-Anexo I-C'!B818+'DCA-Anexo I-C'!B819+'DCA-Anexo I-C'!B820+'DCA-Anexo I-C'!B821</t>
  </si>
  <si>
    <t>'DCA-Anexo I-C'!C817=+'DCA-Anexo I-C'!C818+'DCA-Anexo I-C'!C819+'DCA-Anexo I-C'!C820+'DCA-Anexo I-C'!C821</t>
  </si>
  <si>
    <t>'DCA-Anexo I-C'!D817=+'DCA-Anexo I-C'!D818+'DCA-Anexo I-C'!D819+'DCA-Anexo I-C'!D820+'DCA-Anexo I-C'!D821</t>
  </si>
  <si>
    <t>'DCA-Anexo I-C'!E817=+'DCA-Anexo I-C'!E818+'DCA-Anexo I-C'!E819+'DCA-Anexo I-C'!E820+'DCA-Anexo I-C'!E821</t>
  </si>
  <si>
    <t>'DCA-Anexo I-C'!B822=+'DCA-Anexo I-C'!B823+'DCA-Anexo I-C'!B828+'DCA-Anexo I-C'!B829</t>
  </si>
  <si>
    <t>'DCA-Anexo I-C'!C822=+'DCA-Anexo I-C'!C823+'DCA-Anexo I-C'!C828+'DCA-Anexo I-C'!C829</t>
  </si>
  <si>
    <t>'DCA-Anexo I-C'!D822=+'DCA-Anexo I-C'!D823+'DCA-Anexo I-C'!D828+'DCA-Anexo I-C'!D829</t>
  </si>
  <si>
    <t>'DCA-Anexo I-C'!E822=+'DCA-Anexo I-C'!E823+'DCA-Anexo I-C'!E828+'DCA-Anexo I-C'!E829</t>
  </si>
  <si>
    <t>'DCA-Anexo I-C'!B823=+'DCA-Anexo I-C'!B824+'DCA-Anexo I-C'!B825+'DCA-Anexo I-C'!B826+'DCA-Anexo I-C'!B827</t>
  </si>
  <si>
    <t>'DCA-Anexo I-C'!C823=+'DCA-Anexo I-C'!C824+'DCA-Anexo I-C'!C825+'DCA-Anexo I-C'!C826+'DCA-Anexo I-C'!C827</t>
  </si>
  <si>
    <t>'DCA-Anexo I-C'!D823=+'DCA-Anexo I-C'!D824+'DCA-Anexo I-C'!D825+'DCA-Anexo I-C'!D826+'DCA-Anexo I-C'!D827</t>
  </si>
  <si>
    <t>'DCA-Anexo I-C'!E823=+'DCA-Anexo I-C'!E824+'DCA-Anexo I-C'!E825+'DCA-Anexo I-C'!E826+'DCA-Anexo I-C'!E827</t>
  </si>
  <si>
    <t>'DCA-Anexo I-C'!B830=+'DCA-Anexo I-C'!B831+'DCA-Anexo I-C'!B832+'DCA-Anexo I-C'!B836+'DCA-Anexo I-C'!B837+'DCA-Anexo I-C'!B838</t>
  </si>
  <si>
    <t>'DCA-Anexo I-C'!C830=+'DCA-Anexo I-C'!C831+'DCA-Anexo I-C'!C832+'DCA-Anexo I-C'!C836+'DCA-Anexo I-C'!C837+'DCA-Anexo I-C'!C838</t>
  </si>
  <si>
    <t>'DCA-Anexo I-C'!D830=+'DCA-Anexo I-C'!D831+'DCA-Anexo I-C'!D832+'DCA-Anexo I-C'!D836+'DCA-Anexo I-C'!D837+'DCA-Anexo I-C'!D838</t>
  </si>
  <si>
    <t>'DCA-Anexo I-C'!E830=+'DCA-Anexo I-C'!E831+'DCA-Anexo I-C'!E832+'DCA-Anexo I-C'!E836+'DCA-Anexo I-C'!E837+'DCA-Anexo I-C'!E838</t>
  </si>
  <si>
    <t>'DCA-Anexo I-C'!B832=+'DCA-Anexo I-C'!B833</t>
  </si>
  <si>
    <t>'DCA-Anexo I-C'!C832=+'DCA-Anexo I-C'!C833</t>
  </si>
  <si>
    <t>'DCA-Anexo I-C'!D832=+'DCA-Anexo I-C'!D833</t>
  </si>
  <si>
    <t>'DCA-Anexo I-C'!E832=+'DCA-Anexo I-C'!E833</t>
  </si>
  <si>
    <t>'DCA-Anexo I-C'!B833=+'DCA-Anexo I-C'!B834+'DCA-Anexo I-C'!B835</t>
  </si>
  <si>
    <t>'DCA-Anexo I-C'!C833=+'DCA-Anexo I-C'!C834+'DCA-Anexo I-C'!C835</t>
  </si>
  <si>
    <t>'DCA-Anexo I-C'!D833=+'DCA-Anexo I-C'!D834+'DCA-Anexo I-C'!D835</t>
  </si>
  <si>
    <t>'DCA-Anexo I-C'!E833=+'DCA-Anexo I-C'!E834+'DCA-Anexo I-C'!E835</t>
  </si>
  <si>
    <t>'DCA-Anexo I-C'!B838=+'DCA-Anexo I-C'!B839</t>
  </si>
  <si>
    <t>'DCA-Anexo I-C'!C838=+'DCA-Anexo I-C'!C839</t>
  </si>
  <si>
    <t>'DCA-Anexo I-C'!D838=+'DCA-Anexo I-C'!D839</t>
  </si>
  <si>
    <t>'DCA-Anexo I-C'!E838=+'DCA-Anexo I-C'!E839</t>
  </si>
  <si>
    <t>'DCA-Anexo I-C'!B839=+'DCA-Anexo I-C'!B840+'DCA-Anexo I-C'!B841</t>
  </si>
  <si>
    <t>'DCA-Anexo I-C'!C839=+'DCA-Anexo I-C'!C840+'DCA-Anexo I-C'!C841</t>
  </si>
  <si>
    <t>'DCA-Anexo I-C'!D839=+'DCA-Anexo I-C'!D840+'DCA-Anexo I-C'!D841</t>
  </si>
  <si>
    <t>'DCA-Anexo I-C'!E839=+'DCA-Anexo I-C'!E840+'DCA-Anexo I-C'!E841</t>
  </si>
  <si>
    <t>'DCA-Anexo I-C'!B843=+'DCA-Anexo I-C'!B844+'DCA-Anexo I-C'!B845+'DCA-Anexo I-C'!B911+'DCA-Anexo I-C'!B981+'DCA-Anexo I-C'!B982+'DCA-Anexo I-C'!B983+'DCA-Anexo I-C'!B1015+'DCA-Anexo I-C'!B1023</t>
  </si>
  <si>
    <t>'DCA-Anexo I-C'!C843=+'DCA-Anexo I-C'!C844+'DCA-Anexo I-C'!C845+'DCA-Anexo I-C'!C911+'DCA-Anexo I-C'!C981+'DCA-Anexo I-C'!C982+'DCA-Anexo I-C'!C983+'DCA-Anexo I-C'!C1015+'DCA-Anexo I-C'!C1023</t>
  </si>
  <si>
    <t>'DCA-Anexo I-C'!D843=+'DCA-Anexo I-C'!D844+'DCA-Anexo I-C'!D845+'DCA-Anexo I-C'!D911+'DCA-Anexo I-C'!D981+'DCA-Anexo I-C'!D982+'DCA-Anexo I-C'!D983+'DCA-Anexo I-C'!D1015+'DCA-Anexo I-C'!D1023</t>
  </si>
  <si>
    <t>'DCA-Anexo I-C'!E843=+'DCA-Anexo I-C'!E844+'DCA-Anexo I-C'!E845+'DCA-Anexo I-C'!E911+'DCA-Anexo I-C'!E981+'DCA-Anexo I-C'!E982+'DCA-Anexo I-C'!E983+'DCA-Anexo I-C'!E1015+'DCA-Anexo I-C'!E1023</t>
  </si>
  <si>
    <t>'DCA-Anexo I-C'!B845=+'DCA-Anexo I-C'!B846+'DCA-Anexo I-C'!B908+'DCA-Anexo I-C'!B909+'DCA-Anexo I-C'!B910</t>
  </si>
  <si>
    <t>'DCA-Anexo I-C'!C845=+'DCA-Anexo I-C'!C846+'DCA-Anexo I-C'!C908+'DCA-Anexo I-C'!C909+'DCA-Anexo I-C'!C910</t>
  </si>
  <si>
    <t>'DCA-Anexo I-C'!D845=+'DCA-Anexo I-C'!D846+'DCA-Anexo I-C'!D908+'DCA-Anexo I-C'!D909+'DCA-Anexo I-C'!D910</t>
  </si>
  <si>
    <t>'DCA-Anexo I-C'!E845=+'DCA-Anexo I-C'!E846+'DCA-Anexo I-C'!E908+'DCA-Anexo I-C'!E909+'DCA-Anexo I-C'!E910</t>
  </si>
  <si>
    <t>'DCA-Anexo I-C'!B846=+'DCA-Anexo I-C'!B847+'DCA-Anexo I-C'!B848+'DCA-Anexo I-C'!B849+'DCA-Anexo I-C'!B850+'DCA-Anexo I-C'!B854+'DCA-Anexo I-C'!B890+'DCA-Anexo I-C'!B906+'DCA-Anexo I-C'!B907</t>
  </si>
  <si>
    <t>'DCA-Anexo I-C'!C846=+'DCA-Anexo I-C'!C847+'DCA-Anexo I-C'!C848+'DCA-Anexo I-C'!C849+'DCA-Anexo I-C'!C850+'DCA-Anexo I-C'!C854+'DCA-Anexo I-C'!C890+'DCA-Anexo I-C'!C906+'DCA-Anexo I-C'!C907</t>
  </si>
  <si>
    <t>'DCA-Anexo I-C'!D846=+'DCA-Anexo I-C'!D847+'DCA-Anexo I-C'!D848+'DCA-Anexo I-C'!D849+'DCA-Anexo I-C'!D850+'DCA-Anexo I-C'!D854+'DCA-Anexo I-C'!D890+'DCA-Anexo I-C'!D906+'DCA-Anexo I-C'!D907</t>
  </si>
  <si>
    <t>'DCA-Anexo I-C'!E846=+'DCA-Anexo I-C'!E847+'DCA-Anexo I-C'!E848+'DCA-Anexo I-C'!E849+'DCA-Anexo I-C'!E850+'DCA-Anexo I-C'!E854+'DCA-Anexo I-C'!E890+'DCA-Anexo I-C'!E906+'DCA-Anexo I-C'!E907</t>
  </si>
  <si>
    <t>'DCA-Anexo I-C'!B850=+'DCA-Anexo I-C'!B851+'DCA-Anexo I-C'!B852+'DCA-Anexo I-C'!B853</t>
  </si>
  <si>
    <t>'DCA-Anexo I-C'!C850=+'DCA-Anexo I-C'!C851+'DCA-Anexo I-C'!C852+'DCA-Anexo I-C'!C853</t>
  </si>
  <si>
    <t>'DCA-Anexo I-C'!D850=+'DCA-Anexo I-C'!D851+'DCA-Anexo I-C'!D852+'DCA-Anexo I-C'!D853</t>
  </si>
  <si>
    <t>'DCA-Anexo I-C'!E850=+'DCA-Anexo I-C'!E851+'DCA-Anexo I-C'!E852+'DCA-Anexo I-C'!E853</t>
  </si>
  <si>
    <t>'DCA-Anexo I-C'!B854=+'DCA-Anexo I-C'!B855+'DCA-Anexo I-C'!B856+'DCA-Anexo I-C'!B859+'DCA-Anexo I-C'!B860+'DCA-Anexo I-C'!B864+'DCA-Anexo I-C'!B869+'DCA-Anexo I-C'!B873+'DCA-Anexo I-C'!B874+'DCA-Anexo I-C'!B881+'DCA-Anexo I-C'!B885+'DCA-Anexo I-C'!B886</t>
  </si>
  <si>
    <t>'DCA-Anexo I-C'!C854=+'DCA-Anexo I-C'!C855+'DCA-Anexo I-C'!C856+'DCA-Anexo I-C'!C859+'DCA-Anexo I-C'!C860+'DCA-Anexo I-C'!C864+'DCA-Anexo I-C'!C869+'DCA-Anexo I-C'!C873+'DCA-Anexo I-C'!C874+'DCA-Anexo I-C'!C881+'DCA-Anexo I-C'!C885+'DCA-Anexo I-C'!C886</t>
  </si>
  <si>
    <t>'DCA-Anexo I-C'!D854=+'DCA-Anexo I-C'!D855+'DCA-Anexo I-C'!D856+'DCA-Anexo I-C'!D859+'DCA-Anexo I-C'!D860+'DCA-Anexo I-C'!D864+'DCA-Anexo I-C'!D869+'DCA-Anexo I-C'!D873+'DCA-Anexo I-C'!D874+'DCA-Anexo I-C'!D881+'DCA-Anexo I-C'!D885+'DCA-Anexo I-C'!D886</t>
  </si>
  <si>
    <t>'DCA-Anexo I-C'!E854=+'DCA-Anexo I-C'!E855+'DCA-Anexo I-C'!E856+'DCA-Anexo I-C'!E859+'DCA-Anexo I-C'!E860+'DCA-Anexo I-C'!E864+'DCA-Anexo I-C'!E869+'DCA-Anexo I-C'!E873+'DCA-Anexo I-C'!E874+'DCA-Anexo I-C'!E881+'DCA-Anexo I-C'!E885+'DCA-Anexo I-C'!E886</t>
  </si>
  <si>
    <t>'DCA-Anexo I-C'!B856=+'DCA-Anexo I-C'!B857+'DCA-Anexo I-C'!B858</t>
  </si>
  <si>
    <t>'DCA-Anexo I-C'!C856=+'DCA-Anexo I-C'!C857+'DCA-Anexo I-C'!C858</t>
  </si>
  <si>
    <t>'DCA-Anexo I-C'!D856=+'DCA-Anexo I-C'!D857+'DCA-Anexo I-C'!D858</t>
  </si>
  <si>
    <t>'DCA-Anexo I-C'!E856=+'DCA-Anexo I-C'!E857+'DCA-Anexo I-C'!E858</t>
  </si>
  <si>
    <t>'DCA-Anexo I-C'!B860=+'DCA-Anexo I-C'!B861+'DCA-Anexo I-C'!B862+'DCA-Anexo I-C'!B863</t>
  </si>
  <si>
    <t>'DCA-Anexo I-C'!C860=+'DCA-Anexo I-C'!C861+'DCA-Anexo I-C'!C862+'DCA-Anexo I-C'!C863</t>
  </si>
  <si>
    <t>'DCA-Anexo I-C'!D860=+'DCA-Anexo I-C'!D861+'DCA-Anexo I-C'!D862+'DCA-Anexo I-C'!D863</t>
  </si>
  <si>
    <t>'DCA-Anexo I-C'!E860=+'DCA-Anexo I-C'!E861+'DCA-Anexo I-C'!E862+'DCA-Anexo I-C'!E863</t>
  </si>
  <si>
    <t>'DCA-Anexo I-C'!B864=+'DCA-Anexo I-C'!B865+'DCA-Anexo I-C'!B866+'DCA-Anexo I-C'!B867+'DCA-Anexo I-C'!B868</t>
  </si>
  <si>
    <t>'DCA-Anexo I-C'!C864=+'DCA-Anexo I-C'!C865+'DCA-Anexo I-C'!C866+'DCA-Anexo I-C'!C867+'DCA-Anexo I-C'!C868</t>
  </si>
  <si>
    <t>'DCA-Anexo I-C'!D864=+'DCA-Anexo I-C'!D865+'DCA-Anexo I-C'!D866+'DCA-Anexo I-C'!D867+'DCA-Anexo I-C'!D868</t>
  </si>
  <si>
    <t>'DCA-Anexo I-C'!E864=+'DCA-Anexo I-C'!E865+'DCA-Anexo I-C'!E866+'DCA-Anexo I-C'!E867+'DCA-Anexo I-C'!E868</t>
  </si>
  <si>
    <t>'DCA-Anexo I-C'!B869=+'DCA-Anexo I-C'!B870+'DCA-Anexo I-C'!B871+'DCA-Anexo I-C'!B872</t>
  </si>
  <si>
    <t>'DCA-Anexo I-C'!C869=+'DCA-Anexo I-C'!C870+'DCA-Anexo I-C'!C871+'DCA-Anexo I-C'!C872</t>
  </si>
  <si>
    <t>'DCA-Anexo I-C'!D869=+'DCA-Anexo I-C'!D870+'DCA-Anexo I-C'!D871+'DCA-Anexo I-C'!D872</t>
  </si>
  <si>
    <t>'DCA-Anexo I-C'!E869=+'DCA-Anexo I-C'!E870+'DCA-Anexo I-C'!E871+'DCA-Anexo I-C'!E872</t>
  </si>
  <si>
    <t>'DCA-Anexo I-C'!B874=+'DCA-Anexo I-C'!B875+'DCA-Anexo I-C'!B876+'DCA-Anexo I-C'!B877+'DCA-Anexo I-C'!B878+'DCA-Anexo I-C'!B879+'DCA-Anexo I-C'!B880</t>
  </si>
  <si>
    <t>'DCA-Anexo I-C'!C874=+'DCA-Anexo I-C'!C875+'DCA-Anexo I-C'!C876+'DCA-Anexo I-C'!C877+'DCA-Anexo I-C'!C878+'DCA-Anexo I-C'!C879+'DCA-Anexo I-C'!C880</t>
  </si>
  <si>
    <t>'DCA-Anexo I-C'!D874=+'DCA-Anexo I-C'!D875+'DCA-Anexo I-C'!D876+'DCA-Anexo I-C'!D877+'DCA-Anexo I-C'!D878+'DCA-Anexo I-C'!D879+'DCA-Anexo I-C'!D880</t>
  </si>
  <si>
    <t>'DCA-Anexo I-C'!E874=+'DCA-Anexo I-C'!E875+'DCA-Anexo I-C'!E876+'DCA-Anexo I-C'!E877+'DCA-Anexo I-C'!E878+'DCA-Anexo I-C'!E879+'DCA-Anexo I-C'!E880</t>
  </si>
  <si>
    <t>'DCA-Anexo I-C'!B881=+'DCA-Anexo I-C'!B882+'DCA-Anexo I-C'!B883+'DCA-Anexo I-C'!B884</t>
  </si>
  <si>
    <t>'DCA-Anexo I-C'!C881=+'DCA-Anexo I-C'!C882+'DCA-Anexo I-C'!C883+'DCA-Anexo I-C'!C884</t>
  </si>
  <si>
    <t>'DCA-Anexo I-C'!D881=+'DCA-Anexo I-C'!D882+'DCA-Anexo I-C'!D883+'DCA-Anexo I-C'!D884</t>
  </si>
  <si>
    <t>'DCA-Anexo I-C'!E881=+'DCA-Anexo I-C'!E882+'DCA-Anexo I-C'!E883+'DCA-Anexo I-C'!E884</t>
  </si>
  <si>
    <t>'DCA-Anexo I-C'!B886=+'DCA-Anexo I-C'!B887+'DCA-Anexo I-C'!B888+'DCA-Anexo I-C'!B889</t>
  </si>
  <si>
    <t>'DCA-Anexo I-C'!C886=+'DCA-Anexo I-C'!C887+'DCA-Anexo I-C'!C888+'DCA-Anexo I-C'!C889</t>
  </si>
  <si>
    <t>'DCA-Anexo I-C'!D886=+'DCA-Anexo I-C'!D887+'DCA-Anexo I-C'!D888+'DCA-Anexo I-C'!D889</t>
  </si>
  <si>
    <t>'DCA-Anexo I-C'!E886=+'DCA-Anexo I-C'!E887+'DCA-Anexo I-C'!E888+'DCA-Anexo I-C'!E889</t>
  </si>
  <si>
    <t>'DCA-Anexo I-C'!B890=+'DCA-Anexo I-C'!B891+'DCA-Anexo I-C'!B894+'DCA-Anexo I-C'!B897+'DCA-Anexo I-C'!B900+'DCA-Anexo I-C'!B903</t>
  </si>
  <si>
    <t>'DCA-Anexo I-C'!C890=+'DCA-Anexo I-C'!C891+'DCA-Anexo I-C'!C894+'DCA-Anexo I-C'!C897+'DCA-Anexo I-C'!C900+'DCA-Anexo I-C'!C903</t>
  </si>
  <si>
    <t>'DCA-Anexo I-C'!D890=+'DCA-Anexo I-C'!D891+'DCA-Anexo I-C'!D894+'DCA-Anexo I-C'!D897+'DCA-Anexo I-C'!D900+'DCA-Anexo I-C'!D903</t>
  </si>
  <si>
    <t>'DCA-Anexo I-C'!E890=+'DCA-Anexo I-C'!E891+'DCA-Anexo I-C'!E894+'DCA-Anexo I-C'!E897+'DCA-Anexo I-C'!E900+'DCA-Anexo I-C'!E903</t>
  </si>
  <si>
    <t>'DCA-Anexo I-C'!B891=+'DCA-Anexo I-C'!B892+'DCA-Anexo I-C'!B893</t>
  </si>
  <si>
    <t>'DCA-Anexo I-C'!C891=+'DCA-Anexo I-C'!C892+'DCA-Anexo I-C'!C893</t>
  </si>
  <si>
    <t>'DCA-Anexo I-C'!D891=+'DCA-Anexo I-C'!D892+'DCA-Anexo I-C'!D893</t>
  </si>
  <si>
    <t>'DCA-Anexo I-C'!E891=+'DCA-Anexo I-C'!E892+'DCA-Anexo I-C'!E893</t>
  </si>
  <si>
    <t>'DCA-Anexo I-C'!B894=+'DCA-Anexo I-C'!B895+'DCA-Anexo I-C'!B896</t>
  </si>
  <si>
    <t>'DCA-Anexo I-C'!C894=+'DCA-Anexo I-C'!C895+'DCA-Anexo I-C'!C896</t>
  </si>
  <si>
    <t>'DCA-Anexo I-C'!D894=+'DCA-Anexo I-C'!D895+'DCA-Anexo I-C'!D896</t>
  </si>
  <si>
    <t>'DCA-Anexo I-C'!E894=+'DCA-Anexo I-C'!E895+'DCA-Anexo I-C'!E896</t>
  </si>
  <si>
    <t>'DCA-Anexo I-C'!B897=+'DCA-Anexo I-C'!B898+'DCA-Anexo I-C'!B899</t>
  </si>
  <si>
    <t>'DCA-Anexo I-C'!C897=+'DCA-Anexo I-C'!C898+'DCA-Anexo I-C'!C899</t>
  </si>
  <si>
    <t>'DCA-Anexo I-C'!D897=+'DCA-Anexo I-C'!D898+'DCA-Anexo I-C'!D899</t>
  </si>
  <si>
    <t>'DCA-Anexo I-C'!E897=+'DCA-Anexo I-C'!E898+'DCA-Anexo I-C'!E899</t>
  </si>
  <si>
    <t>'DCA-Anexo I-C'!B900=+'DCA-Anexo I-C'!B901+'DCA-Anexo I-C'!B902</t>
  </si>
  <si>
    <t>'DCA-Anexo I-C'!C900=+'DCA-Anexo I-C'!C901+'DCA-Anexo I-C'!C902</t>
  </si>
  <si>
    <t>'DCA-Anexo I-C'!D900=+'DCA-Anexo I-C'!D901+'DCA-Anexo I-C'!D902</t>
  </si>
  <si>
    <t>'DCA-Anexo I-C'!E900=+'DCA-Anexo I-C'!E901+'DCA-Anexo I-C'!E902</t>
  </si>
  <si>
    <t>'DCA-Anexo I-C'!B903=+'DCA-Anexo I-C'!B904+'DCA-Anexo I-C'!B905</t>
  </si>
  <si>
    <t>'DCA-Anexo I-C'!C903=+'DCA-Anexo I-C'!C904+'DCA-Anexo I-C'!C905</t>
  </si>
  <si>
    <t>'DCA-Anexo I-C'!D903=+'DCA-Anexo I-C'!D904+'DCA-Anexo I-C'!D905</t>
  </si>
  <si>
    <t>'DCA-Anexo I-C'!E903=+'DCA-Anexo I-C'!E904+'DCA-Anexo I-C'!E905</t>
  </si>
  <si>
    <t>'DCA-Anexo I-C'!B911=+'DCA-Anexo I-C'!B912+'DCA-Anexo I-C'!B917+'DCA-Anexo I-C'!B922+'DCA-Anexo I-C'!B942+'DCA-Anexo I-C'!B971+'DCA-Anexo I-C'!B977+'DCA-Anexo I-C'!B980</t>
  </si>
  <si>
    <t>'DCA-Anexo I-C'!C911=+'DCA-Anexo I-C'!C912+'DCA-Anexo I-C'!C917+'DCA-Anexo I-C'!C922+'DCA-Anexo I-C'!C942+'DCA-Anexo I-C'!C971+'DCA-Anexo I-C'!C977+'DCA-Anexo I-C'!C980</t>
  </si>
  <si>
    <t>'DCA-Anexo I-C'!D911=+'DCA-Anexo I-C'!D912+'DCA-Anexo I-C'!D917+'DCA-Anexo I-C'!D922+'DCA-Anexo I-C'!D942+'DCA-Anexo I-C'!D971+'DCA-Anexo I-C'!D977+'DCA-Anexo I-C'!D980</t>
  </si>
  <si>
    <t>'DCA-Anexo I-C'!E911=+'DCA-Anexo I-C'!E912+'DCA-Anexo I-C'!E917+'DCA-Anexo I-C'!E922+'DCA-Anexo I-C'!E942+'DCA-Anexo I-C'!E971+'DCA-Anexo I-C'!E977+'DCA-Anexo I-C'!E980</t>
  </si>
  <si>
    <t>'DCA-Anexo I-C'!B912=+'DCA-Anexo I-C'!B913</t>
  </si>
  <si>
    <t>'DCA-Anexo I-C'!C912=+'DCA-Anexo I-C'!C913</t>
  </si>
  <si>
    <t>'DCA-Anexo I-C'!D912=+'DCA-Anexo I-C'!D913</t>
  </si>
  <si>
    <t>'DCA-Anexo I-C'!E912=+'DCA-Anexo I-C'!E913</t>
  </si>
  <si>
    <t>'DCA-Anexo I-C'!B913=+'DCA-Anexo I-C'!B914+'DCA-Anexo I-C'!B915+'DCA-Anexo I-C'!B916</t>
  </si>
  <si>
    <t>'DCA-Anexo I-C'!C913=+'DCA-Anexo I-C'!C914+'DCA-Anexo I-C'!C915+'DCA-Anexo I-C'!C916</t>
  </si>
  <si>
    <t>'DCA-Anexo I-C'!D913=+'DCA-Anexo I-C'!D914+'DCA-Anexo I-C'!D915+'DCA-Anexo I-C'!D916</t>
  </si>
  <si>
    <t>'DCA-Anexo I-C'!E913=+'DCA-Anexo I-C'!E914+'DCA-Anexo I-C'!E915+'DCA-Anexo I-C'!E916</t>
  </si>
  <si>
    <t>'DCA-Anexo I-C'!B917=+'DCA-Anexo I-C'!B918+'DCA-Anexo I-C'!B919+'DCA-Anexo I-C'!B920+'DCA-Anexo I-C'!B921</t>
  </si>
  <si>
    <t>'DCA-Anexo I-C'!C917=+'DCA-Anexo I-C'!C918+'DCA-Anexo I-C'!C919+'DCA-Anexo I-C'!C920+'DCA-Anexo I-C'!C921</t>
  </si>
  <si>
    <t>'DCA-Anexo I-C'!D917=+'DCA-Anexo I-C'!D918+'DCA-Anexo I-C'!D919+'DCA-Anexo I-C'!D920+'DCA-Anexo I-C'!D921</t>
  </si>
  <si>
    <t>'DCA-Anexo I-C'!E917=+'DCA-Anexo I-C'!E918+'DCA-Anexo I-C'!E919+'DCA-Anexo I-C'!E920+'DCA-Anexo I-C'!E921</t>
  </si>
  <si>
    <t>'DCA-Anexo I-C'!B922=+'DCA-Anexo I-C'!B923+'DCA-Anexo I-C'!B929+'DCA-Anexo I-C'!B934+'DCA-Anexo I-C'!B935+'DCA-Anexo I-C'!B936+'DCA-Anexo I-C'!B941</t>
  </si>
  <si>
    <t>'DCA-Anexo I-C'!C922=+'DCA-Anexo I-C'!C923+'DCA-Anexo I-C'!C929+'DCA-Anexo I-C'!C934+'DCA-Anexo I-C'!C935+'DCA-Anexo I-C'!C936+'DCA-Anexo I-C'!C941</t>
  </si>
  <si>
    <t>'DCA-Anexo I-C'!D922=+'DCA-Anexo I-C'!D923+'DCA-Anexo I-C'!D929+'DCA-Anexo I-C'!D934+'DCA-Anexo I-C'!D935+'DCA-Anexo I-C'!D936+'DCA-Anexo I-C'!D941</t>
  </si>
  <si>
    <t>'DCA-Anexo I-C'!E922=+'DCA-Anexo I-C'!E923+'DCA-Anexo I-C'!E929+'DCA-Anexo I-C'!E934+'DCA-Anexo I-C'!E935+'DCA-Anexo I-C'!E936+'DCA-Anexo I-C'!E941</t>
  </si>
  <si>
    <t>'DCA-Anexo I-C'!B923=+'DCA-Anexo I-C'!B924+'DCA-Anexo I-C'!B925+'DCA-Anexo I-C'!B926+'DCA-Anexo I-C'!B927+'DCA-Anexo I-C'!B928</t>
  </si>
  <si>
    <t>'DCA-Anexo I-C'!C923=+'DCA-Anexo I-C'!C924+'DCA-Anexo I-C'!C925+'DCA-Anexo I-C'!C926+'DCA-Anexo I-C'!C927+'DCA-Anexo I-C'!C928</t>
  </si>
  <si>
    <t>'DCA-Anexo I-C'!D923=+'DCA-Anexo I-C'!D924+'DCA-Anexo I-C'!D925+'DCA-Anexo I-C'!D926+'DCA-Anexo I-C'!D927+'DCA-Anexo I-C'!D928</t>
  </si>
  <si>
    <t>'DCA-Anexo I-C'!E923=+'DCA-Anexo I-C'!E924+'DCA-Anexo I-C'!E925+'DCA-Anexo I-C'!E926+'DCA-Anexo I-C'!E927+'DCA-Anexo I-C'!E928</t>
  </si>
  <si>
    <t>'DCA-Anexo I-C'!B929=+'DCA-Anexo I-C'!B930+'DCA-Anexo I-C'!B931+'DCA-Anexo I-C'!B932+'DCA-Anexo I-C'!B933</t>
  </si>
  <si>
    <t>'DCA-Anexo I-C'!C929=+'DCA-Anexo I-C'!C930+'DCA-Anexo I-C'!C931+'DCA-Anexo I-C'!C932+'DCA-Anexo I-C'!C933</t>
  </si>
  <si>
    <t>'DCA-Anexo I-C'!D929=+'DCA-Anexo I-C'!D930+'DCA-Anexo I-C'!D931+'DCA-Anexo I-C'!D932+'DCA-Anexo I-C'!D933</t>
  </si>
  <si>
    <t>'DCA-Anexo I-C'!E929=+'DCA-Anexo I-C'!E930+'DCA-Anexo I-C'!E931+'DCA-Anexo I-C'!E932+'DCA-Anexo I-C'!E933</t>
  </si>
  <si>
    <t>'DCA-Anexo I-C'!B942=+'DCA-Anexo I-C'!B943+'DCA-Anexo I-C'!B949+'DCA-Anexo I-C'!B952+'DCA-Anexo I-C'!B955+'DCA-Anexo I-C'!B958+'DCA-Anexo I-C'!B962+'DCA-Anexo I-C'!B968</t>
  </si>
  <si>
    <t>'DCA-Anexo I-C'!C942=+'DCA-Anexo I-C'!C943+'DCA-Anexo I-C'!C949+'DCA-Anexo I-C'!C952+'DCA-Anexo I-C'!C955+'DCA-Anexo I-C'!C958+'DCA-Anexo I-C'!C962+'DCA-Anexo I-C'!C968</t>
  </si>
  <si>
    <t>'DCA-Anexo I-C'!D942=+'DCA-Anexo I-C'!D943+'DCA-Anexo I-C'!D949+'DCA-Anexo I-C'!D952+'DCA-Anexo I-C'!D955+'DCA-Anexo I-C'!D958+'DCA-Anexo I-C'!D962+'DCA-Anexo I-C'!D968</t>
  </si>
  <si>
    <t>'DCA-Anexo I-C'!E942=+'DCA-Anexo I-C'!E943+'DCA-Anexo I-C'!E949+'DCA-Anexo I-C'!E952+'DCA-Anexo I-C'!E955+'DCA-Anexo I-C'!E958+'DCA-Anexo I-C'!E962+'DCA-Anexo I-C'!E968</t>
  </si>
  <si>
    <t>'DCA-Anexo I-C'!B943=+'DCA-Anexo I-C'!B944+'DCA-Anexo I-C'!B945+'DCA-Anexo I-C'!B946+'DCA-Anexo I-C'!B947+'DCA-Anexo I-C'!B948</t>
  </si>
  <si>
    <t>'DCA-Anexo I-C'!C943=+'DCA-Anexo I-C'!C944+'DCA-Anexo I-C'!C945+'DCA-Anexo I-C'!C946+'DCA-Anexo I-C'!C947+'DCA-Anexo I-C'!C948</t>
  </si>
  <si>
    <t>'DCA-Anexo I-C'!D943=+'DCA-Anexo I-C'!D944+'DCA-Anexo I-C'!D945+'DCA-Anexo I-C'!D946+'DCA-Anexo I-C'!D947+'DCA-Anexo I-C'!D948</t>
  </si>
  <si>
    <t>'DCA-Anexo I-C'!E943=+'DCA-Anexo I-C'!E944+'DCA-Anexo I-C'!E945+'DCA-Anexo I-C'!E946+'DCA-Anexo I-C'!E947+'DCA-Anexo I-C'!E948</t>
  </si>
  <si>
    <t>'DCA-Anexo I-C'!B949=+'DCA-Anexo I-C'!B950+'DCA-Anexo I-C'!B951</t>
  </si>
  <si>
    <t>'DCA-Anexo I-C'!C949=+'DCA-Anexo I-C'!C950+'DCA-Anexo I-C'!C951</t>
  </si>
  <si>
    <t>'DCA-Anexo I-C'!D949=+'DCA-Anexo I-C'!D950+'DCA-Anexo I-C'!D951</t>
  </si>
  <si>
    <t>'DCA-Anexo I-C'!E949=+'DCA-Anexo I-C'!E950+'DCA-Anexo I-C'!E951</t>
  </si>
  <si>
    <t>'DCA-Anexo I-C'!B952=+'DCA-Anexo I-C'!B953+'DCA-Anexo I-C'!B954</t>
  </si>
  <si>
    <t>'DCA-Anexo I-C'!C952=+'DCA-Anexo I-C'!C953+'DCA-Anexo I-C'!C954</t>
  </si>
  <si>
    <t>'DCA-Anexo I-C'!D952=+'DCA-Anexo I-C'!D953+'DCA-Anexo I-C'!D954</t>
  </si>
  <si>
    <t>'DCA-Anexo I-C'!E952=+'DCA-Anexo I-C'!E953+'DCA-Anexo I-C'!E954</t>
  </si>
  <si>
    <t>'DCA-Anexo I-C'!B955=+'DCA-Anexo I-C'!B956+'DCA-Anexo I-C'!B957</t>
  </si>
  <si>
    <t>'DCA-Anexo I-C'!C955=+'DCA-Anexo I-C'!C956+'DCA-Anexo I-C'!C957</t>
  </si>
  <si>
    <t>'DCA-Anexo I-C'!D955=+'DCA-Anexo I-C'!D956+'DCA-Anexo I-C'!D957</t>
  </si>
  <si>
    <t>'DCA-Anexo I-C'!E955=+'DCA-Anexo I-C'!E956+'DCA-Anexo I-C'!E957</t>
  </si>
  <si>
    <t>'DCA-Anexo I-C'!B958=+'DCA-Anexo I-C'!B959+'DCA-Anexo I-C'!B960+'DCA-Anexo I-C'!B961</t>
  </si>
  <si>
    <t>'DCA-Anexo I-C'!C958=+'DCA-Anexo I-C'!C959+'DCA-Anexo I-C'!C960+'DCA-Anexo I-C'!C961</t>
  </si>
  <si>
    <t>'DCA-Anexo I-C'!D958=+'DCA-Anexo I-C'!D959+'DCA-Anexo I-C'!D960+'DCA-Anexo I-C'!D961</t>
  </si>
  <si>
    <t>'DCA-Anexo I-C'!E958=+'DCA-Anexo I-C'!E959+'DCA-Anexo I-C'!E960+'DCA-Anexo I-C'!E961</t>
  </si>
  <si>
    <t>'DCA-Anexo I-C'!B962=+'DCA-Anexo I-C'!B963+'DCA-Anexo I-C'!B964+'DCA-Anexo I-C'!B965+'DCA-Anexo I-C'!B966+'DCA-Anexo I-C'!B967</t>
  </si>
  <si>
    <t>'DCA-Anexo I-C'!C962=+'DCA-Anexo I-C'!C963+'DCA-Anexo I-C'!C964+'DCA-Anexo I-C'!C965+'DCA-Anexo I-C'!C966+'DCA-Anexo I-C'!C967</t>
  </si>
  <si>
    <t>'DCA-Anexo I-C'!D962=+'DCA-Anexo I-C'!D963+'DCA-Anexo I-C'!D964+'DCA-Anexo I-C'!D965+'DCA-Anexo I-C'!D966+'DCA-Anexo I-C'!D967</t>
  </si>
  <si>
    <t>'DCA-Anexo I-C'!E962=+'DCA-Anexo I-C'!E963+'DCA-Anexo I-C'!E964+'DCA-Anexo I-C'!E965+'DCA-Anexo I-C'!E966+'DCA-Anexo I-C'!E967</t>
  </si>
  <si>
    <t>'DCA-Anexo I-C'!B968=+'DCA-Anexo I-C'!B969+'DCA-Anexo I-C'!B970</t>
  </si>
  <si>
    <t>'DCA-Anexo I-C'!C968=+'DCA-Anexo I-C'!C969+'DCA-Anexo I-C'!C970</t>
  </si>
  <si>
    <t>'DCA-Anexo I-C'!D968=+'DCA-Anexo I-C'!D969+'DCA-Anexo I-C'!D970</t>
  </si>
  <si>
    <t>'DCA-Anexo I-C'!E968=+'DCA-Anexo I-C'!E969+'DCA-Anexo I-C'!E970</t>
  </si>
  <si>
    <t>'DCA-Anexo I-C'!B971=+'DCA-Anexo I-C'!B972</t>
  </si>
  <si>
    <t>'DCA-Anexo I-C'!C971=+'DCA-Anexo I-C'!C972</t>
  </si>
  <si>
    <t>'DCA-Anexo I-C'!D971=+'DCA-Anexo I-C'!D972</t>
  </si>
  <si>
    <t>'DCA-Anexo I-C'!E971=+'DCA-Anexo I-C'!E972</t>
  </si>
  <si>
    <t>'DCA-Anexo I-C'!B972=+'DCA-Anexo I-C'!B973+'DCA-Anexo I-C'!B974+'DCA-Anexo I-C'!B975+'DCA-Anexo I-C'!B976</t>
  </si>
  <si>
    <t>'DCA-Anexo I-C'!C972=+'DCA-Anexo I-C'!C973+'DCA-Anexo I-C'!C974+'DCA-Anexo I-C'!C975+'DCA-Anexo I-C'!C976</t>
  </si>
  <si>
    <t>'DCA-Anexo I-C'!D972=+'DCA-Anexo I-C'!D973+'DCA-Anexo I-C'!D974+'DCA-Anexo I-C'!D975+'DCA-Anexo I-C'!D976</t>
  </si>
  <si>
    <t>'DCA-Anexo I-C'!E972=+'DCA-Anexo I-C'!E973+'DCA-Anexo I-C'!E974+'DCA-Anexo I-C'!E975+'DCA-Anexo I-C'!E976</t>
  </si>
  <si>
    <t>'DCA-Anexo I-C'!B977=+'DCA-Anexo I-C'!B978</t>
  </si>
  <si>
    <t>'DCA-Anexo I-C'!C977=+'DCA-Anexo I-C'!C978</t>
  </si>
  <si>
    <t>'DCA-Anexo I-C'!D977=+'DCA-Anexo I-C'!D978</t>
  </si>
  <si>
    <t>'DCA-Anexo I-C'!E977=+'DCA-Anexo I-C'!E978</t>
  </si>
  <si>
    <t>'DCA-Anexo I-C'!B978=+'DCA-Anexo I-C'!B979</t>
  </si>
  <si>
    <t>'DCA-Anexo I-C'!C978=+'DCA-Anexo I-C'!C979</t>
  </si>
  <si>
    <t>'DCA-Anexo I-C'!D978=+'DCA-Anexo I-C'!D979</t>
  </si>
  <si>
    <t>'DCA-Anexo I-C'!E978=+'DCA-Anexo I-C'!E979</t>
  </si>
  <si>
    <t>'DCA-Anexo I-C'!B983=+'DCA-Anexo I-C'!B984+'DCA-Anexo I-C'!B992+'DCA-Anexo I-C'!B998+'DCA-Anexo I-C'!B1009+'DCA-Anexo I-C'!B1014</t>
  </si>
  <si>
    <t>'DCA-Anexo I-C'!C983=+'DCA-Anexo I-C'!C984+'DCA-Anexo I-C'!C992+'DCA-Anexo I-C'!C998+'DCA-Anexo I-C'!C1009+'DCA-Anexo I-C'!C1014</t>
  </si>
  <si>
    <t>'DCA-Anexo I-C'!D983=+'DCA-Anexo I-C'!D984+'DCA-Anexo I-C'!D992+'DCA-Anexo I-C'!D998+'DCA-Anexo I-C'!D1009+'DCA-Anexo I-C'!D1014</t>
  </si>
  <si>
    <t>'DCA-Anexo I-C'!E983=+'DCA-Anexo I-C'!E984+'DCA-Anexo I-C'!E992+'DCA-Anexo I-C'!E998+'DCA-Anexo I-C'!E1009+'DCA-Anexo I-C'!E1014</t>
  </si>
  <si>
    <t>'DCA-Anexo I-C'!B984=+'DCA-Anexo I-C'!B985</t>
  </si>
  <si>
    <t>'DCA-Anexo I-C'!C984=+'DCA-Anexo I-C'!C985</t>
  </si>
  <si>
    <t>'DCA-Anexo I-C'!D984=+'DCA-Anexo I-C'!D985</t>
  </si>
  <si>
    <t>'DCA-Anexo I-C'!E984=+'DCA-Anexo I-C'!E985</t>
  </si>
  <si>
    <t>'DCA-Anexo I-C'!B985=+'DCA-Anexo I-C'!B986+'DCA-Anexo I-C'!B987+'DCA-Anexo I-C'!B988+'DCA-Anexo I-C'!B989+'DCA-Anexo I-C'!B990+'DCA-Anexo I-C'!B991</t>
  </si>
  <si>
    <t>'DCA-Anexo I-C'!C985=+'DCA-Anexo I-C'!C986+'DCA-Anexo I-C'!C987+'DCA-Anexo I-C'!C988+'DCA-Anexo I-C'!C989+'DCA-Anexo I-C'!C990+'DCA-Anexo I-C'!C991</t>
  </si>
  <si>
    <t>'DCA-Anexo I-C'!D985=+'DCA-Anexo I-C'!D986+'DCA-Anexo I-C'!D987+'DCA-Anexo I-C'!D988+'DCA-Anexo I-C'!D989+'DCA-Anexo I-C'!D990+'DCA-Anexo I-C'!D991</t>
  </si>
  <si>
    <t>'DCA-Anexo I-C'!E985=+'DCA-Anexo I-C'!E986+'DCA-Anexo I-C'!E987+'DCA-Anexo I-C'!E988+'DCA-Anexo I-C'!E989+'DCA-Anexo I-C'!E990+'DCA-Anexo I-C'!E991</t>
  </si>
  <si>
    <t>'DCA-Anexo I-C'!B992=+'DCA-Anexo I-C'!B993</t>
  </si>
  <si>
    <t>'DCA-Anexo I-C'!C992=+'DCA-Anexo I-C'!C993</t>
  </si>
  <si>
    <t>'DCA-Anexo I-C'!D992=+'DCA-Anexo I-C'!D993</t>
  </si>
  <si>
    <t>'DCA-Anexo I-C'!E992=+'DCA-Anexo I-C'!E993</t>
  </si>
  <si>
    <t>'DCA-Anexo I-C'!B993=+'DCA-Anexo I-C'!B994+'DCA-Anexo I-C'!B995+'DCA-Anexo I-C'!B996+'DCA-Anexo I-C'!B997</t>
  </si>
  <si>
    <t>'DCA-Anexo I-C'!C993=+'DCA-Anexo I-C'!C994+'DCA-Anexo I-C'!C995+'DCA-Anexo I-C'!C996+'DCA-Anexo I-C'!C997</t>
  </si>
  <si>
    <t>'DCA-Anexo I-C'!D993=+'DCA-Anexo I-C'!D994+'DCA-Anexo I-C'!D995+'DCA-Anexo I-C'!D996+'DCA-Anexo I-C'!D997</t>
  </si>
  <si>
    <t>'DCA-Anexo I-C'!E993=+'DCA-Anexo I-C'!E994+'DCA-Anexo I-C'!E995+'DCA-Anexo I-C'!E996+'DCA-Anexo I-C'!E997</t>
  </si>
  <si>
    <t>'DCA-Anexo I-C'!B998=+'DCA-Anexo I-C'!B999+'DCA-Anexo I-C'!B1006</t>
  </si>
  <si>
    <t>'DCA-Anexo I-C'!C998=+'DCA-Anexo I-C'!C999+'DCA-Anexo I-C'!C1006</t>
  </si>
  <si>
    <t>'DCA-Anexo I-C'!D998=+'DCA-Anexo I-C'!D999+'DCA-Anexo I-C'!D1006</t>
  </si>
  <si>
    <t>'DCA-Anexo I-C'!E998=+'DCA-Anexo I-C'!E999+'DCA-Anexo I-C'!E1006</t>
  </si>
  <si>
    <t>'DCA-Anexo I-C'!B999=+'DCA-Anexo I-C'!B1000+'DCA-Anexo I-C'!B1001+'DCA-Anexo I-C'!B1002+'DCA-Anexo I-C'!B1003+'DCA-Anexo I-C'!B1004+'DCA-Anexo I-C'!B1005</t>
  </si>
  <si>
    <t>'DCA-Anexo I-C'!C999=+'DCA-Anexo I-C'!C1000+'DCA-Anexo I-C'!C1001+'DCA-Anexo I-C'!C1002+'DCA-Anexo I-C'!C1003+'DCA-Anexo I-C'!C1004+'DCA-Anexo I-C'!C1005</t>
  </si>
  <si>
    <t>'DCA-Anexo I-C'!D999=+'DCA-Anexo I-C'!D1000+'DCA-Anexo I-C'!D1001+'DCA-Anexo I-C'!D1002+'DCA-Anexo I-C'!D1003+'DCA-Anexo I-C'!D1004+'DCA-Anexo I-C'!D1005</t>
  </si>
  <si>
    <t>'DCA-Anexo I-C'!E999=+'DCA-Anexo I-C'!E1000+'DCA-Anexo I-C'!E1001+'DCA-Anexo I-C'!E1002+'DCA-Anexo I-C'!E1003+'DCA-Anexo I-C'!E1004+'DCA-Anexo I-C'!E1005</t>
  </si>
  <si>
    <t>'DCA-Anexo I-C'!B1006=+'DCA-Anexo I-C'!B1007+'DCA-Anexo I-C'!B1008</t>
  </si>
  <si>
    <t>'DCA-Anexo I-C'!C1006=+'DCA-Anexo I-C'!C1007+'DCA-Anexo I-C'!C1008</t>
  </si>
  <si>
    <t>'DCA-Anexo I-C'!D1006=+'DCA-Anexo I-C'!D1007+'DCA-Anexo I-C'!D1008</t>
  </si>
  <si>
    <t>'DCA-Anexo I-C'!E1006=+'DCA-Anexo I-C'!E1007+'DCA-Anexo I-C'!E1008</t>
  </si>
  <si>
    <t>'DCA-Anexo I-C'!B1009=+'DCA-Anexo I-C'!B1010</t>
  </si>
  <si>
    <t>'DCA-Anexo I-C'!C1009=+'DCA-Anexo I-C'!C1010</t>
  </si>
  <si>
    <t>'DCA-Anexo I-C'!D1009=+'DCA-Anexo I-C'!D1010</t>
  </si>
  <si>
    <t>'DCA-Anexo I-C'!E1009=+'DCA-Anexo I-C'!E1010</t>
  </si>
  <si>
    <t>'DCA-Anexo I-C'!B1010=+'DCA-Anexo I-C'!B1011+'DCA-Anexo I-C'!B1012+'DCA-Anexo I-C'!B1013</t>
  </si>
  <si>
    <t>'DCA-Anexo I-C'!C1010=+'DCA-Anexo I-C'!C1011+'DCA-Anexo I-C'!C1012+'DCA-Anexo I-C'!C1013</t>
  </si>
  <si>
    <t>'DCA-Anexo I-C'!D1010=+'DCA-Anexo I-C'!D1011+'DCA-Anexo I-C'!D1012+'DCA-Anexo I-C'!D1013</t>
  </si>
  <si>
    <t>'DCA-Anexo I-C'!E1010=+'DCA-Anexo I-C'!E1011+'DCA-Anexo I-C'!E1012+'DCA-Anexo I-C'!E1013</t>
  </si>
  <si>
    <t>'DCA-Anexo I-C'!B1015=+'DCA-Anexo I-C'!B1016+'DCA-Anexo I-C'!B1017+'DCA-Anexo I-C'!B1018+'DCA-Anexo I-C'!B1019+'DCA-Anexo I-C'!B1020+'DCA-Anexo I-C'!B1021+'DCA-Anexo I-C'!B1022</t>
  </si>
  <si>
    <t>'DCA-Anexo I-C'!C1015=+'DCA-Anexo I-C'!C1016+'DCA-Anexo I-C'!C1017+'DCA-Anexo I-C'!C1018+'DCA-Anexo I-C'!C1019+'DCA-Anexo I-C'!C1020+'DCA-Anexo I-C'!C1021+'DCA-Anexo I-C'!C1022</t>
  </si>
  <si>
    <t>'DCA-Anexo I-C'!D1015=+'DCA-Anexo I-C'!D1016+'DCA-Anexo I-C'!D1017+'DCA-Anexo I-C'!D1018+'DCA-Anexo I-C'!D1019+'DCA-Anexo I-C'!D1020+'DCA-Anexo I-C'!D1021+'DCA-Anexo I-C'!D1022</t>
  </si>
  <si>
    <t>'DCA-Anexo I-C'!E1015=+'DCA-Anexo I-C'!E1016+'DCA-Anexo I-C'!E1017+'DCA-Anexo I-C'!E1018+'DCA-Anexo I-C'!E1019+'DCA-Anexo I-C'!E1020+'DCA-Anexo I-C'!E1021+'DCA-Anexo I-C'!E1022</t>
  </si>
  <si>
    <t>'DCA-Anexo I-C'!B1023=+'DCA-Anexo I-C'!B1024+'DCA-Anexo I-C'!B1025+'DCA-Anexo I-C'!B1026+'DCA-Anexo I-C'!B1027+'DCA-Anexo I-C'!B1033</t>
  </si>
  <si>
    <t>'DCA-Anexo I-C'!C1023=+'DCA-Anexo I-C'!C1024+'DCA-Anexo I-C'!C1025+'DCA-Anexo I-C'!C1026+'DCA-Anexo I-C'!C1027+'DCA-Anexo I-C'!C1033</t>
  </si>
  <si>
    <t>'DCA-Anexo I-C'!D1023=+'DCA-Anexo I-C'!D1024+'DCA-Anexo I-C'!D1025+'DCA-Anexo I-C'!D1026+'DCA-Anexo I-C'!D1027+'DCA-Anexo I-C'!D1033</t>
  </si>
  <si>
    <t>'DCA-Anexo I-C'!E1023=+'DCA-Anexo I-C'!E1024+'DCA-Anexo I-C'!E1025+'DCA-Anexo I-C'!E1026+'DCA-Anexo I-C'!E1027+'DCA-Anexo I-C'!E1033</t>
  </si>
  <si>
    <t>'DCA-Anexo I-C'!B1033=+'DCA-Anexo I-C'!B1034</t>
  </si>
  <si>
    <t>'DCA-Anexo I-C'!C1033=+'DCA-Anexo I-C'!C1034</t>
  </si>
  <si>
    <t>'DCA-Anexo I-C'!D1033=+'DCA-Anexo I-C'!D1034</t>
  </si>
  <si>
    <t>'DCA-Anexo I-C'!E1033=+'DCA-Anexo I-C'!E1034</t>
  </si>
  <si>
    <t>'DCA-Anexo I-C'!B1034=+'DCA-Anexo I-C'!B1035+'DCA-Anexo I-C'!B1036+'DCA-Anexo I-C'!B1037+'DCA-Anexo I-C'!B1038+'DCA-Anexo I-C'!B1039+'DCA-Anexo I-C'!B1040+'DCA-Anexo I-C'!B1041+'DCA-Anexo I-C'!B1042+'DCA-Anexo I-C'!B1043+'DCA-Anexo I-C'!B1044+'DCA-Anexo I-C'!B1045+'DCA-Anexo I-C'!B1046+'DCA-Anexo I-C'!B1047+'DCA-Anexo I-C'!B1048+'DCA-Anexo I-C'!B1049+'DCA-Anexo I-C'!B1050+'DCA-Anexo I-C'!B1051+'DCA-Anexo I-C'!B1052+'DCA-Anexo I-C'!B1053+'DCA-Anexo I-C'!B1054+'DCA-Anexo I-C'!B1055+'DCA-Anexo I-C'!B1056</t>
  </si>
  <si>
    <t>'DCA-Anexo I-C'!C1034=+'DCA-Anexo I-C'!C1035+'DCA-Anexo I-C'!C1036+'DCA-Anexo I-C'!C1037+'DCA-Anexo I-C'!C1038+'DCA-Anexo I-C'!C1039+'DCA-Anexo I-C'!C1040+'DCA-Anexo I-C'!C1041+'DCA-Anexo I-C'!C1042+'DCA-Anexo I-C'!C1043+'DCA-Anexo I-C'!C1044+'DCA-Anexo I-C'!C1045+'DCA-Anexo I-C'!C1046+'DCA-Anexo I-C'!C1047+'DCA-Anexo I-C'!C1048+'DCA-Anexo I-C'!C1049+'DCA-Anexo I-C'!C1050+'DCA-Anexo I-C'!C1051+'DCA-Anexo I-C'!C1052+'DCA-Anexo I-C'!C1053+'DCA-Anexo I-C'!C1054+'DCA-Anexo I-C'!C1055+'DCA-Anexo I-C'!C1056</t>
  </si>
  <si>
    <t>'DCA-Anexo I-C'!D1034=+'DCA-Anexo I-C'!D1035+'DCA-Anexo I-C'!D1036+'DCA-Anexo I-C'!D1037+'DCA-Anexo I-C'!D1038+'DCA-Anexo I-C'!D1039+'DCA-Anexo I-C'!D1040+'DCA-Anexo I-C'!D1041+'DCA-Anexo I-C'!D1042+'DCA-Anexo I-C'!D1043+'DCA-Anexo I-C'!D1044+'DCA-Anexo I-C'!D1045+'DCA-Anexo I-C'!D1046+'DCA-Anexo I-C'!D1047+'DCA-Anexo I-C'!D1048+'DCA-Anexo I-C'!D1049+'DCA-Anexo I-C'!D1050+'DCA-Anexo I-C'!D1051+'DCA-Anexo I-C'!D1052+'DCA-Anexo I-C'!D1053+'DCA-Anexo I-C'!D1054+'DCA-Anexo I-C'!D1055+'DCA-Anexo I-C'!D1056</t>
  </si>
  <si>
    <t>'DCA-Anexo I-C'!E1034=+'DCA-Anexo I-C'!E1035+'DCA-Anexo I-C'!E1036+'DCA-Anexo I-C'!E1037+'DCA-Anexo I-C'!E1038+'DCA-Anexo I-C'!E1039+'DCA-Anexo I-C'!E1040+'DCA-Anexo I-C'!E1041+'DCA-Anexo I-C'!E1042+'DCA-Anexo I-C'!E1043+'DCA-Anexo I-C'!E1044+'DCA-Anexo I-C'!E1045+'DCA-Anexo I-C'!E1046+'DCA-Anexo I-C'!E1047+'DCA-Anexo I-C'!E1048+'DCA-Anexo I-C'!E1049+'DCA-Anexo I-C'!E1050+'DCA-Anexo I-C'!E1051+'DCA-Anexo I-C'!E1052+'DCA-Anexo I-C'!E1053+'DCA-Anexo I-C'!E1054+'DCA-Anexo I-C'!E1055+'DCA-Anexo I-C'!E1056</t>
  </si>
  <si>
    <t>'DCA-Anexo I-C'!B1056=+'DCA-Anexo I-C'!B1057+'DCA-Anexo I-C'!B1058+'DCA-Anexo I-C'!B1059</t>
  </si>
  <si>
    <t>'DCA-Anexo I-C'!C1056=+'DCA-Anexo I-C'!C1057+'DCA-Anexo I-C'!C1058+'DCA-Anexo I-C'!C1059</t>
  </si>
  <si>
    <t>'DCA-Anexo I-C'!D1056=+'DCA-Anexo I-C'!D1057+'DCA-Anexo I-C'!D1058+'DCA-Anexo I-C'!D1059</t>
  </si>
  <si>
    <t>'DCA-Anexo I-C'!E1056=+'DCA-Anexo I-C'!E1057+'DCA-Anexo I-C'!E1058+'DCA-Anexo I-C'!E1059</t>
  </si>
  <si>
    <t>'DCA-Anexo I-C'!B1060=+'DCA-Anexo I-C'!B1061+'DCA-Anexo I-C'!B1064+'DCA-Anexo I-C'!B1068+'DCA-Anexo I-C'!B1069+'DCA-Anexo I-C'!B1077</t>
  </si>
  <si>
    <t>'DCA-Anexo I-C'!C1060=+'DCA-Anexo I-C'!C1061+'DCA-Anexo I-C'!C1064+'DCA-Anexo I-C'!C1068+'DCA-Anexo I-C'!C1069+'DCA-Anexo I-C'!C1077</t>
  </si>
  <si>
    <t>'DCA-Anexo I-C'!D1060=+'DCA-Anexo I-C'!D1061+'DCA-Anexo I-C'!D1064+'DCA-Anexo I-C'!D1068+'DCA-Anexo I-C'!D1069+'DCA-Anexo I-C'!D1077</t>
  </si>
  <si>
    <t>'DCA-Anexo I-C'!E1060=+'DCA-Anexo I-C'!E1061+'DCA-Anexo I-C'!E1064+'DCA-Anexo I-C'!E1068+'DCA-Anexo I-C'!E1069+'DCA-Anexo I-C'!E1077</t>
  </si>
  <si>
    <t>'DCA-Anexo I-C'!B1061=+'DCA-Anexo I-C'!B1062+'DCA-Anexo I-C'!B1063</t>
  </si>
  <si>
    <t>'DCA-Anexo I-C'!C1061=+'DCA-Anexo I-C'!C1062+'DCA-Anexo I-C'!C1063</t>
  </si>
  <si>
    <t>'DCA-Anexo I-C'!D1061=+'DCA-Anexo I-C'!D1062+'DCA-Anexo I-C'!D1063</t>
  </si>
  <si>
    <t>'DCA-Anexo I-C'!E1061=+'DCA-Anexo I-C'!E1062+'DCA-Anexo I-C'!E1063</t>
  </si>
  <si>
    <t>'DCA-Anexo I-C'!B1064=+'DCA-Anexo I-C'!B1065+'DCA-Anexo I-C'!B1066+'DCA-Anexo I-C'!B1067</t>
  </si>
  <si>
    <t>'DCA-Anexo I-C'!C1064=+'DCA-Anexo I-C'!C1065+'DCA-Anexo I-C'!C1066+'DCA-Anexo I-C'!C1067</t>
  </si>
  <si>
    <t>'DCA-Anexo I-C'!D1064=+'DCA-Anexo I-C'!D1065+'DCA-Anexo I-C'!D1066+'DCA-Anexo I-C'!D1067</t>
  </si>
  <si>
    <t>'DCA-Anexo I-C'!E1064=+'DCA-Anexo I-C'!E1065+'DCA-Anexo I-C'!E1066+'DCA-Anexo I-C'!E1067</t>
  </si>
  <si>
    <t>'DCA-Anexo I-C'!B1069=+'DCA-Anexo I-C'!B1070+'DCA-Anexo I-C'!B1071+'DCA-Anexo I-C'!B1072+'DCA-Anexo I-C'!B1073+'DCA-Anexo I-C'!B1074+'DCA-Anexo I-C'!B1075+'DCA-Anexo I-C'!B1076</t>
  </si>
  <si>
    <t>'DCA-Anexo I-C'!C1069=+'DCA-Anexo I-C'!C1070+'DCA-Anexo I-C'!C1071+'DCA-Anexo I-C'!C1072+'DCA-Anexo I-C'!C1073+'DCA-Anexo I-C'!C1074+'DCA-Anexo I-C'!C1075+'DCA-Anexo I-C'!C1076</t>
  </si>
  <si>
    <t>'DCA-Anexo I-C'!D1069=+'DCA-Anexo I-C'!D1070+'DCA-Anexo I-C'!D1071+'DCA-Anexo I-C'!D1072+'DCA-Anexo I-C'!D1073+'DCA-Anexo I-C'!D1074+'DCA-Anexo I-C'!D1075+'DCA-Anexo I-C'!D1076</t>
  </si>
  <si>
    <t>'DCA-Anexo I-C'!E1069=+'DCA-Anexo I-C'!E1070+'DCA-Anexo I-C'!E1071+'DCA-Anexo I-C'!E1072+'DCA-Anexo I-C'!E1073+'DCA-Anexo I-C'!E1074+'DCA-Anexo I-C'!E1075+'DCA-Anexo I-C'!E1076</t>
  </si>
  <si>
    <t>'DCA-Anexo I-C'!B1027=+'DCA-Anexo I-C'!B1028+'DCA-Anexo I-C'!B1029+'DCA-Anexo I-C'!B1030+'DCA-Anexo I-C'!B1031+'DCA-Anexo I-C'!B1032</t>
  </si>
  <si>
    <t>'DCA-Anexo I-C'!C1027=+'DCA-Anexo I-C'!C1028+'DCA-Anexo I-C'!C1029+'DCA-Anexo I-C'!C1030+'DCA-Anexo I-C'!C1031+'DCA-Anexo I-C'!C1032</t>
  </si>
  <si>
    <t>'DCA-Anexo I-C'!D1027=+'DCA-Anexo I-C'!D1028+'DCA-Anexo I-C'!D1029+'DCA-Anexo I-C'!D1030+'DCA-Anexo I-C'!D1031+'DCA-Anexo I-C'!D1032</t>
  </si>
  <si>
    <t>'DCA-Anexo I-C'!E1027=+'DCA-Anexo I-C'!E1028+'DCA-Anexo I-C'!E1029+'DCA-Anexo I-C'!E1030+'DCA-Anexo I-C'!E1031+'DCA-Anexo I-C'!E1032</t>
  </si>
  <si>
    <t>'DCA-Anexo I-C'!B936=+'DCA-Anexo I-C'!B937+'DCA-Anexo I-C'!B938+'DCA-Anexo I-C'!B939+'DCA-Anexo I-C'!B940</t>
  </si>
  <si>
    <t>'DCA-Anexo I-C'!C936=+'DCA-Anexo I-C'!C937+'DCA-Anexo I-C'!C938+'DCA-Anexo I-C'!C939+'DCA-Anexo I-C'!C940</t>
  </si>
  <si>
    <t>'DCA-Anexo I-C'!D936=+'DCA-Anexo I-C'!D937+'DCA-Anexo I-C'!D938+'DCA-Anexo I-C'!D939+'DCA-Anexo I-C'!D940</t>
  </si>
  <si>
    <t>'DCA-Anexo I-C'!E936=+'DCA-Anexo I-C'!E937+'DCA-Anexo I-C'!E938+'DCA-Anexo I-C'!E939+'DCA-Anexo I-C'!E940</t>
  </si>
  <si>
    <t>[DCA-Anexo I-D]</t>
  </si>
  <si>
    <t>'DCA-Anexo I-D'!B22=+'DCA-Anexo I-D'!B34+'DCA-Anexo I-D'!B45+'DCA-Anexo I-D'!B36+'DCA-Anexo I-D'!B46+'DCA-Anexo I-D'!B37+'DCA-Anexo I-D'!B26+'DCA-Anexo I-D'!B100+'DCA-Anexo I-D'!B98+'DCA-Anexo I-D'!B31+'DCA-Anexo I-D'!B23+'DCA-Anexo I-D'!B102+'DCA-Anexo I-D'!B24+'DCA-Anexo I-D'!B75+'DCA-Anexo I-D'!B32+'DCA-Anexo I-D'!B99+'DCA-Anexo I-D'!B44+'DCA-Anexo I-D'!B25+'DCA-Anexo I-D'!B27+'DCA-Anexo I-D'!B101+'DCA-Anexo I-D'!B28+'DCA-Anexo I-D'!B40+'DCA-Anexo I-D'!B38+'DCA-Anexo I-D'!B35+'DCA-Anexo I-D'!B39+'DCA-Anexo I-D'!B30+'DCA-Anexo I-D'!B33+'DCA-Anexo I-D'!B43+'DCA-Anexo I-D'!B29+'DCA-Anexo I-D'!B42+'DCA-Anexo I-D'!B41+'DCA-Anexo I-D'!B97</t>
  </si>
  <si>
    <t>'DCA-Anexo I-D'!C22=+'DCA-Anexo I-D'!C34+'DCA-Anexo I-D'!C45+'DCA-Anexo I-D'!C36+'DCA-Anexo I-D'!C46+'DCA-Anexo I-D'!C37+'DCA-Anexo I-D'!C26+'DCA-Anexo I-D'!C100+'DCA-Anexo I-D'!C98+'DCA-Anexo I-D'!C31+'DCA-Anexo I-D'!C23+'DCA-Anexo I-D'!C102+'DCA-Anexo I-D'!C24+'DCA-Anexo I-D'!C75+'DCA-Anexo I-D'!C32+'DCA-Anexo I-D'!C99+'DCA-Anexo I-D'!C44+'DCA-Anexo I-D'!C25+'DCA-Anexo I-D'!C27+'DCA-Anexo I-D'!C101+'DCA-Anexo I-D'!C28+'DCA-Anexo I-D'!C40+'DCA-Anexo I-D'!C38+'DCA-Anexo I-D'!C35+'DCA-Anexo I-D'!C39+'DCA-Anexo I-D'!C30+'DCA-Anexo I-D'!C33+'DCA-Anexo I-D'!C43+'DCA-Anexo I-D'!C29+'DCA-Anexo I-D'!C42+'DCA-Anexo I-D'!C41+'DCA-Anexo I-D'!C97</t>
  </si>
  <si>
    <t>'DCA-Anexo I-D'!D22=+'DCA-Anexo I-D'!D34+'DCA-Anexo I-D'!D45+'DCA-Anexo I-D'!D36+'DCA-Anexo I-D'!D46+'DCA-Anexo I-D'!D37+'DCA-Anexo I-D'!D26+'DCA-Anexo I-D'!D100+'DCA-Anexo I-D'!D98+'DCA-Anexo I-D'!D31+'DCA-Anexo I-D'!D23+'DCA-Anexo I-D'!D102+'DCA-Anexo I-D'!D24+'DCA-Anexo I-D'!D75+'DCA-Anexo I-D'!D32+'DCA-Anexo I-D'!D99+'DCA-Anexo I-D'!D44+'DCA-Anexo I-D'!D25+'DCA-Anexo I-D'!D27+'DCA-Anexo I-D'!D101+'DCA-Anexo I-D'!D28+'DCA-Anexo I-D'!D40+'DCA-Anexo I-D'!D38+'DCA-Anexo I-D'!D35+'DCA-Anexo I-D'!D39+'DCA-Anexo I-D'!D30+'DCA-Anexo I-D'!D33+'DCA-Anexo I-D'!D43+'DCA-Anexo I-D'!D29+'DCA-Anexo I-D'!D42+'DCA-Anexo I-D'!D41+'DCA-Anexo I-D'!D97</t>
  </si>
  <si>
    <t>'DCA-Anexo I-D'!E22=+'DCA-Anexo I-D'!E34+'DCA-Anexo I-D'!E45+'DCA-Anexo I-D'!E36+'DCA-Anexo I-D'!E46+'DCA-Anexo I-D'!E37+'DCA-Anexo I-D'!E26+'DCA-Anexo I-D'!E100+'DCA-Anexo I-D'!E98+'DCA-Anexo I-D'!E31+'DCA-Anexo I-D'!E23+'DCA-Anexo I-D'!E102+'DCA-Anexo I-D'!E24+'DCA-Anexo I-D'!E75+'DCA-Anexo I-D'!E32+'DCA-Anexo I-D'!E99+'DCA-Anexo I-D'!E44+'DCA-Anexo I-D'!E25+'DCA-Anexo I-D'!E27+'DCA-Anexo I-D'!E101+'DCA-Anexo I-D'!E28+'DCA-Anexo I-D'!E40+'DCA-Anexo I-D'!E38+'DCA-Anexo I-D'!E35+'DCA-Anexo I-D'!E39+'DCA-Anexo I-D'!E30+'DCA-Anexo I-D'!E33+'DCA-Anexo I-D'!E43+'DCA-Anexo I-D'!E29+'DCA-Anexo I-D'!E42+'DCA-Anexo I-D'!E41+'DCA-Anexo I-D'!E97</t>
  </si>
  <si>
    <t>'DCA-Anexo I-D'!F22=+'DCA-Anexo I-D'!F34+'DCA-Anexo I-D'!F45+'DCA-Anexo I-D'!F36+'DCA-Anexo I-D'!F46+'DCA-Anexo I-D'!F37+'DCA-Anexo I-D'!F26+'DCA-Anexo I-D'!F100+'DCA-Anexo I-D'!F98+'DCA-Anexo I-D'!F31+'DCA-Anexo I-D'!F23+'DCA-Anexo I-D'!F102+'DCA-Anexo I-D'!F24+'DCA-Anexo I-D'!F75+'DCA-Anexo I-D'!F32+'DCA-Anexo I-D'!F99+'DCA-Anexo I-D'!F44+'DCA-Anexo I-D'!F25+'DCA-Anexo I-D'!F27+'DCA-Anexo I-D'!F101+'DCA-Anexo I-D'!F28+'DCA-Anexo I-D'!F40+'DCA-Anexo I-D'!F38+'DCA-Anexo I-D'!F35+'DCA-Anexo I-D'!F39+'DCA-Anexo I-D'!F30+'DCA-Anexo I-D'!F33+'DCA-Anexo I-D'!F43+'DCA-Anexo I-D'!F29+'DCA-Anexo I-D'!F42+'DCA-Anexo I-D'!F41+'DCA-Anexo I-D'!F97</t>
  </si>
  <si>
    <t>'DCA-Anexo I-D'!B54=+'DCA-Anexo I-D'!B65+'DCA-Anexo I-D'!B58+'DCA-Anexo I-D'!B59+'DCA-Anexo I-D'!B55+'DCA-Anexo I-D'!B56+'DCA-Anexo I-D'!B57+'DCA-Anexo I-D'!B60+'DCA-Anexo I-D'!B61+'DCA-Anexo I-D'!B62+'DCA-Anexo I-D'!B63+'DCA-Anexo I-D'!B64</t>
  </si>
  <si>
    <t>'DCA-Anexo I-D'!C54=+'DCA-Anexo I-D'!C65+'DCA-Anexo I-D'!C58+'DCA-Anexo I-D'!C59+'DCA-Anexo I-D'!C55+'DCA-Anexo I-D'!C56+'DCA-Anexo I-D'!C57+'DCA-Anexo I-D'!C60+'DCA-Anexo I-D'!C61+'DCA-Anexo I-D'!C62+'DCA-Anexo I-D'!C63+'DCA-Anexo I-D'!C64</t>
  </si>
  <si>
    <t>'DCA-Anexo I-D'!D54=+'DCA-Anexo I-D'!D65+'DCA-Anexo I-D'!D58+'DCA-Anexo I-D'!D59+'DCA-Anexo I-D'!D55+'DCA-Anexo I-D'!D56+'DCA-Anexo I-D'!D57+'DCA-Anexo I-D'!D60+'DCA-Anexo I-D'!D61+'DCA-Anexo I-D'!D62+'DCA-Anexo I-D'!D63+'DCA-Anexo I-D'!D64</t>
  </si>
  <si>
    <t>'DCA-Anexo I-D'!E54=+'DCA-Anexo I-D'!E65+'DCA-Anexo I-D'!E58+'DCA-Anexo I-D'!E59+'DCA-Anexo I-D'!E55+'DCA-Anexo I-D'!E56+'DCA-Anexo I-D'!E57+'DCA-Anexo I-D'!E60+'DCA-Anexo I-D'!E61+'DCA-Anexo I-D'!E62+'DCA-Anexo I-D'!E63+'DCA-Anexo I-D'!E64</t>
  </si>
  <si>
    <t>'DCA-Anexo I-D'!F54=+'DCA-Anexo I-D'!F65+'DCA-Anexo I-D'!F58+'DCA-Anexo I-D'!F59+'DCA-Anexo I-D'!F55+'DCA-Anexo I-D'!F56+'DCA-Anexo I-D'!F57+'DCA-Anexo I-D'!F60+'DCA-Anexo I-D'!F61+'DCA-Anexo I-D'!F62+'DCA-Anexo I-D'!F63+'DCA-Anexo I-D'!F64</t>
  </si>
  <si>
    <t>'DCA-Anexo I-D'!B75=+'DCA-Anexo I-D'!B94+'DCA-Anexo I-D'!B76+'DCA-Anexo I-D'!B92+'DCA-Anexo I-D'!B95+'DCA-Anexo I-D'!B93+'DCA-Anexo I-D'!B78+'DCA-Anexo I-D'!B96+'DCA-Anexo I-D'!B77+'DCA-Anexo I-D'!B91</t>
  </si>
  <si>
    <t>'DCA-Anexo I-D'!C75=+'DCA-Anexo I-D'!C94+'DCA-Anexo I-D'!C76+'DCA-Anexo I-D'!C92+'DCA-Anexo I-D'!C95+'DCA-Anexo I-D'!C93+'DCA-Anexo I-D'!C78+'DCA-Anexo I-D'!C96+'DCA-Anexo I-D'!C77+'DCA-Anexo I-D'!C91</t>
  </si>
  <si>
    <t>'DCA-Anexo I-D'!D75=+'DCA-Anexo I-D'!D94+'DCA-Anexo I-D'!D76+'DCA-Anexo I-D'!D92+'DCA-Anexo I-D'!D95+'DCA-Anexo I-D'!D93+'DCA-Anexo I-D'!D78+'DCA-Anexo I-D'!D96+'DCA-Anexo I-D'!D77+'DCA-Anexo I-D'!D91</t>
  </si>
  <si>
    <t>'DCA-Anexo I-D'!E75=+'DCA-Anexo I-D'!E94+'DCA-Anexo I-D'!E76+'DCA-Anexo I-D'!E92+'DCA-Anexo I-D'!E95+'DCA-Anexo I-D'!E93+'DCA-Anexo I-D'!E78+'DCA-Anexo I-D'!E96+'DCA-Anexo I-D'!E77+'DCA-Anexo I-D'!E91</t>
  </si>
  <si>
    <t>'DCA-Anexo I-D'!F75=+'DCA-Anexo I-D'!F94+'DCA-Anexo I-D'!F76+'DCA-Anexo I-D'!F92+'DCA-Anexo I-D'!F95+'DCA-Anexo I-D'!F93+'DCA-Anexo I-D'!F78+'DCA-Anexo I-D'!F96+'DCA-Anexo I-D'!F77+'DCA-Anexo I-D'!F91</t>
  </si>
  <si>
    <t>'DCA-Anexo I-D'!B78=+'DCA-Anexo I-D'!B79+'DCA-Anexo I-D'!B80+'DCA-Anexo I-D'!B81+'DCA-Anexo I-D'!B82+'DCA-Anexo I-D'!B83+'DCA-Anexo I-D'!B84+'DCA-Anexo I-D'!B85+'DCA-Anexo I-D'!B86+'DCA-Anexo I-D'!B87+'DCA-Anexo I-D'!B88+'DCA-Anexo I-D'!B89+'DCA-Anexo I-D'!B90</t>
  </si>
  <si>
    <t>'DCA-Anexo I-D'!C78=+'DCA-Anexo I-D'!C79+'DCA-Anexo I-D'!C80+'DCA-Anexo I-D'!C81+'DCA-Anexo I-D'!C82+'DCA-Anexo I-D'!C83+'DCA-Anexo I-D'!C84+'DCA-Anexo I-D'!C85+'DCA-Anexo I-D'!C86+'DCA-Anexo I-D'!C87+'DCA-Anexo I-D'!C88+'DCA-Anexo I-D'!C89+'DCA-Anexo I-D'!C90</t>
  </si>
  <si>
    <t>'DCA-Anexo I-D'!D78=+'DCA-Anexo I-D'!D79+'DCA-Anexo I-D'!D80+'DCA-Anexo I-D'!D81+'DCA-Anexo I-D'!D82+'DCA-Anexo I-D'!D83+'DCA-Anexo I-D'!D84+'DCA-Anexo I-D'!D85+'DCA-Anexo I-D'!D86+'DCA-Anexo I-D'!D87+'DCA-Anexo I-D'!D88+'DCA-Anexo I-D'!D89+'DCA-Anexo I-D'!D90</t>
  </si>
  <si>
    <t>'DCA-Anexo I-D'!E78=+'DCA-Anexo I-D'!E79+'DCA-Anexo I-D'!E80+'DCA-Anexo I-D'!E81+'DCA-Anexo I-D'!E82+'DCA-Anexo I-D'!E83+'DCA-Anexo I-D'!E84+'DCA-Anexo I-D'!E85+'DCA-Anexo I-D'!E86+'DCA-Anexo I-D'!E87+'DCA-Anexo I-D'!E88+'DCA-Anexo I-D'!E89+'DCA-Anexo I-D'!E90</t>
  </si>
  <si>
    <t>'DCA-Anexo I-D'!F78=+'DCA-Anexo I-D'!F79+'DCA-Anexo I-D'!F80+'DCA-Anexo I-D'!F81+'DCA-Anexo I-D'!F82+'DCA-Anexo I-D'!F83+'DCA-Anexo I-D'!F84+'DCA-Anexo I-D'!F85+'DCA-Anexo I-D'!F86+'DCA-Anexo I-D'!F87+'DCA-Anexo I-D'!F88+'DCA-Anexo I-D'!F89+'DCA-Anexo I-D'!F90</t>
  </si>
  <si>
    <t>'DCA-Anexo I-D'!B46=+'DCA-Anexo I-D'!B47+'DCA-Anexo I-D'!B48+'DCA-Anexo I-D'!B49+'DCA-Anexo I-D'!B50+'DCA-Anexo I-D'!B51+'DCA-Anexo I-D'!B52+'DCA-Anexo I-D'!B53+'DCA-Anexo I-D'!B66+'DCA-Anexo I-D'!B67+'DCA-Anexo I-D'!B68+'DCA-Anexo I-D'!B69+'DCA-Anexo I-D'!B70+'DCA-Anexo I-D'!B71+'DCA-Anexo I-D'!B72+'DCA-Anexo I-D'!B73+'DCA-Anexo I-D'!B74+'DCA-Anexo I-D'!B54</t>
  </si>
  <si>
    <t>'DCA-Anexo I-D'!C46=+'DCA-Anexo I-D'!C47+'DCA-Anexo I-D'!C48+'DCA-Anexo I-D'!C49+'DCA-Anexo I-D'!C50+'DCA-Anexo I-D'!C51+'DCA-Anexo I-D'!C52+'DCA-Anexo I-D'!C53+'DCA-Anexo I-D'!C66+'DCA-Anexo I-D'!C67+'DCA-Anexo I-D'!C68+'DCA-Anexo I-D'!C69+'DCA-Anexo I-D'!C70+'DCA-Anexo I-D'!C71+'DCA-Anexo I-D'!C72+'DCA-Anexo I-D'!C73+'DCA-Anexo I-D'!C74+'DCA-Anexo I-D'!C54</t>
  </si>
  <si>
    <t>'DCA-Anexo I-D'!D46=+'DCA-Anexo I-D'!D47+'DCA-Anexo I-D'!D48+'DCA-Anexo I-D'!D49+'DCA-Anexo I-D'!D50+'DCA-Anexo I-D'!D51+'DCA-Anexo I-D'!D52+'DCA-Anexo I-D'!D53+'DCA-Anexo I-D'!D66+'DCA-Anexo I-D'!D67+'DCA-Anexo I-D'!D68+'DCA-Anexo I-D'!D69+'DCA-Anexo I-D'!D70+'DCA-Anexo I-D'!D71+'DCA-Anexo I-D'!D72+'DCA-Anexo I-D'!D73+'DCA-Anexo I-D'!D74+'DCA-Anexo I-D'!D54</t>
  </si>
  <si>
    <t>'DCA-Anexo I-D'!E46=+'DCA-Anexo I-D'!E47+'DCA-Anexo I-D'!E48+'DCA-Anexo I-D'!E49+'DCA-Anexo I-D'!E50+'DCA-Anexo I-D'!E51+'DCA-Anexo I-D'!E52+'DCA-Anexo I-D'!E53+'DCA-Anexo I-D'!E66+'DCA-Anexo I-D'!E67+'DCA-Anexo I-D'!E68+'DCA-Anexo I-D'!E69+'DCA-Anexo I-D'!E70+'DCA-Anexo I-D'!E71+'DCA-Anexo I-D'!E72+'DCA-Anexo I-D'!E73+'DCA-Anexo I-D'!E74+'DCA-Anexo I-D'!E54</t>
  </si>
  <si>
    <t>'DCA-Anexo I-D'!F46=+'DCA-Anexo I-D'!F47+'DCA-Anexo I-D'!F48+'DCA-Anexo I-D'!F49+'DCA-Anexo I-D'!F50+'DCA-Anexo I-D'!F51+'DCA-Anexo I-D'!F52+'DCA-Anexo I-D'!F53+'DCA-Anexo I-D'!F66+'DCA-Anexo I-D'!F67+'DCA-Anexo I-D'!F68+'DCA-Anexo I-D'!F69+'DCA-Anexo I-D'!F70+'DCA-Anexo I-D'!F71+'DCA-Anexo I-D'!F72+'DCA-Anexo I-D'!F73+'DCA-Anexo I-D'!F74+'DCA-Anexo I-D'!F54</t>
  </si>
  <si>
    <t>'DCA-Anexo I-D'!B127=+'DCA-Anexo I-D'!B134+'DCA-Anexo I-D'!B137+'DCA-Anexo I-D'!B136+'DCA-Anexo I-D'!B132+'DCA-Anexo I-D'!B133+'DCA-Anexo I-D'!B129+'DCA-Anexo I-D'!B135+'DCA-Anexo I-D'!B128+'DCA-Anexo I-D'!B130+'DCA-Anexo I-D'!B131</t>
  </si>
  <si>
    <t>'DCA-Anexo I-D'!C127=+'DCA-Anexo I-D'!C134+'DCA-Anexo I-D'!C137+'DCA-Anexo I-D'!C136+'DCA-Anexo I-D'!C132+'DCA-Anexo I-D'!C133+'DCA-Anexo I-D'!C129+'DCA-Anexo I-D'!C135+'DCA-Anexo I-D'!C128+'DCA-Anexo I-D'!C130+'DCA-Anexo I-D'!C131</t>
  </si>
  <si>
    <t>'DCA-Anexo I-D'!D127=+'DCA-Anexo I-D'!D134+'DCA-Anexo I-D'!D137+'DCA-Anexo I-D'!D136+'DCA-Anexo I-D'!D132+'DCA-Anexo I-D'!D133+'DCA-Anexo I-D'!D129+'DCA-Anexo I-D'!D135+'DCA-Anexo I-D'!D128+'DCA-Anexo I-D'!D130+'DCA-Anexo I-D'!D131</t>
  </si>
  <si>
    <t>'DCA-Anexo I-D'!E127=+'DCA-Anexo I-D'!E134+'DCA-Anexo I-D'!E137+'DCA-Anexo I-D'!E136+'DCA-Anexo I-D'!E132+'DCA-Anexo I-D'!E133+'DCA-Anexo I-D'!E129+'DCA-Anexo I-D'!E135+'DCA-Anexo I-D'!E128+'DCA-Anexo I-D'!E130+'DCA-Anexo I-D'!E131</t>
  </si>
  <si>
    <t>'DCA-Anexo I-D'!F127=+'DCA-Anexo I-D'!F134+'DCA-Anexo I-D'!F137+'DCA-Anexo I-D'!F136+'DCA-Anexo I-D'!F132+'DCA-Anexo I-D'!F133+'DCA-Anexo I-D'!F129+'DCA-Anexo I-D'!F135+'DCA-Anexo I-D'!F128+'DCA-Anexo I-D'!F130+'DCA-Anexo I-D'!F131</t>
  </si>
  <si>
    <t>'DCA-Anexo I-D'!B103=+'DCA-Anexo I-D'!B104+'DCA-Anexo I-D'!B105+'DCA-Anexo I-D'!B106+'DCA-Anexo I-D'!B107+'DCA-Anexo I-D'!B108+'DCA-Anexo I-D'!B109+'DCA-Anexo I-D'!B110+'DCA-Anexo I-D'!B111+'DCA-Anexo I-D'!B112+'DCA-Anexo I-D'!B113+'DCA-Anexo I-D'!B114+'DCA-Anexo I-D'!B115+'DCA-Anexo I-D'!B116+'DCA-Anexo I-D'!B117+'DCA-Anexo I-D'!B118+'DCA-Anexo I-D'!B119+'DCA-Anexo I-D'!B121+'DCA-Anexo I-D'!B124+'DCA-Anexo I-D'!B125+'DCA-Anexo I-D'!B126+'DCA-Anexo I-D'!B138+'DCA-Anexo I-D'!B140+'DCA-Anexo I-D'!B141+'DCA-Anexo I-D'!B127+'DCA-Anexo I-D'!B142+'DCA-Anexo I-D'!B143+'DCA-Anexo I-D'!B144+'DCA-Anexo I-D'!B120+'DCA-Anexo I-D'!B122+'DCA-Anexo I-D'!B123+'DCA-Anexo I-D'!B139</t>
  </si>
  <si>
    <t>'DCA-Anexo I-D'!C103=+'DCA-Anexo I-D'!C104+'DCA-Anexo I-D'!C105+'DCA-Anexo I-D'!C106+'DCA-Anexo I-D'!C107+'DCA-Anexo I-D'!C108+'DCA-Anexo I-D'!C109+'DCA-Anexo I-D'!C110+'DCA-Anexo I-D'!C111+'DCA-Anexo I-D'!C112+'DCA-Anexo I-D'!C113+'DCA-Anexo I-D'!C114+'DCA-Anexo I-D'!C115+'DCA-Anexo I-D'!C116+'DCA-Anexo I-D'!C117+'DCA-Anexo I-D'!C118+'DCA-Anexo I-D'!C119+'DCA-Anexo I-D'!C121+'DCA-Anexo I-D'!C124+'DCA-Anexo I-D'!C125+'DCA-Anexo I-D'!C126+'DCA-Anexo I-D'!C138+'DCA-Anexo I-D'!C140+'DCA-Anexo I-D'!C141+'DCA-Anexo I-D'!C127+'DCA-Anexo I-D'!C142+'DCA-Anexo I-D'!C143+'DCA-Anexo I-D'!C144+'DCA-Anexo I-D'!C120+'DCA-Anexo I-D'!C122+'DCA-Anexo I-D'!C123+'DCA-Anexo I-D'!C139</t>
  </si>
  <si>
    <t>'DCA-Anexo I-D'!D103=+'DCA-Anexo I-D'!D104+'DCA-Anexo I-D'!D105+'DCA-Anexo I-D'!D106+'DCA-Anexo I-D'!D107+'DCA-Anexo I-D'!D108+'DCA-Anexo I-D'!D109+'DCA-Anexo I-D'!D110+'DCA-Anexo I-D'!D111+'DCA-Anexo I-D'!D112+'DCA-Anexo I-D'!D113+'DCA-Anexo I-D'!D114+'DCA-Anexo I-D'!D115+'DCA-Anexo I-D'!D116+'DCA-Anexo I-D'!D117+'DCA-Anexo I-D'!D118+'DCA-Anexo I-D'!D119+'DCA-Anexo I-D'!D121+'DCA-Anexo I-D'!D124+'DCA-Anexo I-D'!D125+'DCA-Anexo I-D'!D126+'DCA-Anexo I-D'!D138+'DCA-Anexo I-D'!D140+'DCA-Anexo I-D'!D141+'DCA-Anexo I-D'!D127+'DCA-Anexo I-D'!D142+'DCA-Anexo I-D'!D143+'DCA-Anexo I-D'!D144+'DCA-Anexo I-D'!D120+'DCA-Anexo I-D'!D122+'DCA-Anexo I-D'!D123+'DCA-Anexo I-D'!D139</t>
  </si>
  <si>
    <t>'DCA-Anexo I-D'!E103=+'DCA-Anexo I-D'!E104+'DCA-Anexo I-D'!E105+'DCA-Anexo I-D'!E106+'DCA-Anexo I-D'!E107+'DCA-Anexo I-D'!E108+'DCA-Anexo I-D'!E109+'DCA-Anexo I-D'!E110+'DCA-Anexo I-D'!E111+'DCA-Anexo I-D'!E112+'DCA-Anexo I-D'!E113+'DCA-Anexo I-D'!E114+'DCA-Anexo I-D'!E115+'DCA-Anexo I-D'!E116+'DCA-Anexo I-D'!E117+'DCA-Anexo I-D'!E118+'DCA-Anexo I-D'!E119+'DCA-Anexo I-D'!E121+'DCA-Anexo I-D'!E124+'DCA-Anexo I-D'!E125+'DCA-Anexo I-D'!E126+'DCA-Anexo I-D'!E138+'DCA-Anexo I-D'!E140+'DCA-Anexo I-D'!E141+'DCA-Anexo I-D'!E127+'DCA-Anexo I-D'!E142+'DCA-Anexo I-D'!E143+'DCA-Anexo I-D'!E144+'DCA-Anexo I-D'!E120+'DCA-Anexo I-D'!E122+'DCA-Anexo I-D'!E123+'DCA-Anexo I-D'!E139</t>
  </si>
  <si>
    <t>'DCA-Anexo I-D'!F103=+'DCA-Anexo I-D'!F104+'DCA-Anexo I-D'!F105+'DCA-Anexo I-D'!F106+'DCA-Anexo I-D'!F107+'DCA-Anexo I-D'!F108+'DCA-Anexo I-D'!F109+'DCA-Anexo I-D'!F110+'DCA-Anexo I-D'!F111+'DCA-Anexo I-D'!F112+'DCA-Anexo I-D'!F113+'DCA-Anexo I-D'!F114+'DCA-Anexo I-D'!F115+'DCA-Anexo I-D'!F116+'DCA-Anexo I-D'!F117+'DCA-Anexo I-D'!F118+'DCA-Anexo I-D'!F119+'DCA-Anexo I-D'!F121+'DCA-Anexo I-D'!F124+'DCA-Anexo I-D'!F125+'DCA-Anexo I-D'!F126+'DCA-Anexo I-D'!F138+'DCA-Anexo I-D'!F140+'DCA-Anexo I-D'!F141+'DCA-Anexo I-D'!F127+'DCA-Anexo I-D'!F142+'DCA-Anexo I-D'!F143+'DCA-Anexo I-D'!F144+'DCA-Anexo I-D'!F120+'DCA-Anexo I-D'!F122+'DCA-Anexo I-D'!F123+'DCA-Anexo I-D'!F139</t>
  </si>
  <si>
    <t>'DCA-Anexo I-D'!B145=+'DCA-Anexo I-D'!B158+'DCA-Anexo I-D'!B172+'DCA-Anexo I-D'!B175+'DCA-Anexo I-D'!B165+'DCA-Anexo I-D'!B170+'DCA-Anexo I-D'!B168+'DCA-Anexo I-D'!B177+'DCA-Anexo I-D'!B176+'DCA-Anexo I-D'!B167+'DCA-Anexo I-D'!B178+'DCA-Anexo I-D'!B154+'DCA-Anexo I-D'!B179+'DCA-Anexo I-D'!B166+'DCA-Anexo I-D'!B148+'DCA-Anexo I-D'!B146+'DCA-Anexo I-D'!B155+'DCA-Anexo I-D'!B157+'DCA-Anexo I-D'!B169+'DCA-Anexo I-D'!B231+'DCA-Anexo I-D'!B156+'DCA-Anexo I-D'!B173+'DCA-Anexo I-D'!B234+'DCA-Anexo I-D'!B232+'DCA-Anexo I-D'!B147+'DCA-Anexo I-D'!B233+'DCA-Anexo I-D'!B174+'DCA-Anexo I-D'!B230+'DCA-Anexo I-D'!B180+'DCA-Anexo I-D'!B171+'DCA-Anexo I-D'!B228+'DCA-Anexo I-D'!B229</t>
  </si>
  <si>
    <t>'DCA-Anexo I-D'!C145=+'DCA-Anexo I-D'!C158+'DCA-Anexo I-D'!C172+'DCA-Anexo I-D'!C175+'DCA-Anexo I-D'!C165+'DCA-Anexo I-D'!C170+'DCA-Anexo I-D'!C168+'DCA-Anexo I-D'!C177+'DCA-Anexo I-D'!C176+'DCA-Anexo I-D'!C167+'DCA-Anexo I-D'!C178+'DCA-Anexo I-D'!C154+'DCA-Anexo I-D'!C179+'DCA-Anexo I-D'!C166+'DCA-Anexo I-D'!C148+'DCA-Anexo I-D'!C146+'DCA-Anexo I-D'!C155+'DCA-Anexo I-D'!C157+'DCA-Anexo I-D'!C169+'DCA-Anexo I-D'!C231+'DCA-Anexo I-D'!C156+'DCA-Anexo I-D'!C173+'DCA-Anexo I-D'!C234+'DCA-Anexo I-D'!C232+'DCA-Anexo I-D'!C147+'DCA-Anexo I-D'!C233+'DCA-Anexo I-D'!C174+'DCA-Anexo I-D'!C230+'DCA-Anexo I-D'!C180+'DCA-Anexo I-D'!C171+'DCA-Anexo I-D'!C228+'DCA-Anexo I-D'!C229</t>
  </si>
  <si>
    <t>'DCA-Anexo I-D'!D145=+'DCA-Anexo I-D'!D158+'DCA-Anexo I-D'!D172+'DCA-Anexo I-D'!D175+'DCA-Anexo I-D'!D165+'DCA-Anexo I-D'!D170+'DCA-Anexo I-D'!D168+'DCA-Anexo I-D'!D177+'DCA-Anexo I-D'!D176+'DCA-Anexo I-D'!D167+'DCA-Anexo I-D'!D178+'DCA-Anexo I-D'!D154+'DCA-Anexo I-D'!D179+'DCA-Anexo I-D'!D166+'DCA-Anexo I-D'!D148+'DCA-Anexo I-D'!D146+'DCA-Anexo I-D'!D155+'DCA-Anexo I-D'!D157+'DCA-Anexo I-D'!D169+'DCA-Anexo I-D'!D231+'DCA-Anexo I-D'!D156+'DCA-Anexo I-D'!D173+'DCA-Anexo I-D'!D234+'DCA-Anexo I-D'!D232+'DCA-Anexo I-D'!D147+'DCA-Anexo I-D'!D233+'DCA-Anexo I-D'!D174+'DCA-Anexo I-D'!D230+'DCA-Anexo I-D'!D180+'DCA-Anexo I-D'!D171+'DCA-Anexo I-D'!D228+'DCA-Anexo I-D'!D229</t>
  </si>
  <si>
    <t>'DCA-Anexo I-D'!E145=+'DCA-Anexo I-D'!E158+'DCA-Anexo I-D'!E172+'DCA-Anexo I-D'!E175+'DCA-Anexo I-D'!E165+'DCA-Anexo I-D'!E170+'DCA-Anexo I-D'!E168+'DCA-Anexo I-D'!E177+'DCA-Anexo I-D'!E176+'DCA-Anexo I-D'!E167+'DCA-Anexo I-D'!E178+'DCA-Anexo I-D'!E154+'DCA-Anexo I-D'!E179+'DCA-Anexo I-D'!E166+'DCA-Anexo I-D'!E148+'DCA-Anexo I-D'!E146+'DCA-Anexo I-D'!E155+'DCA-Anexo I-D'!E157+'DCA-Anexo I-D'!E169+'DCA-Anexo I-D'!E231+'DCA-Anexo I-D'!E156+'DCA-Anexo I-D'!E173+'DCA-Anexo I-D'!E234+'DCA-Anexo I-D'!E232+'DCA-Anexo I-D'!E147+'DCA-Anexo I-D'!E233+'DCA-Anexo I-D'!E174+'DCA-Anexo I-D'!E230+'DCA-Anexo I-D'!E180+'DCA-Anexo I-D'!E171+'DCA-Anexo I-D'!E228+'DCA-Anexo I-D'!E229</t>
  </si>
  <si>
    <t>'DCA-Anexo I-D'!F145=+'DCA-Anexo I-D'!F158+'DCA-Anexo I-D'!F172+'DCA-Anexo I-D'!F175+'DCA-Anexo I-D'!F165+'DCA-Anexo I-D'!F170+'DCA-Anexo I-D'!F168+'DCA-Anexo I-D'!F177+'DCA-Anexo I-D'!F176+'DCA-Anexo I-D'!F167+'DCA-Anexo I-D'!F178+'DCA-Anexo I-D'!F154+'DCA-Anexo I-D'!F179+'DCA-Anexo I-D'!F166+'DCA-Anexo I-D'!F148+'DCA-Anexo I-D'!F146+'DCA-Anexo I-D'!F155+'DCA-Anexo I-D'!F157+'DCA-Anexo I-D'!F169+'DCA-Anexo I-D'!F231+'DCA-Anexo I-D'!F156+'DCA-Anexo I-D'!F173+'DCA-Anexo I-D'!F234+'DCA-Anexo I-D'!F232+'DCA-Anexo I-D'!F147+'DCA-Anexo I-D'!F233+'DCA-Anexo I-D'!F174+'DCA-Anexo I-D'!F230+'DCA-Anexo I-D'!F180+'DCA-Anexo I-D'!F171+'DCA-Anexo I-D'!F228+'DCA-Anexo I-D'!F229</t>
  </si>
  <si>
    <t>'DCA-Anexo I-D'!B148=+'DCA-Anexo I-D'!B150+'DCA-Anexo I-D'!B153+'DCA-Anexo I-D'!B149+'DCA-Anexo I-D'!B151+'DCA-Anexo I-D'!B152</t>
  </si>
  <si>
    <t>'DCA-Anexo I-D'!C148=+'DCA-Anexo I-D'!C150+'DCA-Anexo I-D'!C153+'DCA-Anexo I-D'!C149+'DCA-Anexo I-D'!C151+'DCA-Anexo I-D'!C152</t>
  </si>
  <si>
    <t>'DCA-Anexo I-D'!D148=+'DCA-Anexo I-D'!D150+'DCA-Anexo I-D'!D153+'DCA-Anexo I-D'!D149+'DCA-Anexo I-D'!D151+'DCA-Anexo I-D'!D152</t>
  </si>
  <si>
    <t>'DCA-Anexo I-D'!E148=+'DCA-Anexo I-D'!E150+'DCA-Anexo I-D'!E153+'DCA-Anexo I-D'!E149+'DCA-Anexo I-D'!E151+'DCA-Anexo I-D'!E152</t>
  </si>
  <si>
    <t>'DCA-Anexo I-D'!F148=+'DCA-Anexo I-D'!F150+'DCA-Anexo I-D'!F153+'DCA-Anexo I-D'!F149+'DCA-Anexo I-D'!F151+'DCA-Anexo I-D'!F152</t>
  </si>
  <si>
    <t>'DCA-Anexo I-D'!B158=+'DCA-Anexo I-D'!B164+'DCA-Anexo I-D'!B160+'DCA-Anexo I-D'!B159+'DCA-Anexo I-D'!B161+'DCA-Anexo I-D'!B162+'DCA-Anexo I-D'!B163</t>
  </si>
  <si>
    <t>'DCA-Anexo I-D'!C158=+'DCA-Anexo I-D'!C164+'DCA-Anexo I-D'!C160+'DCA-Anexo I-D'!C159+'DCA-Anexo I-D'!C161+'DCA-Anexo I-D'!C162+'DCA-Anexo I-D'!C163</t>
  </si>
  <si>
    <t>'DCA-Anexo I-D'!D158=+'DCA-Anexo I-D'!D164+'DCA-Anexo I-D'!D160+'DCA-Anexo I-D'!D159+'DCA-Anexo I-D'!D161+'DCA-Anexo I-D'!D162+'DCA-Anexo I-D'!D163</t>
  </si>
  <si>
    <t>'DCA-Anexo I-D'!E158=+'DCA-Anexo I-D'!E164+'DCA-Anexo I-D'!E160+'DCA-Anexo I-D'!E159+'DCA-Anexo I-D'!E161+'DCA-Anexo I-D'!E162+'DCA-Anexo I-D'!E163</t>
  </si>
  <si>
    <t>'DCA-Anexo I-D'!F158=+'DCA-Anexo I-D'!F164+'DCA-Anexo I-D'!F160+'DCA-Anexo I-D'!F159+'DCA-Anexo I-D'!F161+'DCA-Anexo I-D'!F162+'DCA-Anexo I-D'!F163</t>
  </si>
  <si>
    <t>'DCA-Anexo I-D'!B180=+'DCA-Anexo I-D'!B181+'DCA-Anexo I-D'!B182+'DCA-Anexo I-D'!B183+'DCA-Anexo I-D'!B184+'DCA-Anexo I-D'!B185+'DCA-Anexo I-D'!B186+'DCA-Anexo I-D'!B187+'DCA-Anexo I-D'!B188+'DCA-Anexo I-D'!B189+'DCA-Anexo I-D'!B190+'DCA-Anexo I-D'!B191+'DCA-Anexo I-D'!B192+'DCA-Anexo I-D'!B193+'DCA-Anexo I-D'!B194+'DCA-Anexo I-D'!B195+'DCA-Anexo I-D'!B196+'DCA-Anexo I-D'!B197+'DCA-Anexo I-D'!B198+'DCA-Anexo I-D'!B199+'DCA-Anexo I-D'!B200+'DCA-Anexo I-D'!B201+'DCA-Anexo I-D'!B202+'DCA-Anexo I-D'!B204+'DCA-Anexo I-D'!B205+'DCA-Anexo I-D'!B206+'DCA-Anexo I-D'!B207+'DCA-Anexo I-D'!B208+'DCA-Anexo I-D'!B209+'DCA-Anexo I-D'!B210+'DCA-Anexo I-D'!B211+'DCA-Anexo I-D'!B212+'DCA-Anexo I-D'!B213+'DCA-Anexo I-D'!B214+'DCA-Anexo I-D'!B215+'DCA-Anexo I-D'!B216+'DCA-Anexo I-D'!B218+'DCA-Anexo I-D'!B221+'DCA-Anexo I-D'!B222+'DCA-Anexo I-D'!B223+'DCA-Anexo I-D'!B224+'DCA-Anexo I-D'!B225+'DCA-Anexo I-D'!B226+'DCA-Anexo I-D'!B227+'DCA-Anexo I-D'!B203+'DCA-Anexo I-D'!B217+'DCA-Anexo I-D'!B219+'DCA-Anexo I-D'!B220</t>
  </si>
  <si>
    <t>'DCA-Anexo I-D'!C180=+'DCA-Anexo I-D'!C181+'DCA-Anexo I-D'!C182+'DCA-Anexo I-D'!C183+'DCA-Anexo I-D'!C184+'DCA-Anexo I-D'!C185+'DCA-Anexo I-D'!C186+'DCA-Anexo I-D'!C187+'DCA-Anexo I-D'!C188+'DCA-Anexo I-D'!C189+'DCA-Anexo I-D'!C190+'DCA-Anexo I-D'!C191+'DCA-Anexo I-D'!C192+'DCA-Anexo I-D'!C193+'DCA-Anexo I-D'!C194+'DCA-Anexo I-D'!C195+'DCA-Anexo I-D'!C196+'DCA-Anexo I-D'!C197+'DCA-Anexo I-D'!C198+'DCA-Anexo I-D'!C199+'DCA-Anexo I-D'!C200+'DCA-Anexo I-D'!C201+'DCA-Anexo I-D'!C202+'DCA-Anexo I-D'!C204+'DCA-Anexo I-D'!C205+'DCA-Anexo I-D'!C206+'DCA-Anexo I-D'!C207+'DCA-Anexo I-D'!C208+'DCA-Anexo I-D'!C209+'DCA-Anexo I-D'!C210+'DCA-Anexo I-D'!C211+'DCA-Anexo I-D'!C212+'DCA-Anexo I-D'!C213+'DCA-Anexo I-D'!C214+'DCA-Anexo I-D'!C215+'DCA-Anexo I-D'!C216+'DCA-Anexo I-D'!C218+'DCA-Anexo I-D'!C221+'DCA-Anexo I-D'!C222+'DCA-Anexo I-D'!C223+'DCA-Anexo I-D'!C224+'DCA-Anexo I-D'!C225+'DCA-Anexo I-D'!C226+'DCA-Anexo I-D'!C227+'DCA-Anexo I-D'!C203+'DCA-Anexo I-D'!C217+'DCA-Anexo I-D'!C219+'DCA-Anexo I-D'!C220</t>
  </si>
  <si>
    <t>'DCA-Anexo I-D'!D180=+'DCA-Anexo I-D'!D181+'DCA-Anexo I-D'!D182+'DCA-Anexo I-D'!D183+'DCA-Anexo I-D'!D184+'DCA-Anexo I-D'!D185+'DCA-Anexo I-D'!D186+'DCA-Anexo I-D'!D187+'DCA-Anexo I-D'!D188+'DCA-Anexo I-D'!D189+'DCA-Anexo I-D'!D190+'DCA-Anexo I-D'!D191+'DCA-Anexo I-D'!D192+'DCA-Anexo I-D'!D193+'DCA-Anexo I-D'!D194+'DCA-Anexo I-D'!D195+'DCA-Anexo I-D'!D196+'DCA-Anexo I-D'!D197+'DCA-Anexo I-D'!D198+'DCA-Anexo I-D'!D199+'DCA-Anexo I-D'!D200+'DCA-Anexo I-D'!D201+'DCA-Anexo I-D'!D202+'DCA-Anexo I-D'!D204+'DCA-Anexo I-D'!D205+'DCA-Anexo I-D'!D206+'DCA-Anexo I-D'!D207+'DCA-Anexo I-D'!D208+'DCA-Anexo I-D'!D209+'DCA-Anexo I-D'!D210+'DCA-Anexo I-D'!D211+'DCA-Anexo I-D'!D212+'DCA-Anexo I-D'!D213+'DCA-Anexo I-D'!D214+'DCA-Anexo I-D'!D215+'DCA-Anexo I-D'!D216+'DCA-Anexo I-D'!D218+'DCA-Anexo I-D'!D221+'DCA-Anexo I-D'!D222+'DCA-Anexo I-D'!D223+'DCA-Anexo I-D'!D224+'DCA-Anexo I-D'!D225+'DCA-Anexo I-D'!D226+'DCA-Anexo I-D'!D227+'DCA-Anexo I-D'!D203+'DCA-Anexo I-D'!D217+'DCA-Anexo I-D'!D219+'DCA-Anexo I-D'!D220</t>
  </si>
  <si>
    <t>'DCA-Anexo I-D'!E180=+'DCA-Anexo I-D'!E181+'DCA-Anexo I-D'!E182+'DCA-Anexo I-D'!E183+'DCA-Anexo I-D'!E184+'DCA-Anexo I-D'!E185+'DCA-Anexo I-D'!E186+'DCA-Anexo I-D'!E187+'DCA-Anexo I-D'!E188+'DCA-Anexo I-D'!E189+'DCA-Anexo I-D'!E190+'DCA-Anexo I-D'!E191+'DCA-Anexo I-D'!E192+'DCA-Anexo I-D'!E193+'DCA-Anexo I-D'!E194+'DCA-Anexo I-D'!E195+'DCA-Anexo I-D'!E196+'DCA-Anexo I-D'!E197+'DCA-Anexo I-D'!E198+'DCA-Anexo I-D'!E199+'DCA-Anexo I-D'!E200+'DCA-Anexo I-D'!E201+'DCA-Anexo I-D'!E202+'DCA-Anexo I-D'!E204+'DCA-Anexo I-D'!E205+'DCA-Anexo I-D'!E206+'DCA-Anexo I-D'!E207+'DCA-Anexo I-D'!E208+'DCA-Anexo I-D'!E209+'DCA-Anexo I-D'!E210+'DCA-Anexo I-D'!E211+'DCA-Anexo I-D'!E212+'DCA-Anexo I-D'!E213+'DCA-Anexo I-D'!E214+'DCA-Anexo I-D'!E215+'DCA-Anexo I-D'!E216+'DCA-Anexo I-D'!E218+'DCA-Anexo I-D'!E221+'DCA-Anexo I-D'!E222+'DCA-Anexo I-D'!E223+'DCA-Anexo I-D'!E224+'DCA-Anexo I-D'!E225+'DCA-Anexo I-D'!E226+'DCA-Anexo I-D'!E227+'DCA-Anexo I-D'!E203+'DCA-Anexo I-D'!E217+'DCA-Anexo I-D'!E219+'DCA-Anexo I-D'!E220</t>
  </si>
  <si>
    <t>'DCA-Anexo I-D'!F180=+'DCA-Anexo I-D'!F181+'DCA-Anexo I-D'!F182+'DCA-Anexo I-D'!F183+'DCA-Anexo I-D'!F184+'DCA-Anexo I-D'!F185+'DCA-Anexo I-D'!F186+'DCA-Anexo I-D'!F187+'DCA-Anexo I-D'!F188+'DCA-Anexo I-D'!F189+'DCA-Anexo I-D'!F190+'DCA-Anexo I-D'!F191+'DCA-Anexo I-D'!F192+'DCA-Anexo I-D'!F193+'DCA-Anexo I-D'!F194+'DCA-Anexo I-D'!F195+'DCA-Anexo I-D'!F196+'DCA-Anexo I-D'!F197+'DCA-Anexo I-D'!F198+'DCA-Anexo I-D'!F199+'DCA-Anexo I-D'!F200+'DCA-Anexo I-D'!F201+'DCA-Anexo I-D'!F202+'DCA-Anexo I-D'!F204+'DCA-Anexo I-D'!F205+'DCA-Anexo I-D'!F206+'DCA-Anexo I-D'!F207+'DCA-Anexo I-D'!F208+'DCA-Anexo I-D'!F209+'DCA-Anexo I-D'!F210+'DCA-Anexo I-D'!F211+'DCA-Anexo I-D'!F212+'DCA-Anexo I-D'!F213+'DCA-Anexo I-D'!F214+'DCA-Anexo I-D'!F215+'DCA-Anexo I-D'!F216+'DCA-Anexo I-D'!F218+'DCA-Anexo I-D'!F221+'DCA-Anexo I-D'!F222+'DCA-Anexo I-D'!F223+'DCA-Anexo I-D'!F224+'DCA-Anexo I-D'!F225+'DCA-Anexo I-D'!F226+'DCA-Anexo I-D'!F227+'DCA-Anexo I-D'!F203+'DCA-Anexo I-D'!F217+'DCA-Anexo I-D'!F219+'DCA-Anexo I-D'!F220</t>
  </si>
  <si>
    <t>'DCA-Anexo I-D'!B236=+'DCA-Anexo I-D'!B245+'DCA-Anexo I-D'!B247+'DCA-Anexo I-D'!B246+'DCA-Anexo I-D'!B239+'DCA-Anexo I-D'!B241+'DCA-Anexo I-D'!B257+'DCA-Anexo I-D'!B238+'DCA-Anexo I-D'!B252+'DCA-Anexo I-D'!B249+'DCA-Anexo I-D'!B258+'DCA-Anexo I-D'!B289+'DCA-Anexo I-D'!B248+'DCA-Anexo I-D'!B291+'DCA-Anexo I-D'!B260+'DCA-Anexo I-D'!B292+'DCA-Anexo I-D'!B244+'DCA-Anexo I-D'!B237+'DCA-Anexo I-D'!B286+'DCA-Anexo I-D'!B253+'DCA-Anexo I-D'!B259+'DCA-Anexo I-D'!B256+'DCA-Anexo I-D'!B240+'DCA-Anexo I-D'!B255+'DCA-Anexo I-D'!B254+'DCA-Anexo I-D'!B243+'DCA-Anexo I-D'!B242+'DCA-Anexo I-D'!B290+'DCA-Anexo I-D'!B288+'DCA-Anexo I-D'!B287+'DCA-Anexo I-D'!B250+'DCA-Anexo I-D'!B251</t>
  </si>
  <si>
    <t>'DCA-Anexo I-D'!C236=+'DCA-Anexo I-D'!C245+'DCA-Anexo I-D'!C247+'DCA-Anexo I-D'!C246+'DCA-Anexo I-D'!C239+'DCA-Anexo I-D'!C241+'DCA-Anexo I-D'!C257+'DCA-Anexo I-D'!C238+'DCA-Anexo I-D'!C252+'DCA-Anexo I-D'!C249+'DCA-Anexo I-D'!C258+'DCA-Anexo I-D'!C289+'DCA-Anexo I-D'!C248+'DCA-Anexo I-D'!C291+'DCA-Anexo I-D'!C260+'DCA-Anexo I-D'!C292+'DCA-Anexo I-D'!C244+'DCA-Anexo I-D'!C237+'DCA-Anexo I-D'!C286+'DCA-Anexo I-D'!C253+'DCA-Anexo I-D'!C259+'DCA-Anexo I-D'!C256+'DCA-Anexo I-D'!C240+'DCA-Anexo I-D'!C255+'DCA-Anexo I-D'!C254+'DCA-Anexo I-D'!C243+'DCA-Anexo I-D'!C242+'DCA-Anexo I-D'!C290+'DCA-Anexo I-D'!C288+'DCA-Anexo I-D'!C287+'DCA-Anexo I-D'!C250+'DCA-Anexo I-D'!C251</t>
  </si>
  <si>
    <t>'DCA-Anexo I-D'!D236=+'DCA-Anexo I-D'!D245+'DCA-Anexo I-D'!D247+'DCA-Anexo I-D'!D246+'DCA-Anexo I-D'!D239+'DCA-Anexo I-D'!D241+'DCA-Anexo I-D'!D257+'DCA-Anexo I-D'!D238+'DCA-Anexo I-D'!D252+'DCA-Anexo I-D'!D249+'DCA-Anexo I-D'!D258+'DCA-Anexo I-D'!D289+'DCA-Anexo I-D'!D248+'DCA-Anexo I-D'!D291+'DCA-Anexo I-D'!D260+'DCA-Anexo I-D'!D292+'DCA-Anexo I-D'!D244+'DCA-Anexo I-D'!D237+'DCA-Anexo I-D'!D286+'DCA-Anexo I-D'!D253+'DCA-Anexo I-D'!D259+'DCA-Anexo I-D'!D256+'DCA-Anexo I-D'!D240+'DCA-Anexo I-D'!D255+'DCA-Anexo I-D'!D254+'DCA-Anexo I-D'!D243+'DCA-Anexo I-D'!D242+'DCA-Anexo I-D'!D290+'DCA-Anexo I-D'!D288+'DCA-Anexo I-D'!D287+'DCA-Anexo I-D'!D250+'DCA-Anexo I-D'!D251</t>
  </si>
  <si>
    <t>'DCA-Anexo I-D'!E236=+'DCA-Anexo I-D'!E245+'DCA-Anexo I-D'!E247+'DCA-Anexo I-D'!E246+'DCA-Anexo I-D'!E239+'DCA-Anexo I-D'!E241+'DCA-Anexo I-D'!E257+'DCA-Anexo I-D'!E238+'DCA-Anexo I-D'!E252+'DCA-Anexo I-D'!E249+'DCA-Anexo I-D'!E258+'DCA-Anexo I-D'!E289+'DCA-Anexo I-D'!E248+'DCA-Anexo I-D'!E291+'DCA-Anexo I-D'!E260+'DCA-Anexo I-D'!E292+'DCA-Anexo I-D'!E244+'DCA-Anexo I-D'!E237+'DCA-Anexo I-D'!E286+'DCA-Anexo I-D'!E253+'DCA-Anexo I-D'!E259+'DCA-Anexo I-D'!E256+'DCA-Anexo I-D'!E240+'DCA-Anexo I-D'!E255+'DCA-Anexo I-D'!E254+'DCA-Anexo I-D'!E243+'DCA-Anexo I-D'!E242+'DCA-Anexo I-D'!E290+'DCA-Anexo I-D'!E288+'DCA-Anexo I-D'!E287+'DCA-Anexo I-D'!E250+'DCA-Anexo I-D'!E251</t>
  </si>
  <si>
    <t>'DCA-Anexo I-D'!F236=+'DCA-Anexo I-D'!F245+'DCA-Anexo I-D'!F247+'DCA-Anexo I-D'!F246+'DCA-Anexo I-D'!F239+'DCA-Anexo I-D'!F241+'DCA-Anexo I-D'!F257+'DCA-Anexo I-D'!F238+'DCA-Anexo I-D'!F252+'DCA-Anexo I-D'!F249+'DCA-Anexo I-D'!F258+'DCA-Anexo I-D'!F289+'DCA-Anexo I-D'!F248+'DCA-Anexo I-D'!F291+'DCA-Anexo I-D'!F260+'DCA-Anexo I-D'!F292+'DCA-Anexo I-D'!F244+'DCA-Anexo I-D'!F237+'DCA-Anexo I-D'!F286+'DCA-Anexo I-D'!F253+'DCA-Anexo I-D'!F259+'DCA-Anexo I-D'!F256+'DCA-Anexo I-D'!F240+'DCA-Anexo I-D'!F255+'DCA-Anexo I-D'!F254+'DCA-Anexo I-D'!F243+'DCA-Anexo I-D'!F242+'DCA-Anexo I-D'!F290+'DCA-Anexo I-D'!F288+'DCA-Anexo I-D'!F287+'DCA-Anexo I-D'!F250+'DCA-Anexo I-D'!F251</t>
  </si>
  <si>
    <t>'DCA-Anexo I-D'!B260=+'DCA-Anexo I-D'!B262+'DCA-Anexo I-D'!B275+'DCA-Anexo I-D'!B271+'DCA-Anexo I-D'!B281+'DCA-Anexo I-D'!B282+'DCA-Anexo I-D'!B270+'DCA-Anexo I-D'!B280+'DCA-Anexo I-D'!B263+'DCA-Anexo I-D'!B267+'DCA-Anexo I-D'!B285+'DCA-Anexo I-D'!B274+'DCA-Anexo I-D'!B279+'DCA-Anexo I-D'!B264+'DCA-Anexo I-D'!B261+'DCA-Anexo I-D'!B269+'DCA-Anexo I-D'!B268+'DCA-Anexo I-D'!B265+'DCA-Anexo I-D'!B266+'DCA-Anexo I-D'!B272+'DCA-Anexo I-D'!B283+'DCA-Anexo I-D'!B273+'DCA-Anexo I-D'!B284</t>
  </si>
  <si>
    <t>'DCA-Anexo I-D'!C260=+'DCA-Anexo I-D'!C262+'DCA-Anexo I-D'!C275+'DCA-Anexo I-D'!C271+'DCA-Anexo I-D'!C281+'DCA-Anexo I-D'!C282+'DCA-Anexo I-D'!C270+'DCA-Anexo I-D'!C280+'DCA-Anexo I-D'!C263+'DCA-Anexo I-D'!C267+'DCA-Anexo I-D'!C285+'DCA-Anexo I-D'!C274+'DCA-Anexo I-D'!C279+'DCA-Anexo I-D'!C264+'DCA-Anexo I-D'!C261+'DCA-Anexo I-D'!C269+'DCA-Anexo I-D'!C268+'DCA-Anexo I-D'!C265+'DCA-Anexo I-D'!C266+'DCA-Anexo I-D'!C272+'DCA-Anexo I-D'!C283+'DCA-Anexo I-D'!C273+'DCA-Anexo I-D'!C284</t>
  </si>
  <si>
    <t>'DCA-Anexo I-D'!D260=+'DCA-Anexo I-D'!D262+'DCA-Anexo I-D'!D275+'DCA-Anexo I-D'!D271+'DCA-Anexo I-D'!D281+'DCA-Anexo I-D'!D282+'DCA-Anexo I-D'!D270+'DCA-Anexo I-D'!D280+'DCA-Anexo I-D'!D263+'DCA-Anexo I-D'!D267+'DCA-Anexo I-D'!D285+'DCA-Anexo I-D'!D274+'DCA-Anexo I-D'!D279+'DCA-Anexo I-D'!D264+'DCA-Anexo I-D'!D261+'DCA-Anexo I-D'!D269+'DCA-Anexo I-D'!D268+'DCA-Anexo I-D'!D265+'DCA-Anexo I-D'!D266+'DCA-Anexo I-D'!D272+'DCA-Anexo I-D'!D283+'DCA-Anexo I-D'!D273+'DCA-Anexo I-D'!D284</t>
  </si>
  <si>
    <t>'DCA-Anexo I-D'!E260=+'DCA-Anexo I-D'!E262+'DCA-Anexo I-D'!E275+'DCA-Anexo I-D'!E271+'DCA-Anexo I-D'!E281+'DCA-Anexo I-D'!E282+'DCA-Anexo I-D'!E270+'DCA-Anexo I-D'!E280+'DCA-Anexo I-D'!E263+'DCA-Anexo I-D'!E267+'DCA-Anexo I-D'!E285+'DCA-Anexo I-D'!E274+'DCA-Anexo I-D'!E279+'DCA-Anexo I-D'!E264+'DCA-Anexo I-D'!E261+'DCA-Anexo I-D'!E269+'DCA-Anexo I-D'!E268+'DCA-Anexo I-D'!E265+'DCA-Anexo I-D'!E266+'DCA-Anexo I-D'!E272+'DCA-Anexo I-D'!E283+'DCA-Anexo I-D'!E273+'DCA-Anexo I-D'!E284</t>
  </si>
  <si>
    <t>'DCA-Anexo I-D'!F260=+'DCA-Anexo I-D'!F262+'DCA-Anexo I-D'!F275+'DCA-Anexo I-D'!F271+'DCA-Anexo I-D'!F281+'DCA-Anexo I-D'!F282+'DCA-Anexo I-D'!F270+'DCA-Anexo I-D'!F280+'DCA-Anexo I-D'!F263+'DCA-Anexo I-D'!F267+'DCA-Anexo I-D'!F285+'DCA-Anexo I-D'!F274+'DCA-Anexo I-D'!F279+'DCA-Anexo I-D'!F264+'DCA-Anexo I-D'!F261+'DCA-Anexo I-D'!F269+'DCA-Anexo I-D'!F268+'DCA-Anexo I-D'!F265+'DCA-Anexo I-D'!F266+'DCA-Anexo I-D'!F272+'DCA-Anexo I-D'!F283+'DCA-Anexo I-D'!F273+'DCA-Anexo I-D'!F284</t>
  </si>
  <si>
    <t>'DCA-Anexo I-D'!B275=+'DCA-Anexo I-D'!B277+'DCA-Anexo I-D'!B278+'DCA-Anexo I-D'!B276</t>
  </si>
  <si>
    <t>'DCA-Anexo I-D'!C275=+'DCA-Anexo I-D'!C277+'DCA-Anexo I-D'!C278+'DCA-Anexo I-D'!C276</t>
  </si>
  <si>
    <t>'DCA-Anexo I-D'!D275=+'DCA-Anexo I-D'!D277+'DCA-Anexo I-D'!D278+'DCA-Anexo I-D'!D276</t>
  </si>
  <si>
    <t>'DCA-Anexo I-D'!E275=+'DCA-Anexo I-D'!E277+'DCA-Anexo I-D'!E278+'DCA-Anexo I-D'!E276</t>
  </si>
  <si>
    <t>'DCA-Anexo I-D'!F275=+'DCA-Anexo I-D'!F277+'DCA-Anexo I-D'!F278+'DCA-Anexo I-D'!F276</t>
  </si>
  <si>
    <t>'DCA-Anexo I-D'!B293=+'DCA-Anexo I-D'!B306+'DCA-Anexo I-D'!B313+'DCA-Anexo I-D'!B311+'DCA-Anexo I-D'!B296+'DCA-Anexo I-D'!B297+'DCA-Anexo I-D'!B337+'DCA-Anexo I-D'!B317+'DCA-Anexo I-D'!B298+'DCA-Anexo I-D'!B310+'DCA-Anexo I-D'!B335+'DCA-Anexo I-D'!B336+'DCA-Anexo I-D'!B301+'DCA-Anexo I-D'!B294+'DCA-Anexo I-D'!B312+'DCA-Anexo I-D'!B316+'DCA-Anexo I-D'!B303+'DCA-Anexo I-D'!B307+'DCA-Anexo I-D'!B308+'DCA-Anexo I-D'!B309+'DCA-Anexo I-D'!B295+'DCA-Anexo I-D'!B299+'DCA-Anexo I-D'!B300+'DCA-Anexo I-D'!B302+'DCA-Anexo I-D'!B304+'DCA-Anexo I-D'!B305+'DCA-Anexo I-D'!B314+'DCA-Anexo I-D'!B315+'DCA-Anexo I-D'!B331+'DCA-Anexo I-D'!B333+'DCA-Anexo I-D'!B334+'DCA-Anexo I-D'!B332</t>
  </si>
  <si>
    <t>'DCA-Anexo I-D'!C293=+'DCA-Anexo I-D'!C306+'DCA-Anexo I-D'!C313+'DCA-Anexo I-D'!C311+'DCA-Anexo I-D'!C296+'DCA-Anexo I-D'!C297+'DCA-Anexo I-D'!C337+'DCA-Anexo I-D'!C317+'DCA-Anexo I-D'!C298+'DCA-Anexo I-D'!C310+'DCA-Anexo I-D'!C335+'DCA-Anexo I-D'!C336+'DCA-Anexo I-D'!C301+'DCA-Anexo I-D'!C294+'DCA-Anexo I-D'!C312+'DCA-Anexo I-D'!C316+'DCA-Anexo I-D'!C303+'DCA-Anexo I-D'!C307+'DCA-Anexo I-D'!C308+'DCA-Anexo I-D'!C309+'DCA-Anexo I-D'!C295+'DCA-Anexo I-D'!C299+'DCA-Anexo I-D'!C300+'DCA-Anexo I-D'!C302+'DCA-Anexo I-D'!C304+'DCA-Anexo I-D'!C305+'DCA-Anexo I-D'!C314+'DCA-Anexo I-D'!C315+'DCA-Anexo I-D'!C331+'DCA-Anexo I-D'!C333+'DCA-Anexo I-D'!C334+'DCA-Anexo I-D'!C332</t>
  </si>
  <si>
    <t>'DCA-Anexo I-D'!D293=+'DCA-Anexo I-D'!D306+'DCA-Anexo I-D'!D313+'DCA-Anexo I-D'!D311+'DCA-Anexo I-D'!D296+'DCA-Anexo I-D'!D297+'DCA-Anexo I-D'!D337+'DCA-Anexo I-D'!D317+'DCA-Anexo I-D'!D298+'DCA-Anexo I-D'!D310+'DCA-Anexo I-D'!D335+'DCA-Anexo I-D'!D336+'DCA-Anexo I-D'!D301+'DCA-Anexo I-D'!D294+'DCA-Anexo I-D'!D312+'DCA-Anexo I-D'!D316+'DCA-Anexo I-D'!D303+'DCA-Anexo I-D'!D307+'DCA-Anexo I-D'!D308+'DCA-Anexo I-D'!D309+'DCA-Anexo I-D'!D295+'DCA-Anexo I-D'!D299+'DCA-Anexo I-D'!D300+'DCA-Anexo I-D'!D302+'DCA-Anexo I-D'!D304+'DCA-Anexo I-D'!D305+'DCA-Anexo I-D'!D314+'DCA-Anexo I-D'!D315+'DCA-Anexo I-D'!D331+'DCA-Anexo I-D'!D333+'DCA-Anexo I-D'!D334+'DCA-Anexo I-D'!D332</t>
  </si>
  <si>
    <t>'DCA-Anexo I-D'!E293=+'DCA-Anexo I-D'!E306+'DCA-Anexo I-D'!E313+'DCA-Anexo I-D'!E311+'DCA-Anexo I-D'!E296+'DCA-Anexo I-D'!E297+'DCA-Anexo I-D'!E337+'DCA-Anexo I-D'!E317+'DCA-Anexo I-D'!E298+'DCA-Anexo I-D'!E310+'DCA-Anexo I-D'!E335+'DCA-Anexo I-D'!E336+'DCA-Anexo I-D'!E301+'DCA-Anexo I-D'!E294+'DCA-Anexo I-D'!E312+'DCA-Anexo I-D'!E316+'DCA-Anexo I-D'!E303+'DCA-Anexo I-D'!E307+'DCA-Anexo I-D'!E308+'DCA-Anexo I-D'!E309+'DCA-Anexo I-D'!E295+'DCA-Anexo I-D'!E299+'DCA-Anexo I-D'!E300+'DCA-Anexo I-D'!E302+'DCA-Anexo I-D'!E304+'DCA-Anexo I-D'!E305+'DCA-Anexo I-D'!E314+'DCA-Anexo I-D'!E315+'DCA-Anexo I-D'!E331+'DCA-Anexo I-D'!E333+'DCA-Anexo I-D'!E334+'DCA-Anexo I-D'!E332</t>
  </si>
  <si>
    <t>'DCA-Anexo I-D'!F293=+'DCA-Anexo I-D'!F306+'DCA-Anexo I-D'!F313+'DCA-Anexo I-D'!F311+'DCA-Anexo I-D'!F296+'DCA-Anexo I-D'!F297+'DCA-Anexo I-D'!F337+'DCA-Anexo I-D'!F317+'DCA-Anexo I-D'!F298+'DCA-Anexo I-D'!F310+'DCA-Anexo I-D'!F335+'DCA-Anexo I-D'!F336+'DCA-Anexo I-D'!F301+'DCA-Anexo I-D'!F294+'DCA-Anexo I-D'!F312+'DCA-Anexo I-D'!F316+'DCA-Anexo I-D'!F303+'DCA-Anexo I-D'!F307+'DCA-Anexo I-D'!F308+'DCA-Anexo I-D'!F309+'DCA-Anexo I-D'!F295+'DCA-Anexo I-D'!F299+'DCA-Anexo I-D'!F300+'DCA-Anexo I-D'!F302+'DCA-Anexo I-D'!F304+'DCA-Anexo I-D'!F305+'DCA-Anexo I-D'!F314+'DCA-Anexo I-D'!F315+'DCA-Anexo I-D'!F331+'DCA-Anexo I-D'!F333+'DCA-Anexo I-D'!F334+'DCA-Anexo I-D'!F332</t>
  </si>
  <si>
    <t>'DCA-Anexo I-D'!B317=+'DCA-Anexo I-D'!B323+'DCA-Anexo I-D'!B329+'DCA-Anexo I-D'!B318+'DCA-Anexo I-D'!B320+'DCA-Anexo I-D'!B330+'DCA-Anexo I-D'!B327+'DCA-Anexo I-D'!B321+'DCA-Anexo I-D'!B319+'DCA-Anexo I-D'!B322+'DCA-Anexo I-D'!B325+'DCA-Anexo I-D'!B324+'DCA-Anexo I-D'!B328+'DCA-Anexo I-D'!B326</t>
  </si>
  <si>
    <t>'DCA-Anexo I-D'!C317=+'DCA-Anexo I-D'!C323+'DCA-Anexo I-D'!C329+'DCA-Anexo I-D'!C318+'DCA-Anexo I-D'!C320+'DCA-Anexo I-D'!C330+'DCA-Anexo I-D'!C327+'DCA-Anexo I-D'!C321+'DCA-Anexo I-D'!C319+'DCA-Anexo I-D'!C322+'DCA-Anexo I-D'!C325+'DCA-Anexo I-D'!C324+'DCA-Anexo I-D'!C328+'DCA-Anexo I-D'!C326</t>
  </si>
  <si>
    <t>'DCA-Anexo I-D'!D317=+'DCA-Anexo I-D'!D323+'DCA-Anexo I-D'!D329+'DCA-Anexo I-D'!D318+'DCA-Anexo I-D'!D320+'DCA-Anexo I-D'!D330+'DCA-Anexo I-D'!D327+'DCA-Anexo I-D'!D321+'DCA-Anexo I-D'!D319+'DCA-Anexo I-D'!D322+'DCA-Anexo I-D'!D325+'DCA-Anexo I-D'!D324+'DCA-Anexo I-D'!D328+'DCA-Anexo I-D'!D326</t>
  </si>
  <si>
    <t>'DCA-Anexo I-D'!E317=+'DCA-Anexo I-D'!E323+'DCA-Anexo I-D'!E329+'DCA-Anexo I-D'!E318+'DCA-Anexo I-D'!E320+'DCA-Anexo I-D'!E330+'DCA-Anexo I-D'!E327+'DCA-Anexo I-D'!E321+'DCA-Anexo I-D'!E319+'DCA-Anexo I-D'!E322+'DCA-Anexo I-D'!E325+'DCA-Anexo I-D'!E324+'DCA-Anexo I-D'!E328+'DCA-Anexo I-D'!E326</t>
  </si>
  <si>
    <t>'DCA-Anexo I-D'!F317=+'DCA-Anexo I-D'!F323+'DCA-Anexo I-D'!F329+'DCA-Anexo I-D'!F318+'DCA-Anexo I-D'!F320+'DCA-Anexo I-D'!F330+'DCA-Anexo I-D'!F327+'DCA-Anexo I-D'!F321+'DCA-Anexo I-D'!F319+'DCA-Anexo I-D'!F322+'DCA-Anexo I-D'!F325+'DCA-Anexo I-D'!F324+'DCA-Anexo I-D'!F328+'DCA-Anexo I-D'!F326</t>
  </si>
  <si>
    <t>'DCA-Anexo I-D'!B362=+'DCA-Anexo I-D'!B372+'DCA-Anexo I-D'!B364+'DCA-Anexo I-D'!B363+'DCA-Anexo I-D'!B366+'DCA-Anexo I-D'!B367+'DCA-Anexo I-D'!B370+'DCA-Anexo I-D'!B373+'DCA-Anexo I-D'!B365+'DCA-Anexo I-D'!B368+'DCA-Anexo I-D'!B374+'DCA-Anexo I-D'!B371+'DCA-Anexo I-D'!B369</t>
  </si>
  <si>
    <t>'DCA-Anexo I-D'!C362=+'DCA-Anexo I-D'!C372+'DCA-Anexo I-D'!C364+'DCA-Anexo I-D'!C363+'DCA-Anexo I-D'!C366+'DCA-Anexo I-D'!C367+'DCA-Anexo I-D'!C370+'DCA-Anexo I-D'!C373+'DCA-Anexo I-D'!C365+'DCA-Anexo I-D'!C368+'DCA-Anexo I-D'!C374+'DCA-Anexo I-D'!C371+'DCA-Anexo I-D'!C369</t>
  </si>
  <si>
    <t>'DCA-Anexo I-D'!D362=+'DCA-Anexo I-D'!D372+'DCA-Anexo I-D'!D364+'DCA-Anexo I-D'!D363+'DCA-Anexo I-D'!D366+'DCA-Anexo I-D'!D367+'DCA-Anexo I-D'!D370+'DCA-Anexo I-D'!D373+'DCA-Anexo I-D'!D365+'DCA-Anexo I-D'!D368+'DCA-Anexo I-D'!D374+'DCA-Anexo I-D'!D371+'DCA-Anexo I-D'!D369</t>
  </si>
  <si>
    <t>'DCA-Anexo I-D'!E362=+'DCA-Anexo I-D'!E372+'DCA-Anexo I-D'!E364+'DCA-Anexo I-D'!E363+'DCA-Anexo I-D'!E366+'DCA-Anexo I-D'!E367+'DCA-Anexo I-D'!E370+'DCA-Anexo I-D'!E373+'DCA-Anexo I-D'!E365+'DCA-Anexo I-D'!E368+'DCA-Anexo I-D'!E374+'DCA-Anexo I-D'!E371+'DCA-Anexo I-D'!E369</t>
  </si>
  <si>
    <t>'DCA-Anexo I-D'!F362=+'DCA-Anexo I-D'!F372+'DCA-Anexo I-D'!F364+'DCA-Anexo I-D'!F363+'DCA-Anexo I-D'!F366+'DCA-Anexo I-D'!F367+'DCA-Anexo I-D'!F370+'DCA-Anexo I-D'!F373+'DCA-Anexo I-D'!F365+'DCA-Anexo I-D'!F368+'DCA-Anexo I-D'!F374+'DCA-Anexo I-D'!F371+'DCA-Anexo I-D'!F369</t>
  </si>
  <si>
    <t>'DCA-Anexo I-D'!B338=+'DCA-Anexo I-D'!B362+'DCA-Anexo I-D'!B378+'DCA-Anexo I-D'!B379+'DCA-Anexo I-D'!B380+'DCA-Anexo I-D'!B355+'DCA-Anexo I-D'!B357+'DCA-Anexo I-D'!B358+'DCA-Anexo I-D'!B339+'DCA-Anexo I-D'!B340+'DCA-Anexo I-D'!B341+'DCA-Anexo I-D'!B342+'DCA-Anexo I-D'!B343+'DCA-Anexo I-D'!B344+'DCA-Anexo I-D'!B345+'DCA-Anexo I-D'!B346+'DCA-Anexo I-D'!B347+'DCA-Anexo I-D'!B348+'DCA-Anexo I-D'!B349+'DCA-Anexo I-D'!B350+'DCA-Anexo I-D'!B351+'DCA-Anexo I-D'!B352+'DCA-Anexo I-D'!B353+'DCA-Anexo I-D'!B354+'DCA-Anexo I-D'!B356+'DCA-Anexo I-D'!B359+'DCA-Anexo I-D'!B360+'DCA-Anexo I-D'!B361+'DCA-Anexo I-D'!B375+'DCA-Anexo I-D'!B376+'DCA-Anexo I-D'!B377</t>
  </si>
  <si>
    <t>'DCA-Anexo I-D'!C338=+'DCA-Anexo I-D'!C362+'DCA-Anexo I-D'!C378+'DCA-Anexo I-D'!C379+'DCA-Anexo I-D'!C380+'DCA-Anexo I-D'!C355+'DCA-Anexo I-D'!C357+'DCA-Anexo I-D'!C358+'DCA-Anexo I-D'!C339+'DCA-Anexo I-D'!C340+'DCA-Anexo I-D'!C341+'DCA-Anexo I-D'!C342+'DCA-Anexo I-D'!C343+'DCA-Anexo I-D'!C344+'DCA-Anexo I-D'!C345+'DCA-Anexo I-D'!C346+'DCA-Anexo I-D'!C347+'DCA-Anexo I-D'!C348+'DCA-Anexo I-D'!C349+'DCA-Anexo I-D'!C350+'DCA-Anexo I-D'!C351+'DCA-Anexo I-D'!C352+'DCA-Anexo I-D'!C353+'DCA-Anexo I-D'!C354+'DCA-Anexo I-D'!C356+'DCA-Anexo I-D'!C359+'DCA-Anexo I-D'!C360+'DCA-Anexo I-D'!C361+'DCA-Anexo I-D'!C375+'DCA-Anexo I-D'!C376+'DCA-Anexo I-D'!C377</t>
  </si>
  <si>
    <t>'DCA-Anexo I-D'!D338=+'DCA-Anexo I-D'!D362+'DCA-Anexo I-D'!D378+'DCA-Anexo I-D'!D379+'DCA-Anexo I-D'!D380+'DCA-Anexo I-D'!D355+'DCA-Anexo I-D'!D357+'DCA-Anexo I-D'!D358+'DCA-Anexo I-D'!D339+'DCA-Anexo I-D'!D340+'DCA-Anexo I-D'!D341+'DCA-Anexo I-D'!D342+'DCA-Anexo I-D'!D343+'DCA-Anexo I-D'!D344+'DCA-Anexo I-D'!D345+'DCA-Anexo I-D'!D346+'DCA-Anexo I-D'!D347+'DCA-Anexo I-D'!D348+'DCA-Anexo I-D'!D349+'DCA-Anexo I-D'!D350+'DCA-Anexo I-D'!D351+'DCA-Anexo I-D'!D352+'DCA-Anexo I-D'!D353+'DCA-Anexo I-D'!D354+'DCA-Anexo I-D'!D356+'DCA-Anexo I-D'!D359+'DCA-Anexo I-D'!D360+'DCA-Anexo I-D'!D361+'DCA-Anexo I-D'!D375+'DCA-Anexo I-D'!D376+'DCA-Anexo I-D'!D377</t>
  </si>
  <si>
    <t>'DCA-Anexo I-D'!E338=+'DCA-Anexo I-D'!E362+'DCA-Anexo I-D'!E378+'DCA-Anexo I-D'!E379+'DCA-Anexo I-D'!E380+'DCA-Anexo I-D'!E355+'DCA-Anexo I-D'!E357+'DCA-Anexo I-D'!E358+'DCA-Anexo I-D'!E339+'DCA-Anexo I-D'!E340+'DCA-Anexo I-D'!E341+'DCA-Anexo I-D'!E342+'DCA-Anexo I-D'!E343+'DCA-Anexo I-D'!E344+'DCA-Anexo I-D'!E345+'DCA-Anexo I-D'!E346+'DCA-Anexo I-D'!E347+'DCA-Anexo I-D'!E348+'DCA-Anexo I-D'!E349+'DCA-Anexo I-D'!E350+'DCA-Anexo I-D'!E351+'DCA-Anexo I-D'!E352+'DCA-Anexo I-D'!E353+'DCA-Anexo I-D'!E354+'DCA-Anexo I-D'!E356+'DCA-Anexo I-D'!E359+'DCA-Anexo I-D'!E360+'DCA-Anexo I-D'!E361+'DCA-Anexo I-D'!E375+'DCA-Anexo I-D'!E376+'DCA-Anexo I-D'!E377</t>
  </si>
  <si>
    <t>'DCA-Anexo I-D'!F338=+'DCA-Anexo I-D'!F362+'DCA-Anexo I-D'!F378+'DCA-Anexo I-D'!F379+'DCA-Anexo I-D'!F380+'DCA-Anexo I-D'!F355+'DCA-Anexo I-D'!F357+'DCA-Anexo I-D'!F358+'DCA-Anexo I-D'!F339+'DCA-Anexo I-D'!F340+'DCA-Anexo I-D'!F341+'DCA-Anexo I-D'!F342+'DCA-Anexo I-D'!F343+'DCA-Anexo I-D'!F344+'DCA-Anexo I-D'!F345+'DCA-Anexo I-D'!F346+'DCA-Anexo I-D'!F347+'DCA-Anexo I-D'!F348+'DCA-Anexo I-D'!F349+'DCA-Anexo I-D'!F350+'DCA-Anexo I-D'!F351+'DCA-Anexo I-D'!F352+'DCA-Anexo I-D'!F353+'DCA-Anexo I-D'!F354+'DCA-Anexo I-D'!F356+'DCA-Anexo I-D'!F359+'DCA-Anexo I-D'!F360+'DCA-Anexo I-D'!F361+'DCA-Anexo I-D'!F375+'DCA-Anexo I-D'!F376+'DCA-Anexo I-D'!F377</t>
  </si>
  <si>
    <t>'DCA-Anexo I-D'!B20=+'DCA-Anexo I-D'!B21+'DCA-Anexo I-D'!B235</t>
  </si>
  <si>
    <t>'DCA-Anexo I-D'!C20=+'DCA-Anexo I-D'!C21+'DCA-Anexo I-D'!C235</t>
  </si>
  <si>
    <t>'DCA-Anexo I-D'!D20=+'DCA-Anexo I-D'!D21+'DCA-Anexo I-D'!D235</t>
  </si>
  <si>
    <t>'DCA-Anexo I-D'!E20=+'DCA-Anexo I-D'!E21+'DCA-Anexo I-D'!E235</t>
  </si>
  <si>
    <t>'DCA-Anexo I-D'!F20=+'DCA-Anexo I-D'!F21+'DCA-Anexo I-D'!F235</t>
  </si>
  <si>
    <t>'DCA-Anexo I-D'!B21=+'DCA-Anexo I-D'!B22+'DCA-Anexo I-D'!B145+'DCA-Anexo I-D'!B103</t>
  </si>
  <si>
    <t>'DCA-Anexo I-D'!C21=+'DCA-Anexo I-D'!C22+'DCA-Anexo I-D'!C145+'DCA-Anexo I-D'!C103</t>
  </si>
  <si>
    <t>'DCA-Anexo I-D'!D21=+'DCA-Anexo I-D'!D22+'DCA-Anexo I-D'!D145+'DCA-Anexo I-D'!D103</t>
  </si>
  <si>
    <t>'DCA-Anexo I-D'!E21=+'DCA-Anexo I-D'!E22+'DCA-Anexo I-D'!E145+'DCA-Anexo I-D'!E103</t>
  </si>
  <si>
    <t>'DCA-Anexo I-D'!F21=+'DCA-Anexo I-D'!F22+'DCA-Anexo I-D'!F145+'DCA-Anexo I-D'!F103</t>
  </si>
  <si>
    <t>'DCA-Anexo I-D'!B235=+'DCA-Anexo I-D'!B236+'DCA-Anexo I-D'!B338+'DCA-Anexo I-D'!B293</t>
  </si>
  <si>
    <t>'DCA-Anexo I-D'!C235=+'DCA-Anexo I-D'!C236+'DCA-Anexo I-D'!C338+'DCA-Anexo I-D'!C293</t>
  </si>
  <si>
    <t>'DCA-Anexo I-D'!D235=+'DCA-Anexo I-D'!D236+'DCA-Anexo I-D'!D338+'DCA-Anexo I-D'!D293</t>
  </si>
  <si>
    <t>'DCA-Anexo I-D'!E235=+'DCA-Anexo I-D'!E236+'DCA-Anexo I-D'!E338+'DCA-Anexo I-D'!E293</t>
  </si>
  <si>
    <t>'DCA-Anexo I-D'!F235=+'DCA-Anexo I-D'!F236+'DCA-Anexo I-D'!F338+'DCA-Anexo I-D'!F293</t>
  </si>
  <si>
    <t>[DCA-Anexo I-F]</t>
  </si>
  <si>
    <t>'DCA-Anexo I-F'!B22=+'DCA-Anexo I-F'!B101+'DCA-Anexo I-F'!B30+'DCA-Anexo I-F'!B39+'DCA-Anexo I-F'!B75+'DCA-Anexo I-F'!B26+'DCA-Anexo I-F'!B34+'DCA-Anexo I-F'!B102+'DCA-Anexo I-F'!B44+'DCA-Anexo I-F'!B24+'DCA-Anexo I-F'!B29+'DCA-Anexo I-F'!B25+'DCA-Anexo I-F'!B37+'DCA-Anexo I-F'!B28+'DCA-Anexo I-F'!B27+'DCA-Anexo I-F'!B42+'DCA-Anexo I-F'!B43+'DCA-Anexo I-F'!B99+'DCA-Anexo I-F'!B46+'DCA-Anexo I-F'!B32+'DCA-Anexo I-F'!B100+'DCA-Anexo I-F'!B35+'DCA-Anexo I-F'!B23+'DCA-Anexo I-F'!B41+'DCA-Anexo I-F'!B38+'DCA-Anexo I-F'!B98+'DCA-Anexo I-F'!B31+'DCA-Anexo I-F'!B33+'DCA-Anexo I-F'!B36+'DCA-Anexo I-F'!B45+'DCA-Anexo I-F'!B40+'DCA-Anexo I-F'!B97</t>
  </si>
  <si>
    <t>'DCA-Anexo I-F'!C22=+'DCA-Anexo I-F'!C101+'DCA-Anexo I-F'!C30+'DCA-Anexo I-F'!C39+'DCA-Anexo I-F'!C75+'DCA-Anexo I-F'!C26+'DCA-Anexo I-F'!C34+'DCA-Anexo I-F'!C102+'DCA-Anexo I-F'!C44+'DCA-Anexo I-F'!C24+'DCA-Anexo I-F'!C29+'DCA-Anexo I-F'!C25+'DCA-Anexo I-F'!C37+'DCA-Anexo I-F'!C28+'DCA-Anexo I-F'!C27+'DCA-Anexo I-F'!C42+'DCA-Anexo I-F'!C43+'DCA-Anexo I-F'!C99+'DCA-Anexo I-F'!C46+'DCA-Anexo I-F'!C32+'DCA-Anexo I-F'!C100+'DCA-Anexo I-F'!C35+'DCA-Anexo I-F'!C23+'DCA-Anexo I-F'!C41+'DCA-Anexo I-F'!C38+'DCA-Anexo I-F'!C98+'DCA-Anexo I-F'!C31+'DCA-Anexo I-F'!C33+'DCA-Anexo I-F'!C36+'DCA-Anexo I-F'!C45+'DCA-Anexo I-F'!C40+'DCA-Anexo I-F'!C97</t>
  </si>
  <si>
    <t>'DCA-Anexo I-F'!D22=+'DCA-Anexo I-F'!D101+'DCA-Anexo I-F'!D30+'DCA-Anexo I-F'!D39+'DCA-Anexo I-F'!D75+'DCA-Anexo I-F'!D26+'DCA-Anexo I-F'!D34+'DCA-Anexo I-F'!D102+'DCA-Anexo I-F'!D44+'DCA-Anexo I-F'!D24+'DCA-Anexo I-F'!D29+'DCA-Anexo I-F'!D25+'DCA-Anexo I-F'!D37+'DCA-Anexo I-F'!D28+'DCA-Anexo I-F'!D27+'DCA-Anexo I-F'!D42+'DCA-Anexo I-F'!D43+'DCA-Anexo I-F'!D99+'DCA-Anexo I-F'!D46+'DCA-Anexo I-F'!D32+'DCA-Anexo I-F'!D100+'DCA-Anexo I-F'!D35+'DCA-Anexo I-F'!D23+'DCA-Anexo I-F'!D41+'DCA-Anexo I-F'!D38+'DCA-Anexo I-F'!D98+'DCA-Anexo I-F'!D31+'DCA-Anexo I-F'!D33+'DCA-Anexo I-F'!D36+'DCA-Anexo I-F'!D45+'DCA-Anexo I-F'!D40+'DCA-Anexo I-F'!D97</t>
  </si>
  <si>
    <t>'DCA-Anexo I-F'!E22=+'DCA-Anexo I-F'!E101+'DCA-Anexo I-F'!E30+'DCA-Anexo I-F'!E39+'DCA-Anexo I-F'!E75+'DCA-Anexo I-F'!E26+'DCA-Anexo I-F'!E34+'DCA-Anexo I-F'!E102+'DCA-Anexo I-F'!E44+'DCA-Anexo I-F'!E24+'DCA-Anexo I-F'!E29+'DCA-Anexo I-F'!E25+'DCA-Anexo I-F'!E37+'DCA-Anexo I-F'!E28+'DCA-Anexo I-F'!E27+'DCA-Anexo I-F'!E42+'DCA-Anexo I-F'!E43+'DCA-Anexo I-F'!E99+'DCA-Anexo I-F'!E46+'DCA-Anexo I-F'!E32+'DCA-Anexo I-F'!E100+'DCA-Anexo I-F'!E35+'DCA-Anexo I-F'!E23+'DCA-Anexo I-F'!E41+'DCA-Anexo I-F'!E38+'DCA-Anexo I-F'!E98+'DCA-Anexo I-F'!E31+'DCA-Anexo I-F'!E33+'DCA-Anexo I-F'!E36+'DCA-Anexo I-F'!E45+'DCA-Anexo I-F'!E40+'DCA-Anexo I-F'!E97</t>
  </si>
  <si>
    <t>'DCA-Anexo I-F'!F22=+'DCA-Anexo I-F'!F101+'DCA-Anexo I-F'!F30+'DCA-Anexo I-F'!F39+'DCA-Anexo I-F'!F75+'DCA-Anexo I-F'!F26+'DCA-Anexo I-F'!F34+'DCA-Anexo I-F'!F102+'DCA-Anexo I-F'!F44+'DCA-Anexo I-F'!F24+'DCA-Anexo I-F'!F29+'DCA-Anexo I-F'!F25+'DCA-Anexo I-F'!F37+'DCA-Anexo I-F'!F28+'DCA-Anexo I-F'!F27+'DCA-Anexo I-F'!F42+'DCA-Anexo I-F'!F43+'DCA-Anexo I-F'!F99+'DCA-Anexo I-F'!F46+'DCA-Anexo I-F'!F32+'DCA-Anexo I-F'!F100+'DCA-Anexo I-F'!F35+'DCA-Anexo I-F'!F23+'DCA-Anexo I-F'!F41+'DCA-Anexo I-F'!F38+'DCA-Anexo I-F'!F98+'DCA-Anexo I-F'!F31+'DCA-Anexo I-F'!F33+'DCA-Anexo I-F'!F36+'DCA-Anexo I-F'!F45+'DCA-Anexo I-F'!F40+'DCA-Anexo I-F'!F97</t>
  </si>
  <si>
    <t>'DCA-Anexo I-F'!G22=+'DCA-Anexo I-F'!G101+'DCA-Anexo I-F'!G30+'DCA-Anexo I-F'!G39+'DCA-Anexo I-F'!G75+'DCA-Anexo I-F'!G26+'DCA-Anexo I-F'!G34+'DCA-Anexo I-F'!G102+'DCA-Anexo I-F'!G44+'DCA-Anexo I-F'!G24+'DCA-Anexo I-F'!G29+'DCA-Anexo I-F'!G25+'DCA-Anexo I-F'!G37+'DCA-Anexo I-F'!G28+'DCA-Anexo I-F'!G27+'DCA-Anexo I-F'!G42+'DCA-Anexo I-F'!G43+'DCA-Anexo I-F'!G99+'DCA-Anexo I-F'!G46+'DCA-Anexo I-F'!G32+'DCA-Anexo I-F'!G100+'DCA-Anexo I-F'!G35+'DCA-Anexo I-F'!G23+'DCA-Anexo I-F'!G41+'DCA-Anexo I-F'!G38+'DCA-Anexo I-F'!G98+'DCA-Anexo I-F'!G31+'DCA-Anexo I-F'!G33+'DCA-Anexo I-F'!G36+'DCA-Anexo I-F'!G45+'DCA-Anexo I-F'!G40+'DCA-Anexo I-F'!G97</t>
  </si>
  <si>
    <t>'DCA-Anexo I-F'!H22=+'DCA-Anexo I-F'!H101+'DCA-Anexo I-F'!H30+'DCA-Anexo I-F'!H39+'DCA-Anexo I-F'!H75+'DCA-Anexo I-F'!H26+'DCA-Anexo I-F'!H34+'DCA-Anexo I-F'!H102+'DCA-Anexo I-F'!H44+'DCA-Anexo I-F'!H24+'DCA-Anexo I-F'!H29+'DCA-Anexo I-F'!H25+'DCA-Anexo I-F'!H37+'DCA-Anexo I-F'!H28+'DCA-Anexo I-F'!H27+'DCA-Anexo I-F'!H42+'DCA-Anexo I-F'!H43+'DCA-Anexo I-F'!H99+'DCA-Anexo I-F'!H46+'DCA-Anexo I-F'!H32+'DCA-Anexo I-F'!H100+'DCA-Anexo I-F'!H35+'DCA-Anexo I-F'!H23+'DCA-Anexo I-F'!H41+'DCA-Anexo I-F'!H38+'DCA-Anexo I-F'!H98+'DCA-Anexo I-F'!H31+'DCA-Anexo I-F'!H33+'DCA-Anexo I-F'!H36+'DCA-Anexo I-F'!H45+'DCA-Anexo I-F'!H40+'DCA-Anexo I-F'!H97</t>
  </si>
  <si>
    <t>'DCA-Anexo I-F'!I22=+'DCA-Anexo I-F'!I101+'DCA-Anexo I-F'!I30+'DCA-Anexo I-F'!I39+'DCA-Anexo I-F'!I75+'DCA-Anexo I-F'!I26+'DCA-Anexo I-F'!I34+'DCA-Anexo I-F'!I102+'DCA-Anexo I-F'!I44+'DCA-Anexo I-F'!I24+'DCA-Anexo I-F'!I29+'DCA-Anexo I-F'!I25+'DCA-Anexo I-F'!I37+'DCA-Anexo I-F'!I28+'DCA-Anexo I-F'!I27+'DCA-Anexo I-F'!I42+'DCA-Anexo I-F'!I43+'DCA-Anexo I-F'!I99+'DCA-Anexo I-F'!I46+'DCA-Anexo I-F'!I32+'DCA-Anexo I-F'!I100+'DCA-Anexo I-F'!I35+'DCA-Anexo I-F'!I23+'DCA-Anexo I-F'!I41+'DCA-Anexo I-F'!I38+'DCA-Anexo I-F'!I98+'DCA-Anexo I-F'!I31+'DCA-Anexo I-F'!I33+'DCA-Anexo I-F'!I36+'DCA-Anexo I-F'!I45+'DCA-Anexo I-F'!I40+'DCA-Anexo I-F'!I97</t>
  </si>
  <si>
    <t>'DCA-Anexo I-F'!J22=+'DCA-Anexo I-F'!J101+'DCA-Anexo I-F'!J30+'DCA-Anexo I-F'!J39+'DCA-Anexo I-F'!J75+'DCA-Anexo I-F'!J26+'DCA-Anexo I-F'!J34+'DCA-Anexo I-F'!J102+'DCA-Anexo I-F'!J44+'DCA-Anexo I-F'!J24+'DCA-Anexo I-F'!J29+'DCA-Anexo I-F'!J25+'DCA-Anexo I-F'!J37+'DCA-Anexo I-F'!J28+'DCA-Anexo I-F'!J27+'DCA-Anexo I-F'!J42+'DCA-Anexo I-F'!J43+'DCA-Anexo I-F'!J99+'DCA-Anexo I-F'!J46+'DCA-Anexo I-F'!J32+'DCA-Anexo I-F'!J100+'DCA-Anexo I-F'!J35+'DCA-Anexo I-F'!J23+'DCA-Anexo I-F'!J41+'DCA-Anexo I-F'!J38+'DCA-Anexo I-F'!J98+'DCA-Anexo I-F'!J31+'DCA-Anexo I-F'!J33+'DCA-Anexo I-F'!J36+'DCA-Anexo I-F'!J45+'DCA-Anexo I-F'!J40+'DCA-Anexo I-F'!J97</t>
  </si>
  <si>
    <t>'DCA-Anexo I-F'!B54=+'DCA-Anexo I-F'!B56+'DCA-Anexo I-F'!B58+'DCA-Anexo I-F'!B59+'DCA-Anexo I-F'!B55+'DCA-Anexo I-F'!B65+'DCA-Anexo I-F'!B57+'DCA-Anexo I-F'!B60+'DCA-Anexo I-F'!B61+'DCA-Anexo I-F'!B62+'DCA-Anexo I-F'!B63+'DCA-Anexo I-F'!B64</t>
  </si>
  <si>
    <t>'DCA-Anexo I-F'!C54=+'DCA-Anexo I-F'!C56+'DCA-Anexo I-F'!C58+'DCA-Anexo I-F'!C59+'DCA-Anexo I-F'!C55+'DCA-Anexo I-F'!C65+'DCA-Anexo I-F'!C57+'DCA-Anexo I-F'!C60+'DCA-Anexo I-F'!C61+'DCA-Anexo I-F'!C62+'DCA-Anexo I-F'!C63+'DCA-Anexo I-F'!C64</t>
  </si>
  <si>
    <t>'DCA-Anexo I-F'!D54=+'DCA-Anexo I-F'!D56+'DCA-Anexo I-F'!D58+'DCA-Anexo I-F'!D59+'DCA-Anexo I-F'!D55+'DCA-Anexo I-F'!D65+'DCA-Anexo I-F'!D57+'DCA-Anexo I-F'!D60+'DCA-Anexo I-F'!D61+'DCA-Anexo I-F'!D62+'DCA-Anexo I-F'!D63+'DCA-Anexo I-F'!D64</t>
  </si>
  <si>
    <t>'DCA-Anexo I-F'!E54=+'DCA-Anexo I-F'!E56+'DCA-Anexo I-F'!E58+'DCA-Anexo I-F'!E59+'DCA-Anexo I-F'!E55+'DCA-Anexo I-F'!E65+'DCA-Anexo I-F'!E57+'DCA-Anexo I-F'!E60+'DCA-Anexo I-F'!E61+'DCA-Anexo I-F'!E62+'DCA-Anexo I-F'!E63+'DCA-Anexo I-F'!E64</t>
  </si>
  <si>
    <t>'DCA-Anexo I-F'!F54=+'DCA-Anexo I-F'!F56+'DCA-Anexo I-F'!F58+'DCA-Anexo I-F'!F59+'DCA-Anexo I-F'!F55+'DCA-Anexo I-F'!F65+'DCA-Anexo I-F'!F57+'DCA-Anexo I-F'!F60+'DCA-Anexo I-F'!F61+'DCA-Anexo I-F'!F62+'DCA-Anexo I-F'!F63+'DCA-Anexo I-F'!F64</t>
  </si>
  <si>
    <t>'DCA-Anexo I-F'!G54=+'DCA-Anexo I-F'!G56+'DCA-Anexo I-F'!G58+'DCA-Anexo I-F'!G59+'DCA-Anexo I-F'!G55+'DCA-Anexo I-F'!G65+'DCA-Anexo I-F'!G57+'DCA-Anexo I-F'!G60+'DCA-Anexo I-F'!G61+'DCA-Anexo I-F'!G62+'DCA-Anexo I-F'!G63+'DCA-Anexo I-F'!G64</t>
  </si>
  <si>
    <t>'DCA-Anexo I-F'!H54=+'DCA-Anexo I-F'!H56+'DCA-Anexo I-F'!H58+'DCA-Anexo I-F'!H59+'DCA-Anexo I-F'!H55+'DCA-Anexo I-F'!H65+'DCA-Anexo I-F'!H57+'DCA-Anexo I-F'!H60+'DCA-Anexo I-F'!H61+'DCA-Anexo I-F'!H62+'DCA-Anexo I-F'!H63+'DCA-Anexo I-F'!H64</t>
  </si>
  <si>
    <t>'DCA-Anexo I-F'!I54=+'DCA-Anexo I-F'!I56+'DCA-Anexo I-F'!I58+'DCA-Anexo I-F'!I59+'DCA-Anexo I-F'!I55+'DCA-Anexo I-F'!I65+'DCA-Anexo I-F'!I57+'DCA-Anexo I-F'!I60+'DCA-Anexo I-F'!I61+'DCA-Anexo I-F'!I62+'DCA-Anexo I-F'!I63+'DCA-Anexo I-F'!I64</t>
  </si>
  <si>
    <t>'DCA-Anexo I-F'!J54=+'DCA-Anexo I-F'!J56+'DCA-Anexo I-F'!J58+'DCA-Anexo I-F'!J59+'DCA-Anexo I-F'!J55+'DCA-Anexo I-F'!J65+'DCA-Anexo I-F'!J57+'DCA-Anexo I-F'!J60+'DCA-Anexo I-F'!J61+'DCA-Anexo I-F'!J62+'DCA-Anexo I-F'!J63+'DCA-Anexo I-F'!J64</t>
  </si>
  <si>
    <t>'DCA-Anexo I-F'!B75=+'DCA-Anexo I-F'!B94+'DCA-Anexo I-F'!B78+'DCA-Anexo I-F'!B92+'DCA-Anexo I-F'!B95+'DCA-Anexo I-F'!B96+'DCA-Anexo I-F'!B76+'DCA-Anexo I-F'!B93+'DCA-Anexo I-F'!B77+'DCA-Anexo I-F'!B91</t>
  </si>
  <si>
    <t>'DCA-Anexo I-F'!C75=+'DCA-Anexo I-F'!C94+'DCA-Anexo I-F'!C78+'DCA-Anexo I-F'!C92+'DCA-Anexo I-F'!C95+'DCA-Anexo I-F'!C96+'DCA-Anexo I-F'!C76+'DCA-Anexo I-F'!C93+'DCA-Anexo I-F'!C77+'DCA-Anexo I-F'!C91</t>
  </si>
  <si>
    <t>'DCA-Anexo I-F'!D75=+'DCA-Anexo I-F'!D94+'DCA-Anexo I-F'!D78+'DCA-Anexo I-F'!D92+'DCA-Anexo I-F'!D95+'DCA-Anexo I-F'!D96+'DCA-Anexo I-F'!D76+'DCA-Anexo I-F'!D93+'DCA-Anexo I-F'!D77+'DCA-Anexo I-F'!D91</t>
  </si>
  <si>
    <t>'DCA-Anexo I-F'!E75=+'DCA-Anexo I-F'!E94+'DCA-Anexo I-F'!E78+'DCA-Anexo I-F'!E92+'DCA-Anexo I-F'!E95+'DCA-Anexo I-F'!E96+'DCA-Anexo I-F'!E76+'DCA-Anexo I-F'!E93+'DCA-Anexo I-F'!E77+'DCA-Anexo I-F'!E91</t>
  </si>
  <si>
    <t>'DCA-Anexo I-F'!F75=+'DCA-Anexo I-F'!F94+'DCA-Anexo I-F'!F78+'DCA-Anexo I-F'!F92+'DCA-Anexo I-F'!F95+'DCA-Anexo I-F'!F96+'DCA-Anexo I-F'!F76+'DCA-Anexo I-F'!F93+'DCA-Anexo I-F'!F77+'DCA-Anexo I-F'!F91</t>
  </si>
  <si>
    <t>'DCA-Anexo I-F'!G75=+'DCA-Anexo I-F'!G94+'DCA-Anexo I-F'!G78+'DCA-Anexo I-F'!G92+'DCA-Anexo I-F'!G95+'DCA-Anexo I-F'!G96+'DCA-Anexo I-F'!G76+'DCA-Anexo I-F'!G93+'DCA-Anexo I-F'!G77+'DCA-Anexo I-F'!G91</t>
  </si>
  <si>
    <t>'DCA-Anexo I-F'!H75=+'DCA-Anexo I-F'!H94+'DCA-Anexo I-F'!H78+'DCA-Anexo I-F'!H92+'DCA-Anexo I-F'!H95+'DCA-Anexo I-F'!H96+'DCA-Anexo I-F'!H76+'DCA-Anexo I-F'!H93+'DCA-Anexo I-F'!H77+'DCA-Anexo I-F'!H91</t>
  </si>
  <si>
    <t>'DCA-Anexo I-F'!I75=+'DCA-Anexo I-F'!I94+'DCA-Anexo I-F'!I78+'DCA-Anexo I-F'!I92+'DCA-Anexo I-F'!I95+'DCA-Anexo I-F'!I96+'DCA-Anexo I-F'!I76+'DCA-Anexo I-F'!I93+'DCA-Anexo I-F'!I77+'DCA-Anexo I-F'!I91</t>
  </si>
  <si>
    <t>'DCA-Anexo I-F'!J75=+'DCA-Anexo I-F'!J94+'DCA-Anexo I-F'!J78+'DCA-Anexo I-F'!J92+'DCA-Anexo I-F'!J95+'DCA-Anexo I-F'!J96+'DCA-Anexo I-F'!J76+'DCA-Anexo I-F'!J93+'DCA-Anexo I-F'!J77+'DCA-Anexo I-F'!J91</t>
  </si>
  <si>
    <t>'DCA-Anexo I-F'!B78=+'DCA-Anexo I-F'!B79+'DCA-Anexo I-F'!B80+'DCA-Anexo I-F'!B81+'DCA-Anexo I-F'!B82+'DCA-Anexo I-F'!B83+'DCA-Anexo I-F'!B84+'DCA-Anexo I-F'!B85+'DCA-Anexo I-F'!B86+'DCA-Anexo I-F'!B87+'DCA-Anexo I-F'!B88+'DCA-Anexo I-F'!B89+'DCA-Anexo I-F'!B90</t>
  </si>
  <si>
    <t>'DCA-Anexo I-F'!C78=+'DCA-Anexo I-F'!C79+'DCA-Anexo I-F'!C80+'DCA-Anexo I-F'!C81+'DCA-Anexo I-F'!C82+'DCA-Anexo I-F'!C83+'DCA-Anexo I-F'!C84+'DCA-Anexo I-F'!C85+'DCA-Anexo I-F'!C86+'DCA-Anexo I-F'!C87+'DCA-Anexo I-F'!C88+'DCA-Anexo I-F'!C89+'DCA-Anexo I-F'!C90</t>
  </si>
  <si>
    <t>'DCA-Anexo I-F'!D78=+'DCA-Anexo I-F'!D79+'DCA-Anexo I-F'!D80+'DCA-Anexo I-F'!D81+'DCA-Anexo I-F'!D82+'DCA-Anexo I-F'!D83+'DCA-Anexo I-F'!D84+'DCA-Anexo I-F'!D85+'DCA-Anexo I-F'!D86+'DCA-Anexo I-F'!D87+'DCA-Anexo I-F'!D88+'DCA-Anexo I-F'!D89+'DCA-Anexo I-F'!D90</t>
  </si>
  <si>
    <t>'DCA-Anexo I-F'!E78=+'DCA-Anexo I-F'!E79+'DCA-Anexo I-F'!E80+'DCA-Anexo I-F'!E81+'DCA-Anexo I-F'!E82+'DCA-Anexo I-F'!E83+'DCA-Anexo I-F'!E84+'DCA-Anexo I-F'!E85+'DCA-Anexo I-F'!E86+'DCA-Anexo I-F'!E87+'DCA-Anexo I-F'!E88+'DCA-Anexo I-F'!E89+'DCA-Anexo I-F'!E90</t>
  </si>
  <si>
    <t>'DCA-Anexo I-F'!F78=+'DCA-Anexo I-F'!F79+'DCA-Anexo I-F'!F80+'DCA-Anexo I-F'!F81+'DCA-Anexo I-F'!F82+'DCA-Anexo I-F'!F83+'DCA-Anexo I-F'!F84+'DCA-Anexo I-F'!F85+'DCA-Anexo I-F'!F86+'DCA-Anexo I-F'!F87+'DCA-Anexo I-F'!F88+'DCA-Anexo I-F'!F89+'DCA-Anexo I-F'!F90</t>
  </si>
  <si>
    <t>'DCA-Anexo I-F'!G78=+'DCA-Anexo I-F'!G79+'DCA-Anexo I-F'!G80+'DCA-Anexo I-F'!G81+'DCA-Anexo I-F'!G82+'DCA-Anexo I-F'!G83+'DCA-Anexo I-F'!G84+'DCA-Anexo I-F'!G85+'DCA-Anexo I-F'!G86+'DCA-Anexo I-F'!G87+'DCA-Anexo I-F'!G88+'DCA-Anexo I-F'!G89+'DCA-Anexo I-F'!G90</t>
  </si>
  <si>
    <t>'DCA-Anexo I-F'!H78=+'DCA-Anexo I-F'!H79+'DCA-Anexo I-F'!H80+'DCA-Anexo I-F'!H81+'DCA-Anexo I-F'!H82+'DCA-Anexo I-F'!H83+'DCA-Anexo I-F'!H84+'DCA-Anexo I-F'!H85+'DCA-Anexo I-F'!H86+'DCA-Anexo I-F'!H87+'DCA-Anexo I-F'!H88+'DCA-Anexo I-F'!H89+'DCA-Anexo I-F'!H90</t>
  </si>
  <si>
    <t>'DCA-Anexo I-F'!I78=+'DCA-Anexo I-F'!I79+'DCA-Anexo I-F'!I80+'DCA-Anexo I-F'!I81+'DCA-Anexo I-F'!I82+'DCA-Anexo I-F'!I83+'DCA-Anexo I-F'!I84+'DCA-Anexo I-F'!I85+'DCA-Anexo I-F'!I86+'DCA-Anexo I-F'!I87+'DCA-Anexo I-F'!I88+'DCA-Anexo I-F'!I89+'DCA-Anexo I-F'!I90</t>
  </si>
  <si>
    <t>'DCA-Anexo I-F'!J78=+'DCA-Anexo I-F'!J79+'DCA-Anexo I-F'!J80+'DCA-Anexo I-F'!J81+'DCA-Anexo I-F'!J82+'DCA-Anexo I-F'!J83+'DCA-Anexo I-F'!J84+'DCA-Anexo I-F'!J85+'DCA-Anexo I-F'!J86+'DCA-Anexo I-F'!J87+'DCA-Anexo I-F'!J88+'DCA-Anexo I-F'!J89+'DCA-Anexo I-F'!J90</t>
  </si>
  <si>
    <t>'DCA-Anexo I-F'!B46=+'DCA-Anexo I-F'!B47+'DCA-Anexo I-F'!B48+'DCA-Anexo I-F'!B49+'DCA-Anexo I-F'!B50+'DCA-Anexo I-F'!B51+'DCA-Anexo I-F'!B52+'DCA-Anexo I-F'!B53+'DCA-Anexo I-F'!B66+'DCA-Anexo I-F'!B67+'DCA-Anexo I-F'!B68+'DCA-Anexo I-F'!B69+'DCA-Anexo I-F'!B70+'DCA-Anexo I-F'!B71+'DCA-Anexo I-F'!B72+'DCA-Anexo I-F'!B73+'DCA-Anexo I-F'!B74+'DCA-Anexo I-F'!B54</t>
  </si>
  <si>
    <t>'DCA-Anexo I-F'!C46=+'DCA-Anexo I-F'!C47+'DCA-Anexo I-F'!C48+'DCA-Anexo I-F'!C49+'DCA-Anexo I-F'!C50+'DCA-Anexo I-F'!C51+'DCA-Anexo I-F'!C52+'DCA-Anexo I-F'!C53+'DCA-Anexo I-F'!C66+'DCA-Anexo I-F'!C67+'DCA-Anexo I-F'!C68+'DCA-Anexo I-F'!C69+'DCA-Anexo I-F'!C70+'DCA-Anexo I-F'!C71+'DCA-Anexo I-F'!C72+'DCA-Anexo I-F'!C73+'DCA-Anexo I-F'!C74+'DCA-Anexo I-F'!C54</t>
  </si>
  <si>
    <t>'DCA-Anexo I-F'!D46=+'DCA-Anexo I-F'!D47+'DCA-Anexo I-F'!D48+'DCA-Anexo I-F'!D49+'DCA-Anexo I-F'!D50+'DCA-Anexo I-F'!D51+'DCA-Anexo I-F'!D52+'DCA-Anexo I-F'!D53+'DCA-Anexo I-F'!D66+'DCA-Anexo I-F'!D67+'DCA-Anexo I-F'!D68+'DCA-Anexo I-F'!D69+'DCA-Anexo I-F'!D70+'DCA-Anexo I-F'!D71+'DCA-Anexo I-F'!D72+'DCA-Anexo I-F'!D73+'DCA-Anexo I-F'!D74+'DCA-Anexo I-F'!D54</t>
  </si>
  <si>
    <t>'DCA-Anexo I-F'!E46=+'DCA-Anexo I-F'!E47+'DCA-Anexo I-F'!E48+'DCA-Anexo I-F'!E49+'DCA-Anexo I-F'!E50+'DCA-Anexo I-F'!E51+'DCA-Anexo I-F'!E52+'DCA-Anexo I-F'!E53+'DCA-Anexo I-F'!E66+'DCA-Anexo I-F'!E67+'DCA-Anexo I-F'!E68+'DCA-Anexo I-F'!E69+'DCA-Anexo I-F'!E70+'DCA-Anexo I-F'!E71+'DCA-Anexo I-F'!E72+'DCA-Anexo I-F'!E73+'DCA-Anexo I-F'!E74+'DCA-Anexo I-F'!E54</t>
  </si>
  <si>
    <t>'DCA-Anexo I-F'!F46=+'DCA-Anexo I-F'!F47+'DCA-Anexo I-F'!F48+'DCA-Anexo I-F'!F49+'DCA-Anexo I-F'!F50+'DCA-Anexo I-F'!F51+'DCA-Anexo I-F'!F52+'DCA-Anexo I-F'!F53+'DCA-Anexo I-F'!F66+'DCA-Anexo I-F'!F67+'DCA-Anexo I-F'!F68+'DCA-Anexo I-F'!F69+'DCA-Anexo I-F'!F70+'DCA-Anexo I-F'!F71+'DCA-Anexo I-F'!F72+'DCA-Anexo I-F'!F73+'DCA-Anexo I-F'!F74+'DCA-Anexo I-F'!F54</t>
  </si>
  <si>
    <t>'DCA-Anexo I-F'!G46=+'DCA-Anexo I-F'!G47+'DCA-Anexo I-F'!G48+'DCA-Anexo I-F'!G49+'DCA-Anexo I-F'!G50+'DCA-Anexo I-F'!G51+'DCA-Anexo I-F'!G52+'DCA-Anexo I-F'!G53+'DCA-Anexo I-F'!G66+'DCA-Anexo I-F'!G67+'DCA-Anexo I-F'!G68+'DCA-Anexo I-F'!G69+'DCA-Anexo I-F'!G70+'DCA-Anexo I-F'!G71+'DCA-Anexo I-F'!G72+'DCA-Anexo I-F'!G73+'DCA-Anexo I-F'!G74+'DCA-Anexo I-F'!G54</t>
  </si>
  <si>
    <t>'DCA-Anexo I-F'!H46=+'DCA-Anexo I-F'!H47+'DCA-Anexo I-F'!H48+'DCA-Anexo I-F'!H49+'DCA-Anexo I-F'!H50+'DCA-Anexo I-F'!H51+'DCA-Anexo I-F'!H52+'DCA-Anexo I-F'!H53+'DCA-Anexo I-F'!H66+'DCA-Anexo I-F'!H67+'DCA-Anexo I-F'!H68+'DCA-Anexo I-F'!H69+'DCA-Anexo I-F'!H70+'DCA-Anexo I-F'!H71+'DCA-Anexo I-F'!H72+'DCA-Anexo I-F'!H73+'DCA-Anexo I-F'!H74+'DCA-Anexo I-F'!H54</t>
  </si>
  <si>
    <t>'DCA-Anexo I-F'!I46=+'DCA-Anexo I-F'!I47+'DCA-Anexo I-F'!I48+'DCA-Anexo I-F'!I49+'DCA-Anexo I-F'!I50+'DCA-Anexo I-F'!I51+'DCA-Anexo I-F'!I52+'DCA-Anexo I-F'!I53+'DCA-Anexo I-F'!I66+'DCA-Anexo I-F'!I67+'DCA-Anexo I-F'!I68+'DCA-Anexo I-F'!I69+'DCA-Anexo I-F'!I70+'DCA-Anexo I-F'!I71+'DCA-Anexo I-F'!I72+'DCA-Anexo I-F'!I73+'DCA-Anexo I-F'!I74+'DCA-Anexo I-F'!I54</t>
  </si>
  <si>
    <t>'DCA-Anexo I-F'!J46=+'DCA-Anexo I-F'!J47+'DCA-Anexo I-F'!J48+'DCA-Anexo I-F'!J49+'DCA-Anexo I-F'!J50+'DCA-Anexo I-F'!J51+'DCA-Anexo I-F'!J52+'DCA-Anexo I-F'!J53+'DCA-Anexo I-F'!J66+'DCA-Anexo I-F'!J67+'DCA-Anexo I-F'!J68+'DCA-Anexo I-F'!J69+'DCA-Anexo I-F'!J70+'DCA-Anexo I-F'!J71+'DCA-Anexo I-F'!J72+'DCA-Anexo I-F'!J73+'DCA-Anexo I-F'!J74+'DCA-Anexo I-F'!J54</t>
  </si>
  <si>
    <t>'DCA-Anexo I-F'!B127=+'DCA-Anexo I-F'!B129+'DCA-Anexo I-F'!B137+'DCA-Anexo I-F'!B132+'DCA-Anexo I-F'!B133+'DCA-Anexo I-F'!B128+'DCA-Anexo I-F'!B131+'DCA-Anexo I-F'!B135+'DCA-Anexo I-F'!B130+'DCA-Anexo I-F'!B136+'DCA-Anexo I-F'!B134</t>
  </si>
  <si>
    <t>'DCA-Anexo I-F'!C127=+'DCA-Anexo I-F'!C129+'DCA-Anexo I-F'!C137+'DCA-Anexo I-F'!C132+'DCA-Anexo I-F'!C133+'DCA-Anexo I-F'!C128+'DCA-Anexo I-F'!C131+'DCA-Anexo I-F'!C135+'DCA-Anexo I-F'!C130+'DCA-Anexo I-F'!C136+'DCA-Anexo I-F'!C134</t>
  </si>
  <si>
    <t>'DCA-Anexo I-F'!D127=+'DCA-Anexo I-F'!D129+'DCA-Anexo I-F'!D137+'DCA-Anexo I-F'!D132+'DCA-Anexo I-F'!D133+'DCA-Anexo I-F'!D128+'DCA-Anexo I-F'!D131+'DCA-Anexo I-F'!D135+'DCA-Anexo I-F'!D130+'DCA-Anexo I-F'!D136+'DCA-Anexo I-F'!D134</t>
  </si>
  <si>
    <t>'DCA-Anexo I-F'!E127=+'DCA-Anexo I-F'!E129+'DCA-Anexo I-F'!E137+'DCA-Anexo I-F'!E132+'DCA-Anexo I-F'!E133+'DCA-Anexo I-F'!E128+'DCA-Anexo I-F'!E131+'DCA-Anexo I-F'!E135+'DCA-Anexo I-F'!E130+'DCA-Anexo I-F'!E136+'DCA-Anexo I-F'!E134</t>
  </si>
  <si>
    <t>'DCA-Anexo I-F'!F127=+'DCA-Anexo I-F'!F129+'DCA-Anexo I-F'!F137+'DCA-Anexo I-F'!F132+'DCA-Anexo I-F'!F133+'DCA-Anexo I-F'!F128+'DCA-Anexo I-F'!F131+'DCA-Anexo I-F'!F135+'DCA-Anexo I-F'!F130+'DCA-Anexo I-F'!F136+'DCA-Anexo I-F'!F134</t>
  </si>
  <si>
    <t>'DCA-Anexo I-F'!G127=+'DCA-Anexo I-F'!G129+'DCA-Anexo I-F'!G137+'DCA-Anexo I-F'!G132+'DCA-Anexo I-F'!G133+'DCA-Anexo I-F'!G128+'DCA-Anexo I-F'!G131+'DCA-Anexo I-F'!G135+'DCA-Anexo I-F'!G130+'DCA-Anexo I-F'!G136+'DCA-Anexo I-F'!G134</t>
  </si>
  <si>
    <t>'DCA-Anexo I-F'!H127=+'DCA-Anexo I-F'!H129+'DCA-Anexo I-F'!H137+'DCA-Anexo I-F'!H132+'DCA-Anexo I-F'!H133+'DCA-Anexo I-F'!H128+'DCA-Anexo I-F'!H131+'DCA-Anexo I-F'!H135+'DCA-Anexo I-F'!H130+'DCA-Anexo I-F'!H136+'DCA-Anexo I-F'!H134</t>
  </si>
  <si>
    <t>'DCA-Anexo I-F'!I127=+'DCA-Anexo I-F'!I129+'DCA-Anexo I-F'!I137+'DCA-Anexo I-F'!I132+'DCA-Anexo I-F'!I133+'DCA-Anexo I-F'!I128+'DCA-Anexo I-F'!I131+'DCA-Anexo I-F'!I135+'DCA-Anexo I-F'!I130+'DCA-Anexo I-F'!I136+'DCA-Anexo I-F'!I134</t>
  </si>
  <si>
    <t>'DCA-Anexo I-F'!J127=+'DCA-Anexo I-F'!J129+'DCA-Anexo I-F'!J137+'DCA-Anexo I-F'!J132+'DCA-Anexo I-F'!J133+'DCA-Anexo I-F'!J128+'DCA-Anexo I-F'!J131+'DCA-Anexo I-F'!J135+'DCA-Anexo I-F'!J130+'DCA-Anexo I-F'!J136+'DCA-Anexo I-F'!J134</t>
  </si>
  <si>
    <t>'DCA-Anexo I-F'!B103=+'DCA-Anexo I-F'!B104+'DCA-Anexo I-F'!B105+'DCA-Anexo I-F'!B106+'DCA-Anexo I-F'!B107+'DCA-Anexo I-F'!B108+'DCA-Anexo I-F'!B109+'DCA-Anexo I-F'!B110+'DCA-Anexo I-F'!B111+'DCA-Anexo I-F'!B112+'DCA-Anexo I-F'!B113+'DCA-Anexo I-F'!B114+'DCA-Anexo I-F'!B115+'DCA-Anexo I-F'!B116+'DCA-Anexo I-F'!B117+'DCA-Anexo I-F'!B118+'DCA-Anexo I-F'!B119+'DCA-Anexo I-F'!B121+'DCA-Anexo I-F'!B124+'DCA-Anexo I-F'!B125+'DCA-Anexo I-F'!B126+'DCA-Anexo I-F'!B138+'DCA-Anexo I-F'!B140+'DCA-Anexo I-F'!B141+'DCA-Anexo I-F'!B127+'DCA-Anexo I-F'!B142+'DCA-Anexo I-F'!B143+'DCA-Anexo I-F'!B144+'DCA-Anexo I-F'!B120+'DCA-Anexo I-F'!B122+'DCA-Anexo I-F'!B123+'DCA-Anexo I-F'!B139</t>
  </si>
  <si>
    <t>'DCA-Anexo I-F'!C103=+'DCA-Anexo I-F'!C104+'DCA-Anexo I-F'!C105+'DCA-Anexo I-F'!C106+'DCA-Anexo I-F'!C107+'DCA-Anexo I-F'!C108+'DCA-Anexo I-F'!C109+'DCA-Anexo I-F'!C110+'DCA-Anexo I-F'!C111+'DCA-Anexo I-F'!C112+'DCA-Anexo I-F'!C113+'DCA-Anexo I-F'!C114+'DCA-Anexo I-F'!C115+'DCA-Anexo I-F'!C116+'DCA-Anexo I-F'!C117+'DCA-Anexo I-F'!C118+'DCA-Anexo I-F'!C119+'DCA-Anexo I-F'!C121+'DCA-Anexo I-F'!C124+'DCA-Anexo I-F'!C125+'DCA-Anexo I-F'!C126+'DCA-Anexo I-F'!C138+'DCA-Anexo I-F'!C140+'DCA-Anexo I-F'!C141+'DCA-Anexo I-F'!C127+'DCA-Anexo I-F'!C142+'DCA-Anexo I-F'!C143+'DCA-Anexo I-F'!C144+'DCA-Anexo I-F'!C120+'DCA-Anexo I-F'!C122+'DCA-Anexo I-F'!C123+'DCA-Anexo I-F'!C139</t>
  </si>
  <si>
    <t>'DCA-Anexo I-F'!D103=+'DCA-Anexo I-F'!D104+'DCA-Anexo I-F'!D105+'DCA-Anexo I-F'!D106+'DCA-Anexo I-F'!D107+'DCA-Anexo I-F'!D108+'DCA-Anexo I-F'!D109+'DCA-Anexo I-F'!D110+'DCA-Anexo I-F'!D111+'DCA-Anexo I-F'!D112+'DCA-Anexo I-F'!D113+'DCA-Anexo I-F'!D114+'DCA-Anexo I-F'!D115+'DCA-Anexo I-F'!D116+'DCA-Anexo I-F'!D117+'DCA-Anexo I-F'!D118+'DCA-Anexo I-F'!D119+'DCA-Anexo I-F'!D121+'DCA-Anexo I-F'!D124+'DCA-Anexo I-F'!D125+'DCA-Anexo I-F'!D126+'DCA-Anexo I-F'!D138+'DCA-Anexo I-F'!D140+'DCA-Anexo I-F'!D141+'DCA-Anexo I-F'!D127+'DCA-Anexo I-F'!D142+'DCA-Anexo I-F'!D143+'DCA-Anexo I-F'!D144+'DCA-Anexo I-F'!D120+'DCA-Anexo I-F'!D122+'DCA-Anexo I-F'!D123+'DCA-Anexo I-F'!D139</t>
  </si>
  <si>
    <t>'DCA-Anexo I-F'!E103=+'DCA-Anexo I-F'!E104+'DCA-Anexo I-F'!E105+'DCA-Anexo I-F'!E106+'DCA-Anexo I-F'!E107+'DCA-Anexo I-F'!E108+'DCA-Anexo I-F'!E109+'DCA-Anexo I-F'!E110+'DCA-Anexo I-F'!E111+'DCA-Anexo I-F'!E112+'DCA-Anexo I-F'!E113+'DCA-Anexo I-F'!E114+'DCA-Anexo I-F'!E115+'DCA-Anexo I-F'!E116+'DCA-Anexo I-F'!E117+'DCA-Anexo I-F'!E118+'DCA-Anexo I-F'!E119+'DCA-Anexo I-F'!E121+'DCA-Anexo I-F'!E124+'DCA-Anexo I-F'!E125+'DCA-Anexo I-F'!E126+'DCA-Anexo I-F'!E138+'DCA-Anexo I-F'!E140+'DCA-Anexo I-F'!E141+'DCA-Anexo I-F'!E127+'DCA-Anexo I-F'!E142+'DCA-Anexo I-F'!E143+'DCA-Anexo I-F'!E144+'DCA-Anexo I-F'!E120+'DCA-Anexo I-F'!E122+'DCA-Anexo I-F'!E123+'DCA-Anexo I-F'!E139</t>
  </si>
  <si>
    <t>'DCA-Anexo I-F'!F103=+'DCA-Anexo I-F'!F104+'DCA-Anexo I-F'!F105+'DCA-Anexo I-F'!F106+'DCA-Anexo I-F'!F107+'DCA-Anexo I-F'!F108+'DCA-Anexo I-F'!F109+'DCA-Anexo I-F'!F110+'DCA-Anexo I-F'!F111+'DCA-Anexo I-F'!F112+'DCA-Anexo I-F'!F113+'DCA-Anexo I-F'!F114+'DCA-Anexo I-F'!F115+'DCA-Anexo I-F'!F116+'DCA-Anexo I-F'!F117+'DCA-Anexo I-F'!F118+'DCA-Anexo I-F'!F119+'DCA-Anexo I-F'!F121+'DCA-Anexo I-F'!F124+'DCA-Anexo I-F'!F125+'DCA-Anexo I-F'!F126+'DCA-Anexo I-F'!F138+'DCA-Anexo I-F'!F140+'DCA-Anexo I-F'!F141+'DCA-Anexo I-F'!F127+'DCA-Anexo I-F'!F142+'DCA-Anexo I-F'!F143+'DCA-Anexo I-F'!F144+'DCA-Anexo I-F'!F120+'DCA-Anexo I-F'!F122+'DCA-Anexo I-F'!F123+'DCA-Anexo I-F'!F139</t>
  </si>
  <si>
    <t>'DCA-Anexo I-F'!G103=+'DCA-Anexo I-F'!G104+'DCA-Anexo I-F'!G105+'DCA-Anexo I-F'!G106+'DCA-Anexo I-F'!G107+'DCA-Anexo I-F'!G108+'DCA-Anexo I-F'!G109+'DCA-Anexo I-F'!G110+'DCA-Anexo I-F'!G111+'DCA-Anexo I-F'!G112+'DCA-Anexo I-F'!G113+'DCA-Anexo I-F'!G114+'DCA-Anexo I-F'!G115+'DCA-Anexo I-F'!G116+'DCA-Anexo I-F'!G117+'DCA-Anexo I-F'!G118+'DCA-Anexo I-F'!G119+'DCA-Anexo I-F'!G121+'DCA-Anexo I-F'!G124+'DCA-Anexo I-F'!G125+'DCA-Anexo I-F'!G126+'DCA-Anexo I-F'!G138+'DCA-Anexo I-F'!G140+'DCA-Anexo I-F'!G141+'DCA-Anexo I-F'!G127+'DCA-Anexo I-F'!G142+'DCA-Anexo I-F'!G143+'DCA-Anexo I-F'!G144+'DCA-Anexo I-F'!G120+'DCA-Anexo I-F'!G122+'DCA-Anexo I-F'!G123+'DCA-Anexo I-F'!G139</t>
  </si>
  <si>
    <t>'DCA-Anexo I-F'!H103=+'DCA-Anexo I-F'!H104+'DCA-Anexo I-F'!H105+'DCA-Anexo I-F'!H106+'DCA-Anexo I-F'!H107+'DCA-Anexo I-F'!H108+'DCA-Anexo I-F'!H109+'DCA-Anexo I-F'!H110+'DCA-Anexo I-F'!H111+'DCA-Anexo I-F'!H112+'DCA-Anexo I-F'!H113+'DCA-Anexo I-F'!H114+'DCA-Anexo I-F'!H115+'DCA-Anexo I-F'!H116+'DCA-Anexo I-F'!H117+'DCA-Anexo I-F'!H118+'DCA-Anexo I-F'!H119+'DCA-Anexo I-F'!H121+'DCA-Anexo I-F'!H124+'DCA-Anexo I-F'!H125+'DCA-Anexo I-F'!H126+'DCA-Anexo I-F'!H138+'DCA-Anexo I-F'!H140+'DCA-Anexo I-F'!H141+'DCA-Anexo I-F'!H127+'DCA-Anexo I-F'!H142+'DCA-Anexo I-F'!H143+'DCA-Anexo I-F'!H144+'DCA-Anexo I-F'!H120+'DCA-Anexo I-F'!H122+'DCA-Anexo I-F'!H123+'DCA-Anexo I-F'!H139</t>
  </si>
  <si>
    <t>'DCA-Anexo I-F'!I103=+'DCA-Anexo I-F'!I104+'DCA-Anexo I-F'!I105+'DCA-Anexo I-F'!I106+'DCA-Anexo I-F'!I107+'DCA-Anexo I-F'!I108+'DCA-Anexo I-F'!I109+'DCA-Anexo I-F'!I110+'DCA-Anexo I-F'!I111+'DCA-Anexo I-F'!I112+'DCA-Anexo I-F'!I113+'DCA-Anexo I-F'!I114+'DCA-Anexo I-F'!I115+'DCA-Anexo I-F'!I116+'DCA-Anexo I-F'!I117+'DCA-Anexo I-F'!I118+'DCA-Anexo I-F'!I119+'DCA-Anexo I-F'!I121+'DCA-Anexo I-F'!I124+'DCA-Anexo I-F'!I125+'DCA-Anexo I-F'!I126+'DCA-Anexo I-F'!I138+'DCA-Anexo I-F'!I140+'DCA-Anexo I-F'!I141+'DCA-Anexo I-F'!I127+'DCA-Anexo I-F'!I142+'DCA-Anexo I-F'!I143+'DCA-Anexo I-F'!I144+'DCA-Anexo I-F'!I120+'DCA-Anexo I-F'!I122+'DCA-Anexo I-F'!I123+'DCA-Anexo I-F'!I139</t>
  </si>
  <si>
    <t>'DCA-Anexo I-F'!J103=+'DCA-Anexo I-F'!J104+'DCA-Anexo I-F'!J105+'DCA-Anexo I-F'!J106+'DCA-Anexo I-F'!J107+'DCA-Anexo I-F'!J108+'DCA-Anexo I-F'!J109+'DCA-Anexo I-F'!J110+'DCA-Anexo I-F'!J111+'DCA-Anexo I-F'!J112+'DCA-Anexo I-F'!J113+'DCA-Anexo I-F'!J114+'DCA-Anexo I-F'!J115+'DCA-Anexo I-F'!J116+'DCA-Anexo I-F'!J117+'DCA-Anexo I-F'!J118+'DCA-Anexo I-F'!J119+'DCA-Anexo I-F'!J121+'DCA-Anexo I-F'!J124+'DCA-Anexo I-F'!J125+'DCA-Anexo I-F'!J126+'DCA-Anexo I-F'!J138+'DCA-Anexo I-F'!J140+'DCA-Anexo I-F'!J141+'DCA-Anexo I-F'!J127+'DCA-Anexo I-F'!J142+'DCA-Anexo I-F'!J143+'DCA-Anexo I-F'!J144+'DCA-Anexo I-F'!J120+'DCA-Anexo I-F'!J122+'DCA-Anexo I-F'!J123+'DCA-Anexo I-F'!J139</t>
  </si>
  <si>
    <t>'DCA-Anexo I-F'!B145=+'DCA-Anexo I-F'!B180+'DCA-Anexo I-F'!B158+'DCA-Anexo I-F'!B157+'DCA-Anexo I-F'!B232+'DCA-Anexo I-F'!B148+'DCA-Anexo I-F'!B178+'DCA-Anexo I-F'!B234+'DCA-Anexo I-F'!B231+'DCA-Anexo I-F'!B167+'DCA-Anexo I-F'!B172+'DCA-Anexo I-F'!B156+'DCA-Anexo I-F'!B169+'DCA-Anexo I-F'!B175+'DCA-Anexo I-F'!B168+'DCA-Anexo I-F'!B146+'DCA-Anexo I-F'!B165+'DCA-Anexo I-F'!B154+'DCA-Anexo I-F'!B230+'DCA-Anexo I-F'!B147+'DCA-Anexo I-F'!B174+'DCA-Anexo I-F'!B233+'DCA-Anexo I-F'!B177+'DCA-Anexo I-F'!B166+'DCA-Anexo I-F'!B170+'DCA-Anexo I-F'!B155+'DCA-Anexo I-F'!B179+'DCA-Anexo I-F'!B173+'DCA-Anexo I-F'!B176+'DCA-Anexo I-F'!B171+'DCA-Anexo I-F'!B228+'DCA-Anexo I-F'!B229</t>
  </si>
  <si>
    <t>'DCA-Anexo I-F'!C145=+'DCA-Anexo I-F'!C180+'DCA-Anexo I-F'!C158+'DCA-Anexo I-F'!C157+'DCA-Anexo I-F'!C232+'DCA-Anexo I-F'!C148+'DCA-Anexo I-F'!C178+'DCA-Anexo I-F'!C234+'DCA-Anexo I-F'!C231+'DCA-Anexo I-F'!C167+'DCA-Anexo I-F'!C172+'DCA-Anexo I-F'!C156+'DCA-Anexo I-F'!C169+'DCA-Anexo I-F'!C175+'DCA-Anexo I-F'!C168+'DCA-Anexo I-F'!C146+'DCA-Anexo I-F'!C165+'DCA-Anexo I-F'!C154+'DCA-Anexo I-F'!C230+'DCA-Anexo I-F'!C147+'DCA-Anexo I-F'!C174+'DCA-Anexo I-F'!C233+'DCA-Anexo I-F'!C177+'DCA-Anexo I-F'!C166+'DCA-Anexo I-F'!C170+'DCA-Anexo I-F'!C155+'DCA-Anexo I-F'!C179+'DCA-Anexo I-F'!C173+'DCA-Anexo I-F'!C176+'DCA-Anexo I-F'!C171+'DCA-Anexo I-F'!C228+'DCA-Anexo I-F'!C229</t>
  </si>
  <si>
    <t>'DCA-Anexo I-F'!D145=+'DCA-Anexo I-F'!D180+'DCA-Anexo I-F'!D158+'DCA-Anexo I-F'!D157+'DCA-Anexo I-F'!D232+'DCA-Anexo I-F'!D148+'DCA-Anexo I-F'!D178+'DCA-Anexo I-F'!D234+'DCA-Anexo I-F'!D231+'DCA-Anexo I-F'!D167+'DCA-Anexo I-F'!D172+'DCA-Anexo I-F'!D156+'DCA-Anexo I-F'!D169+'DCA-Anexo I-F'!D175+'DCA-Anexo I-F'!D168+'DCA-Anexo I-F'!D146+'DCA-Anexo I-F'!D165+'DCA-Anexo I-F'!D154+'DCA-Anexo I-F'!D230+'DCA-Anexo I-F'!D147+'DCA-Anexo I-F'!D174+'DCA-Anexo I-F'!D233+'DCA-Anexo I-F'!D177+'DCA-Anexo I-F'!D166+'DCA-Anexo I-F'!D170+'DCA-Anexo I-F'!D155+'DCA-Anexo I-F'!D179+'DCA-Anexo I-F'!D173+'DCA-Anexo I-F'!D176+'DCA-Anexo I-F'!D171+'DCA-Anexo I-F'!D228+'DCA-Anexo I-F'!D229</t>
  </si>
  <si>
    <t>'DCA-Anexo I-F'!E145=+'DCA-Anexo I-F'!E180+'DCA-Anexo I-F'!E158+'DCA-Anexo I-F'!E157+'DCA-Anexo I-F'!E232+'DCA-Anexo I-F'!E148+'DCA-Anexo I-F'!E178+'DCA-Anexo I-F'!E234+'DCA-Anexo I-F'!E231+'DCA-Anexo I-F'!E167+'DCA-Anexo I-F'!E172+'DCA-Anexo I-F'!E156+'DCA-Anexo I-F'!E169+'DCA-Anexo I-F'!E175+'DCA-Anexo I-F'!E168+'DCA-Anexo I-F'!E146+'DCA-Anexo I-F'!E165+'DCA-Anexo I-F'!E154+'DCA-Anexo I-F'!E230+'DCA-Anexo I-F'!E147+'DCA-Anexo I-F'!E174+'DCA-Anexo I-F'!E233+'DCA-Anexo I-F'!E177+'DCA-Anexo I-F'!E166+'DCA-Anexo I-F'!E170+'DCA-Anexo I-F'!E155+'DCA-Anexo I-F'!E179+'DCA-Anexo I-F'!E173+'DCA-Anexo I-F'!E176+'DCA-Anexo I-F'!E171+'DCA-Anexo I-F'!E228+'DCA-Anexo I-F'!E229</t>
  </si>
  <si>
    <t>'DCA-Anexo I-F'!F145=+'DCA-Anexo I-F'!F180+'DCA-Anexo I-F'!F158+'DCA-Anexo I-F'!F157+'DCA-Anexo I-F'!F232+'DCA-Anexo I-F'!F148+'DCA-Anexo I-F'!F178+'DCA-Anexo I-F'!F234+'DCA-Anexo I-F'!F231+'DCA-Anexo I-F'!F167+'DCA-Anexo I-F'!F172+'DCA-Anexo I-F'!F156+'DCA-Anexo I-F'!F169+'DCA-Anexo I-F'!F175+'DCA-Anexo I-F'!F168+'DCA-Anexo I-F'!F146+'DCA-Anexo I-F'!F165+'DCA-Anexo I-F'!F154+'DCA-Anexo I-F'!F230+'DCA-Anexo I-F'!F147+'DCA-Anexo I-F'!F174+'DCA-Anexo I-F'!F233+'DCA-Anexo I-F'!F177+'DCA-Anexo I-F'!F166+'DCA-Anexo I-F'!F170+'DCA-Anexo I-F'!F155+'DCA-Anexo I-F'!F179+'DCA-Anexo I-F'!F173+'DCA-Anexo I-F'!F176+'DCA-Anexo I-F'!F171+'DCA-Anexo I-F'!F228+'DCA-Anexo I-F'!F229</t>
  </si>
  <si>
    <t>'DCA-Anexo I-F'!G145=+'DCA-Anexo I-F'!G180+'DCA-Anexo I-F'!G158+'DCA-Anexo I-F'!G157+'DCA-Anexo I-F'!G232+'DCA-Anexo I-F'!G148+'DCA-Anexo I-F'!G178+'DCA-Anexo I-F'!G234+'DCA-Anexo I-F'!G231+'DCA-Anexo I-F'!G167+'DCA-Anexo I-F'!G172+'DCA-Anexo I-F'!G156+'DCA-Anexo I-F'!G169+'DCA-Anexo I-F'!G175+'DCA-Anexo I-F'!G168+'DCA-Anexo I-F'!G146+'DCA-Anexo I-F'!G165+'DCA-Anexo I-F'!G154+'DCA-Anexo I-F'!G230+'DCA-Anexo I-F'!G147+'DCA-Anexo I-F'!G174+'DCA-Anexo I-F'!G233+'DCA-Anexo I-F'!G177+'DCA-Anexo I-F'!G166+'DCA-Anexo I-F'!G170+'DCA-Anexo I-F'!G155+'DCA-Anexo I-F'!G179+'DCA-Anexo I-F'!G173+'DCA-Anexo I-F'!G176+'DCA-Anexo I-F'!G171+'DCA-Anexo I-F'!G228+'DCA-Anexo I-F'!G229</t>
  </si>
  <si>
    <t>'DCA-Anexo I-F'!H145=+'DCA-Anexo I-F'!H180+'DCA-Anexo I-F'!H158+'DCA-Anexo I-F'!H157+'DCA-Anexo I-F'!H232+'DCA-Anexo I-F'!H148+'DCA-Anexo I-F'!H178+'DCA-Anexo I-F'!H234+'DCA-Anexo I-F'!H231+'DCA-Anexo I-F'!H167+'DCA-Anexo I-F'!H172+'DCA-Anexo I-F'!H156+'DCA-Anexo I-F'!H169+'DCA-Anexo I-F'!H175+'DCA-Anexo I-F'!H168+'DCA-Anexo I-F'!H146+'DCA-Anexo I-F'!H165+'DCA-Anexo I-F'!H154+'DCA-Anexo I-F'!H230+'DCA-Anexo I-F'!H147+'DCA-Anexo I-F'!H174+'DCA-Anexo I-F'!H233+'DCA-Anexo I-F'!H177+'DCA-Anexo I-F'!H166+'DCA-Anexo I-F'!H170+'DCA-Anexo I-F'!H155+'DCA-Anexo I-F'!H179+'DCA-Anexo I-F'!H173+'DCA-Anexo I-F'!H176+'DCA-Anexo I-F'!H171+'DCA-Anexo I-F'!H228+'DCA-Anexo I-F'!H229</t>
  </si>
  <si>
    <t>'DCA-Anexo I-F'!I145=+'DCA-Anexo I-F'!I180+'DCA-Anexo I-F'!I158+'DCA-Anexo I-F'!I157+'DCA-Anexo I-F'!I232+'DCA-Anexo I-F'!I148+'DCA-Anexo I-F'!I178+'DCA-Anexo I-F'!I234+'DCA-Anexo I-F'!I231+'DCA-Anexo I-F'!I167+'DCA-Anexo I-F'!I172+'DCA-Anexo I-F'!I156+'DCA-Anexo I-F'!I169+'DCA-Anexo I-F'!I175+'DCA-Anexo I-F'!I168+'DCA-Anexo I-F'!I146+'DCA-Anexo I-F'!I165+'DCA-Anexo I-F'!I154+'DCA-Anexo I-F'!I230+'DCA-Anexo I-F'!I147+'DCA-Anexo I-F'!I174+'DCA-Anexo I-F'!I233+'DCA-Anexo I-F'!I177+'DCA-Anexo I-F'!I166+'DCA-Anexo I-F'!I170+'DCA-Anexo I-F'!I155+'DCA-Anexo I-F'!I179+'DCA-Anexo I-F'!I173+'DCA-Anexo I-F'!I176+'DCA-Anexo I-F'!I171+'DCA-Anexo I-F'!I228+'DCA-Anexo I-F'!I229</t>
  </si>
  <si>
    <t>'DCA-Anexo I-F'!J145=+'DCA-Anexo I-F'!J180+'DCA-Anexo I-F'!J158+'DCA-Anexo I-F'!J157+'DCA-Anexo I-F'!J232+'DCA-Anexo I-F'!J148+'DCA-Anexo I-F'!J178+'DCA-Anexo I-F'!J234+'DCA-Anexo I-F'!J231+'DCA-Anexo I-F'!J167+'DCA-Anexo I-F'!J172+'DCA-Anexo I-F'!J156+'DCA-Anexo I-F'!J169+'DCA-Anexo I-F'!J175+'DCA-Anexo I-F'!J168+'DCA-Anexo I-F'!J146+'DCA-Anexo I-F'!J165+'DCA-Anexo I-F'!J154+'DCA-Anexo I-F'!J230+'DCA-Anexo I-F'!J147+'DCA-Anexo I-F'!J174+'DCA-Anexo I-F'!J233+'DCA-Anexo I-F'!J177+'DCA-Anexo I-F'!J166+'DCA-Anexo I-F'!J170+'DCA-Anexo I-F'!J155+'DCA-Anexo I-F'!J179+'DCA-Anexo I-F'!J173+'DCA-Anexo I-F'!J176+'DCA-Anexo I-F'!J171+'DCA-Anexo I-F'!J228+'DCA-Anexo I-F'!J229</t>
  </si>
  <si>
    <t>'DCA-Anexo I-F'!B148=+'DCA-Anexo I-F'!B153+'DCA-Anexo I-F'!B150+'DCA-Anexo I-F'!B149+'DCA-Anexo I-F'!B151+'DCA-Anexo I-F'!B152</t>
  </si>
  <si>
    <t>'DCA-Anexo I-F'!C148=+'DCA-Anexo I-F'!C153+'DCA-Anexo I-F'!C150+'DCA-Anexo I-F'!C149+'DCA-Anexo I-F'!C151+'DCA-Anexo I-F'!C152</t>
  </si>
  <si>
    <t>'DCA-Anexo I-F'!D148=+'DCA-Anexo I-F'!D153+'DCA-Anexo I-F'!D150+'DCA-Anexo I-F'!D149+'DCA-Anexo I-F'!D151+'DCA-Anexo I-F'!D152</t>
  </si>
  <si>
    <t>'DCA-Anexo I-F'!E148=+'DCA-Anexo I-F'!E153+'DCA-Anexo I-F'!E150+'DCA-Anexo I-F'!E149+'DCA-Anexo I-F'!E151+'DCA-Anexo I-F'!E152</t>
  </si>
  <si>
    <t>'DCA-Anexo I-F'!F148=+'DCA-Anexo I-F'!F153+'DCA-Anexo I-F'!F150+'DCA-Anexo I-F'!F149+'DCA-Anexo I-F'!F151+'DCA-Anexo I-F'!F152</t>
  </si>
  <si>
    <t>'DCA-Anexo I-F'!G148=+'DCA-Anexo I-F'!G153+'DCA-Anexo I-F'!G150+'DCA-Anexo I-F'!G149+'DCA-Anexo I-F'!G151+'DCA-Anexo I-F'!G152</t>
  </si>
  <si>
    <t>'DCA-Anexo I-F'!H148=+'DCA-Anexo I-F'!H153+'DCA-Anexo I-F'!H150+'DCA-Anexo I-F'!H149+'DCA-Anexo I-F'!H151+'DCA-Anexo I-F'!H152</t>
  </si>
  <si>
    <t>'DCA-Anexo I-F'!I148=+'DCA-Anexo I-F'!I153+'DCA-Anexo I-F'!I150+'DCA-Anexo I-F'!I149+'DCA-Anexo I-F'!I151+'DCA-Anexo I-F'!I152</t>
  </si>
  <si>
    <t>'DCA-Anexo I-F'!J148=+'DCA-Anexo I-F'!J153+'DCA-Anexo I-F'!J150+'DCA-Anexo I-F'!J149+'DCA-Anexo I-F'!J151+'DCA-Anexo I-F'!J152</t>
  </si>
  <si>
    <t>'DCA-Anexo I-F'!B158=+'DCA-Anexo I-F'!B164+'DCA-Anexo I-F'!B160+'DCA-Anexo I-F'!B159+'DCA-Anexo I-F'!B161+'DCA-Anexo I-F'!B162+'DCA-Anexo I-F'!B163</t>
  </si>
  <si>
    <t>'DCA-Anexo I-F'!C158=+'DCA-Anexo I-F'!C164+'DCA-Anexo I-F'!C160+'DCA-Anexo I-F'!C159+'DCA-Anexo I-F'!C161+'DCA-Anexo I-F'!C162+'DCA-Anexo I-F'!C163</t>
  </si>
  <si>
    <t>'DCA-Anexo I-F'!D158=+'DCA-Anexo I-F'!D164+'DCA-Anexo I-F'!D160+'DCA-Anexo I-F'!D159+'DCA-Anexo I-F'!D161+'DCA-Anexo I-F'!D162+'DCA-Anexo I-F'!D163</t>
  </si>
  <si>
    <t>'DCA-Anexo I-F'!E158=+'DCA-Anexo I-F'!E164+'DCA-Anexo I-F'!E160+'DCA-Anexo I-F'!E159+'DCA-Anexo I-F'!E161+'DCA-Anexo I-F'!E162+'DCA-Anexo I-F'!E163</t>
  </si>
  <si>
    <t>'DCA-Anexo I-F'!F158=+'DCA-Anexo I-F'!F164+'DCA-Anexo I-F'!F160+'DCA-Anexo I-F'!F159+'DCA-Anexo I-F'!F161+'DCA-Anexo I-F'!F162+'DCA-Anexo I-F'!F163</t>
  </si>
  <si>
    <t>'DCA-Anexo I-F'!G158=+'DCA-Anexo I-F'!G164+'DCA-Anexo I-F'!G160+'DCA-Anexo I-F'!G159+'DCA-Anexo I-F'!G161+'DCA-Anexo I-F'!G162+'DCA-Anexo I-F'!G163</t>
  </si>
  <si>
    <t>'DCA-Anexo I-F'!H158=+'DCA-Anexo I-F'!H164+'DCA-Anexo I-F'!H160+'DCA-Anexo I-F'!H159+'DCA-Anexo I-F'!H161+'DCA-Anexo I-F'!H162+'DCA-Anexo I-F'!H163</t>
  </si>
  <si>
    <t>'DCA-Anexo I-F'!I158=+'DCA-Anexo I-F'!I164+'DCA-Anexo I-F'!I160+'DCA-Anexo I-F'!I159+'DCA-Anexo I-F'!I161+'DCA-Anexo I-F'!I162+'DCA-Anexo I-F'!I163</t>
  </si>
  <si>
    <t>'DCA-Anexo I-F'!J158=+'DCA-Anexo I-F'!J164+'DCA-Anexo I-F'!J160+'DCA-Anexo I-F'!J159+'DCA-Anexo I-F'!J161+'DCA-Anexo I-F'!J162+'DCA-Anexo I-F'!J163</t>
  </si>
  <si>
    <t>'DCA-Anexo I-F'!B180=+'DCA-Anexo I-F'!B181+'DCA-Anexo I-F'!B182+'DCA-Anexo I-F'!B183+'DCA-Anexo I-F'!B184+'DCA-Anexo I-F'!B185+'DCA-Anexo I-F'!B186+'DCA-Anexo I-F'!B187+'DCA-Anexo I-F'!B188+'DCA-Anexo I-F'!B189+'DCA-Anexo I-F'!B190+'DCA-Anexo I-F'!B191+'DCA-Anexo I-F'!B192+'DCA-Anexo I-F'!B193+'DCA-Anexo I-F'!B194+'DCA-Anexo I-F'!B195+'DCA-Anexo I-F'!B196+'DCA-Anexo I-F'!B197+'DCA-Anexo I-F'!B198+'DCA-Anexo I-F'!B199+'DCA-Anexo I-F'!B200+'DCA-Anexo I-F'!B201+'DCA-Anexo I-F'!B202+'DCA-Anexo I-F'!B204+'DCA-Anexo I-F'!B205+'DCA-Anexo I-F'!B206+'DCA-Anexo I-F'!B207+'DCA-Anexo I-F'!B208+'DCA-Anexo I-F'!B209+'DCA-Anexo I-F'!B210+'DCA-Anexo I-F'!B211+'DCA-Anexo I-F'!B212+'DCA-Anexo I-F'!B213+'DCA-Anexo I-F'!B214+'DCA-Anexo I-F'!B215+'DCA-Anexo I-F'!B216+'DCA-Anexo I-F'!B218+'DCA-Anexo I-F'!B221+'DCA-Anexo I-F'!B222+'DCA-Anexo I-F'!B223+'DCA-Anexo I-F'!B224+'DCA-Anexo I-F'!B225+'DCA-Anexo I-F'!B226+'DCA-Anexo I-F'!B227+'DCA-Anexo I-F'!B203+'DCA-Anexo I-F'!B217+'DCA-Anexo I-F'!B219+'DCA-Anexo I-F'!B220</t>
  </si>
  <si>
    <t>'DCA-Anexo I-F'!C180=+'DCA-Anexo I-F'!C181+'DCA-Anexo I-F'!C182+'DCA-Anexo I-F'!C183+'DCA-Anexo I-F'!C184+'DCA-Anexo I-F'!C185+'DCA-Anexo I-F'!C186+'DCA-Anexo I-F'!C187+'DCA-Anexo I-F'!C188+'DCA-Anexo I-F'!C189+'DCA-Anexo I-F'!C190+'DCA-Anexo I-F'!C191+'DCA-Anexo I-F'!C192+'DCA-Anexo I-F'!C193+'DCA-Anexo I-F'!C194+'DCA-Anexo I-F'!C195+'DCA-Anexo I-F'!C196+'DCA-Anexo I-F'!C197+'DCA-Anexo I-F'!C198+'DCA-Anexo I-F'!C199+'DCA-Anexo I-F'!C200+'DCA-Anexo I-F'!C201+'DCA-Anexo I-F'!C202+'DCA-Anexo I-F'!C204+'DCA-Anexo I-F'!C205+'DCA-Anexo I-F'!C206+'DCA-Anexo I-F'!C207+'DCA-Anexo I-F'!C208+'DCA-Anexo I-F'!C209+'DCA-Anexo I-F'!C210+'DCA-Anexo I-F'!C211+'DCA-Anexo I-F'!C212+'DCA-Anexo I-F'!C213+'DCA-Anexo I-F'!C214+'DCA-Anexo I-F'!C215+'DCA-Anexo I-F'!C216+'DCA-Anexo I-F'!C218+'DCA-Anexo I-F'!C221+'DCA-Anexo I-F'!C222+'DCA-Anexo I-F'!C223+'DCA-Anexo I-F'!C224+'DCA-Anexo I-F'!C225+'DCA-Anexo I-F'!C226+'DCA-Anexo I-F'!C227+'DCA-Anexo I-F'!C203+'DCA-Anexo I-F'!C217+'DCA-Anexo I-F'!C219+'DCA-Anexo I-F'!C220</t>
  </si>
  <si>
    <t>'DCA-Anexo I-F'!D180=+'DCA-Anexo I-F'!D181+'DCA-Anexo I-F'!D182+'DCA-Anexo I-F'!D183+'DCA-Anexo I-F'!D184+'DCA-Anexo I-F'!D185+'DCA-Anexo I-F'!D186+'DCA-Anexo I-F'!D187+'DCA-Anexo I-F'!D188+'DCA-Anexo I-F'!D189+'DCA-Anexo I-F'!D190+'DCA-Anexo I-F'!D191+'DCA-Anexo I-F'!D192+'DCA-Anexo I-F'!D193+'DCA-Anexo I-F'!D194+'DCA-Anexo I-F'!D195+'DCA-Anexo I-F'!D196+'DCA-Anexo I-F'!D197+'DCA-Anexo I-F'!D198+'DCA-Anexo I-F'!D199+'DCA-Anexo I-F'!D200+'DCA-Anexo I-F'!D201+'DCA-Anexo I-F'!D202+'DCA-Anexo I-F'!D204+'DCA-Anexo I-F'!D205+'DCA-Anexo I-F'!D206+'DCA-Anexo I-F'!D207+'DCA-Anexo I-F'!D208+'DCA-Anexo I-F'!D209+'DCA-Anexo I-F'!D210+'DCA-Anexo I-F'!D211+'DCA-Anexo I-F'!D212+'DCA-Anexo I-F'!D213+'DCA-Anexo I-F'!D214+'DCA-Anexo I-F'!D215+'DCA-Anexo I-F'!D216+'DCA-Anexo I-F'!D218+'DCA-Anexo I-F'!D221+'DCA-Anexo I-F'!D222+'DCA-Anexo I-F'!D223+'DCA-Anexo I-F'!D224+'DCA-Anexo I-F'!D225+'DCA-Anexo I-F'!D226+'DCA-Anexo I-F'!D227+'DCA-Anexo I-F'!D203+'DCA-Anexo I-F'!D217+'DCA-Anexo I-F'!D219+'DCA-Anexo I-F'!D220</t>
  </si>
  <si>
    <t>'DCA-Anexo I-F'!E180=+'DCA-Anexo I-F'!E181+'DCA-Anexo I-F'!E182+'DCA-Anexo I-F'!E183+'DCA-Anexo I-F'!E184+'DCA-Anexo I-F'!E185+'DCA-Anexo I-F'!E186+'DCA-Anexo I-F'!E187+'DCA-Anexo I-F'!E188+'DCA-Anexo I-F'!E189+'DCA-Anexo I-F'!E190+'DCA-Anexo I-F'!E191+'DCA-Anexo I-F'!E192+'DCA-Anexo I-F'!E193+'DCA-Anexo I-F'!E194+'DCA-Anexo I-F'!E195+'DCA-Anexo I-F'!E196+'DCA-Anexo I-F'!E197+'DCA-Anexo I-F'!E198+'DCA-Anexo I-F'!E199+'DCA-Anexo I-F'!E200+'DCA-Anexo I-F'!E201+'DCA-Anexo I-F'!E202+'DCA-Anexo I-F'!E204+'DCA-Anexo I-F'!E205+'DCA-Anexo I-F'!E206+'DCA-Anexo I-F'!E207+'DCA-Anexo I-F'!E208+'DCA-Anexo I-F'!E209+'DCA-Anexo I-F'!E210+'DCA-Anexo I-F'!E211+'DCA-Anexo I-F'!E212+'DCA-Anexo I-F'!E213+'DCA-Anexo I-F'!E214+'DCA-Anexo I-F'!E215+'DCA-Anexo I-F'!E216+'DCA-Anexo I-F'!E218+'DCA-Anexo I-F'!E221+'DCA-Anexo I-F'!E222+'DCA-Anexo I-F'!E223+'DCA-Anexo I-F'!E224+'DCA-Anexo I-F'!E225+'DCA-Anexo I-F'!E226+'DCA-Anexo I-F'!E227+'DCA-Anexo I-F'!E203+'DCA-Anexo I-F'!E217+'DCA-Anexo I-F'!E219+'DCA-Anexo I-F'!E220</t>
  </si>
  <si>
    <t>'DCA-Anexo I-F'!F180=+'DCA-Anexo I-F'!F181+'DCA-Anexo I-F'!F182+'DCA-Anexo I-F'!F183+'DCA-Anexo I-F'!F184+'DCA-Anexo I-F'!F185+'DCA-Anexo I-F'!F186+'DCA-Anexo I-F'!F187+'DCA-Anexo I-F'!F188+'DCA-Anexo I-F'!F189+'DCA-Anexo I-F'!F190+'DCA-Anexo I-F'!F191+'DCA-Anexo I-F'!F192+'DCA-Anexo I-F'!F193+'DCA-Anexo I-F'!F194+'DCA-Anexo I-F'!F195+'DCA-Anexo I-F'!F196+'DCA-Anexo I-F'!F197+'DCA-Anexo I-F'!F198+'DCA-Anexo I-F'!F199+'DCA-Anexo I-F'!F200+'DCA-Anexo I-F'!F201+'DCA-Anexo I-F'!F202+'DCA-Anexo I-F'!F204+'DCA-Anexo I-F'!F205+'DCA-Anexo I-F'!F206+'DCA-Anexo I-F'!F207+'DCA-Anexo I-F'!F208+'DCA-Anexo I-F'!F209+'DCA-Anexo I-F'!F210+'DCA-Anexo I-F'!F211+'DCA-Anexo I-F'!F212+'DCA-Anexo I-F'!F213+'DCA-Anexo I-F'!F214+'DCA-Anexo I-F'!F215+'DCA-Anexo I-F'!F216+'DCA-Anexo I-F'!F218+'DCA-Anexo I-F'!F221+'DCA-Anexo I-F'!F222+'DCA-Anexo I-F'!F223+'DCA-Anexo I-F'!F224+'DCA-Anexo I-F'!F225+'DCA-Anexo I-F'!F226+'DCA-Anexo I-F'!F227+'DCA-Anexo I-F'!F203+'DCA-Anexo I-F'!F217+'DCA-Anexo I-F'!F219+'DCA-Anexo I-F'!F220</t>
  </si>
  <si>
    <t>'DCA-Anexo I-F'!G180=+'DCA-Anexo I-F'!G181+'DCA-Anexo I-F'!G182+'DCA-Anexo I-F'!G183+'DCA-Anexo I-F'!G184+'DCA-Anexo I-F'!G185+'DCA-Anexo I-F'!G186+'DCA-Anexo I-F'!G187+'DCA-Anexo I-F'!G188+'DCA-Anexo I-F'!G189+'DCA-Anexo I-F'!G190+'DCA-Anexo I-F'!G191+'DCA-Anexo I-F'!G192+'DCA-Anexo I-F'!G193+'DCA-Anexo I-F'!G194+'DCA-Anexo I-F'!G195+'DCA-Anexo I-F'!G196+'DCA-Anexo I-F'!G197+'DCA-Anexo I-F'!G198+'DCA-Anexo I-F'!G199+'DCA-Anexo I-F'!G200+'DCA-Anexo I-F'!G201+'DCA-Anexo I-F'!G202+'DCA-Anexo I-F'!G204+'DCA-Anexo I-F'!G205+'DCA-Anexo I-F'!G206+'DCA-Anexo I-F'!G207+'DCA-Anexo I-F'!G208+'DCA-Anexo I-F'!G209+'DCA-Anexo I-F'!G210+'DCA-Anexo I-F'!G211+'DCA-Anexo I-F'!G212+'DCA-Anexo I-F'!G213+'DCA-Anexo I-F'!G214+'DCA-Anexo I-F'!G215+'DCA-Anexo I-F'!G216+'DCA-Anexo I-F'!G218+'DCA-Anexo I-F'!G221+'DCA-Anexo I-F'!G222+'DCA-Anexo I-F'!G223+'DCA-Anexo I-F'!G224+'DCA-Anexo I-F'!G225+'DCA-Anexo I-F'!G226+'DCA-Anexo I-F'!G227+'DCA-Anexo I-F'!G203+'DCA-Anexo I-F'!G217+'DCA-Anexo I-F'!G219+'DCA-Anexo I-F'!G220</t>
  </si>
  <si>
    <t>'DCA-Anexo I-F'!H180=+'DCA-Anexo I-F'!H181+'DCA-Anexo I-F'!H182+'DCA-Anexo I-F'!H183+'DCA-Anexo I-F'!H184+'DCA-Anexo I-F'!H185+'DCA-Anexo I-F'!H186+'DCA-Anexo I-F'!H187+'DCA-Anexo I-F'!H188+'DCA-Anexo I-F'!H189+'DCA-Anexo I-F'!H190+'DCA-Anexo I-F'!H191+'DCA-Anexo I-F'!H192+'DCA-Anexo I-F'!H193+'DCA-Anexo I-F'!H194+'DCA-Anexo I-F'!H195+'DCA-Anexo I-F'!H196+'DCA-Anexo I-F'!H197+'DCA-Anexo I-F'!H198+'DCA-Anexo I-F'!H199+'DCA-Anexo I-F'!H200+'DCA-Anexo I-F'!H201+'DCA-Anexo I-F'!H202+'DCA-Anexo I-F'!H204+'DCA-Anexo I-F'!H205+'DCA-Anexo I-F'!H206+'DCA-Anexo I-F'!H207+'DCA-Anexo I-F'!H208+'DCA-Anexo I-F'!H209+'DCA-Anexo I-F'!H210+'DCA-Anexo I-F'!H211+'DCA-Anexo I-F'!H212+'DCA-Anexo I-F'!H213+'DCA-Anexo I-F'!H214+'DCA-Anexo I-F'!H215+'DCA-Anexo I-F'!H216+'DCA-Anexo I-F'!H218+'DCA-Anexo I-F'!H221+'DCA-Anexo I-F'!H222+'DCA-Anexo I-F'!H223+'DCA-Anexo I-F'!H224+'DCA-Anexo I-F'!H225+'DCA-Anexo I-F'!H226+'DCA-Anexo I-F'!H227+'DCA-Anexo I-F'!H203+'DCA-Anexo I-F'!H217+'DCA-Anexo I-F'!H219+'DCA-Anexo I-F'!H220</t>
  </si>
  <si>
    <t>'DCA-Anexo I-F'!I180=+'DCA-Anexo I-F'!I181+'DCA-Anexo I-F'!I182+'DCA-Anexo I-F'!I183+'DCA-Anexo I-F'!I184+'DCA-Anexo I-F'!I185+'DCA-Anexo I-F'!I186+'DCA-Anexo I-F'!I187+'DCA-Anexo I-F'!I188+'DCA-Anexo I-F'!I189+'DCA-Anexo I-F'!I190+'DCA-Anexo I-F'!I191+'DCA-Anexo I-F'!I192+'DCA-Anexo I-F'!I193+'DCA-Anexo I-F'!I194+'DCA-Anexo I-F'!I195+'DCA-Anexo I-F'!I196+'DCA-Anexo I-F'!I197+'DCA-Anexo I-F'!I198+'DCA-Anexo I-F'!I199+'DCA-Anexo I-F'!I200+'DCA-Anexo I-F'!I201+'DCA-Anexo I-F'!I202+'DCA-Anexo I-F'!I204+'DCA-Anexo I-F'!I205+'DCA-Anexo I-F'!I206+'DCA-Anexo I-F'!I207+'DCA-Anexo I-F'!I208+'DCA-Anexo I-F'!I209+'DCA-Anexo I-F'!I210+'DCA-Anexo I-F'!I211+'DCA-Anexo I-F'!I212+'DCA-Anexo I-F'!I213+'DCA-Anexo I-F'!I214+'DCA-Anexo I-F'!I215+'DCA-Anexo I-F'!I216+'DCA-Anexo I-F'!I218+'DCA-Anexo I-F'!I221+'DCA-Anexo I-F'!I222+'DCA-Anexo I-F'!I223+'DCA-Anexo I-F'!I224+'DCA-Anexo I-F'!I225+'DCA-Anexo I-F'!I226+'DCA-Anexo I-F'!I227+'DCA-Anexo I-F'!I203+'DCA-Anexo I-F'!I217+'DCA-Anexo I-F'!I219+'DCA-Anexo I-F'!I220</t>
  </si>
  <si>
    <t>'DCA-Anexo I-F'!J180=+'DCA-Anexo I-F'!J181+'DCA-Anexo I-F'!J182+'DCA-Anexo I-F'!J183+'DCA-Anexo I-F'!J184+'DCA-Anexo I-F'!J185+'DCA-Anexo I-F'!J186+'DCA-Anexo I-F'!J187+'DCA-Anexo I-F'!J188+'DCA-Anexo I-F'!J189+'DCA-Anexo I-F'!J190+'DCA-Anexo I-F'!J191+'DCA-Anexo I-F'!J192+'DCA-Anexo I-F'!J193+'DCA-Anexo I-F'!J194+'DCA-Anexo I-F'!J195+'DCA-Anexo I-F'!J196+'DCA-Anexo I-F'!J197+'DCA-Anexo I-F'!J198+'DCA-Anexo I-F'!J199+'DCA-Anexo I-F'!J200+'DCA-Anexo I-F'!J201+'DCA-Anexo I-F'!J202+'DCA-Anexo I-F'!J204+'DCA-Anexo I-F'!J205+'DCA-Anexo I-F'!J206+'DCA-Anexo I-F'!J207+'DCA-Anexo I-F'!J208+'DCA-Anexo I-F'!J209+'DCA-Anexo I-F'!J210+'DCA-Anexo I-F'!J211+'DCA-Anexo I-F'!J212+'DCA-Anexo I-F'!J213+'DCA-Anexo I-F'!J214+'DCA-Anexo I-F'!J215+'DCA-Anexo I-F'!J216+'DCA-Anexo I-F'!J218+'DCA-Anexo I-F'!J221+'DCA-Anexo I-F'!J222+'DCA-Anexo I-F'!J223+'DCA-Anexo I-F'!J224+'DCA-Anexo I-F'!J225+'DCA-Anexo I-F'!J226+'DCA-Anexo I-F'!J227+'DCA-Anexo I-F'!J203+'DCA-Anexo I-F'!J217+'DCA-Anexo I-F'!J219+'DCA-Anexo I-F'!J220</t>
  </si>
  <si>
    <t>'DCA-Anexo I-F'!B236=+'DCA-Anexo I-F'!B238+'DCA-Anexo I-F'!B247+'DCA-Anexo I-F'!B248+'DCA-Anexo I-F'!B252+'DCA-Anexo I-F'!B246+'DCA-Anexo I-F'!B257+'DCA-Anexo I-F'!B258+'DCA-Anexo I-F'!B240+'DCA-Anexo I-F'!B292+'DCA-Anexo I-F'!B256+'DCA-Anexo I-F'!B289+'DCA-Anexo I-F'!B241+'DCA-Anexo I-F'!B259+'DCA-Anexo I-F'!B242+'DCA-Anexo I-F'!B245+'DCA-Anexo I-F'!B244+'DCA-Anexo I-F'!B286+'DCA-Anexo I-F'!B288+'DCA-Anexo I-F'!B253+'DCA-Anexo I-F'!B290+'DCA-Anexo I-F'!B255+'DCA-Anexo I-F'!B243+'DCA-Anexo I-F'!B239+'DCA-Anexo I-F'!B254+'DCA-Anexo I-F'!B249+'DCA-Anexo I-F'!B291+'DCA-Anexo I-F'!B260+'DCA-Anexo I-F'!B237+'DCA-Anexo I-F'!B287+'DCA-Anexo I-F'!B250+'DCA-Anexo I-F'!B251</t>
  </si>
  <si>
    <t>'DCA-Anexo I-F'!C236=+'DCA-Anexo I-F'!C238+'DCA-Anexo I-F'!C247+'DCA-Anexo I-F'!C248+'DCA-Anexo I-F'!C252+'DCA-Anexo I-F'!C246+'DCA-Anexo I-F'!C257+'DCA-Anexo I-F'!C258+'DCA-Anexo I-F'!C240+'DCA-Anexo I-F'!C292+'DCA-Anexo I-F'!C256+'DCA-Anexo I-F'!C289+'DCA-Anexo I-F'!C241+'DCA-Anexo I-F'!C259+'DCA-Anexo I-F'!C242+'DCA-Anexo I-F'!C245+'DCA-Anexo I-F'!C244+'DCA-Anexo I-F'!C286+'DCA-Anexo I-F'!C288+'DCA-Anexo I-F'!C253+'DCA-Anexo I-F'!C290+'DCA-Anexo I-F'!C255+'DCA-Anexo I-F'!C243+'DCA-Anexo I-F'!C239+'DCA-Anexo I-F'!C254+'DCA-Anexo I-F'!C249+'DCA-Anexo I-F'!C291+'DCA-Anexo I-F'!C260+'DCA-Anexo I-F'!C237+'DCA-Anexo I-F'!C287+'DCA-Anexo I-F'!C250+'DCA-Anexo I-F'!C251</t>
  </si>
  <si>
    <t>'DCA-Anexo I-F'!D236=+'DCA-Anexo I-F'!D238+'DCA-Anexo I-F'!D247+'DCA-Anexo I-F'!D248+'DCA-Anexo I-F'!D252+'DCA-Anexo I-F'!D246+'DCA-Anexo I-F'!D257+'DCA-Anexo I-F'!D258+'DCA-Anexo I-F'!D240+'DCA-Anexo I-F'!D292+'DCA-Anexo I-F'!D256+'DCA-Anexo I-F'!D289+'DCA-Anexo I-F'!D241+'DCA-Anexo I-F'!D259+'DCA-Anexo I-F'!D242+'DCA-Anexo I-F'!D245+'DCA-Anexo I-F'!D244+'DCA-Anexo I-F'!D286+'DCA-Anexo I-F'!D288+'DCA-Anexo I-F'!D253+'DCA-Anexo I-F'!D290+'DCA-Anexo I-F'!D255+'DCA-Anexo I-F'!D243+'DCA-Anexo I-F'!D239+'DCA-Anexo I-F'!D254+'DCA-Anexo I-F'!D249+'DCA-Anexo I-F'!D291+'DCA-Anexo I-F'!D260+'DCA-Anexo I-F'!D237+'DCA-Anexo I-F'!D287+'DCA-Anexo I-F'!D250+'DCA-Anexo I-F'!D251</t>
  </si>
  <si>
    <t>'DCA-Anexo I-F'!E236=+'DCA-Anexo I-F'!E238+'DCA-Anexo I-F'!E247+'DCA-Anexo I-F'!E248+'DCA-Anexo I-F'!E252+'DCA-Anexo I-F'!E246+'DCA-Anexo I-F'!E257+'DCA-Anexo I-F'!E258+'DCA-Anexo I-F'!E240+'DCA-Anexo I-F'!E292+'DCA-Anexo I-F'!E256+'DCA-Anexo I-F'!E289+'DCA-Anexo I-F'!E241+'DCA-Anexo I-F'!E259+'DCA-Anexo I-F'!E242+'DCA-Anexo I-F'!E245+'DCA-Anexo I-F'!E244+'DCA-Anexo I-F'!E286+'DCA-Anexo I-F'!E288+'DCA-Anexo I-F'!E253+'DCA-Anexo I-F'!E290+'DCA-Anexo I-F'!E255+'DCA-Anexo I-F'!E243+'DCA-Anexo I-F'!E239+'DCA-Anexo I-F'!E254+'DCA-Anexo I-F'!E249+'DCA-Anexo I-F'!E291+'DCA-Anexo I-F'!E260+'DCA-Anexo I-F'!E237+'DCA-Anexo I-F'!E287+'DCA-Anexo I-F'!E250+'DCA-Anexo I-F'!E251</t>
  </si>
  <si>
    <t>'DCA-Anexo I-F'!F236=+'DCA-Anexo I-F'!F238+'DCA-Anexo I-F'!F247+'DCA-Anexo I-F'!F248+'DCA-Anexo I-F'!F252+'DCA-Anexo I-F'!F246+'DCA-Anexo I-F'!F257+'DCA-Anexo I-F'!F258+'DCA-Anexo I-F'!F240+'DCA-Anexo I-F'!F292+'DCA-Anexo I-F'!F256+'DCA-Anexo I-F'!F289+'DCA-Anexo I-F'!F241+'DCA-Anexo I-F'!F259+'DCA-Anexo I-F'!F242+'DCA-Anexo I-F'!F245+'DCA-Anexo I-F'!F244+'DCA-Anexo I-F'!F286+'DCA-Anexo I-F'!F288+'DCA-Anexo I-F'!F253+'DCA-Anexo I-F'!F290+'DCA-Anexo I-F'!F255+'DCA-Anexo I-F'!F243+'DCA-Anexo I-F'!F239+'DCA-Anexo I-F'!F254+'DCA-Anexo I-F'!F249+'DCA-Anexo I-F'!F291+'DCA-Anexo I-F'!F260+'DCA-Anexo I-F'!F237+'DCA-Anexo I-F'!F287+'DCA-Anexo I-F'!F250+'DCA-Anexo I-F'!F251</t>
  </si>
  <si>
    <t>'DCA-Anexo I-F'!G236=+'DCA-Anexo I-F'!G238+'DCA-Anexo I-F'!G247+'DCA-Anexo I-F'!G248+'DCA-Anexo I-F'!G252+'DCA-Anexo I-F'!G246+'DCA-Anexo I-F'!G257+'DCA-Anexo I-F'!G258+'DCA-Anexo I-F'!G240+'DCA-Anexo I-F'!G292+'DCA-Anexo I-F'!G256+'DCA-Anexo I-F'!G289+'DCA-Anexo I-F'!G241+'DCA-Anexo I-F'!G259+'DCA-Anexo I-F'!G242+'DCA-Anexo I-F'!G245+'DCA-Anexo I-F'!G244+'DCA-Anexo I-F'!G286+'DCA-Anexo I-F'!G288+'DCA-Anexo I-F'!G253+'DCA-Anexo I-F'!G290+'DCA-Anexo I-F'!G255+'DCA-Anexo I-F'!G243+'DCA-Anexo I-F'!G239+'DCA-Anexo I-F'!G254+'DCA-Anexo I-F'!G249+'DCA-Anexo I-F'!G291+'DCA-Anexo I-F'!G260+'DCA-Anexo I-F'!G237+'DCA-Anexo I-F'!G287+'DCA-Anexo I-F'!G250+'DCA-Anexo I-F'!G251</t>
  </si>
  <si>
    <t>'DCA-Anexo I-F'!H236=+'DCA-Anexo I-F'!H238+'DCA-Anexo I-F'!H247+'DCA-Anexo I-F'!H248+'DCA-Anexo I-F'!H252+'DCA-Anexo I-F'!H246+'DCA-Anexo I-F'!H257+'DCA-Anexo I-F'!H258+'DCA-Anexo I-F'!H240+'DCA-Anexo I-F'!H292+'DCA-Anexo I-F'!H256+'DCA-Anexo I-F'!H289+'DCA-Anexo I-F'!H241+'DCA-Anexo I-F'!H259+'DCA-Anexo I-F'!H242+'DCA-Anexo I-F'!H245+'DCA-Anexo I-F'!H244+'DCA-Anexo I-F'!H286+'DCA-Anexo I-F'!H288+'DCA-Anexo I-F'!H253+'DCA-Anexo I-F'!H290+'DCA-Anexo I-F'!H255+'DCA-Anexo I-F'!H243+'DCA-Anexo I-F'!H239+'DCA-Anexo I-F'!H254+'DCA-Anexo I-F'!H249+'DCA-Anexo I-F'!H291+'DCA-Anexo I-F'!H260+'DCA-Anexo I-F'!H237+'DCA-Anexo I-F'!H287+'DCA-Anexo I-F'!H250+'DCA-Anexo I-F'!H251</t>
  </si>
  <si>
    <t>'DCA-Anexo I-F'!I236=+'DCA-Anexo I-F'!I238+'DCA-Anexo I-F'!I247+'DCA-Anexo I-F'!I248+'DCA-Anexo I-F'!I252+'DCA-Anexo I-F'!I246+'DCA-Anexo I-F'!I257+'DCA-Anexo I-F'!I258+'DCA-Anexo I-F'!I240+'DCA-Anexo I-F'!I292+'DCA-Anexo I-F'!I256+'DCA-Anexo I-F'!I289+'DCA-Anexo I-F'!I241+'DCA-Anexo I-F'!I259+'DCA-Anexo I-F'!I242+'DCA-Anexo I-F'!I245+'DCA-Anexo I-F'!I244+'DCA-Anexo I-F'!I286+'DCA-Anexo I-F'!I288+'DCA-Anexo I-F'!I253+'DCA-Anexo I-F'!I290+'DCA-Anexo I-F'!I255+'DCA-Anexo I-F'!I243+'DCA-Anexo I-F'!I239+'DCA-Anexo I-F'!I254+'DCA-Anexo I-F'!I249+'DCA-Anexo I-F'!I291+'DCA-Anexo I-F'!I260+'DCA-Anexo I-F'!I237+'DCA-Anexo I-F'!I287+'DCA-Anexo I-F'!I250+'DCA-Anexo I-F'!I251</t>
  </si>
  <si>
    <t>'DCA-Anexo I-F'!J236=+'DCA-Anexo I-F'!J238+'DCA-Anexo I-F'!J247+'DCA-Anexo I-F'!J248+'DCA-Anexo I-F'!J252+'DCA-Anexo I-F'!J246+'DCA-Anexo I-F'!J257+'DCA-Anexo I-F'!J258+'DCA-Anexo I-F'!J240+'DCA-Anexo I-F'!J292+'DCA-Anexo I-F'!J256+'DCA-Anexo I-F'!J289+'DCA-Anexo I-F'!J241+'DCA-Anexo I-F'!J259+'DCA-Anexo I-F'!J242+'DCA-Anexo I-F'!J245+'DCA-Anexo I-F'!J244+'DCA-Anexo I-F'!J286+'DCA-Anexo I-F'!J288+'DCA-Anexo I-F'!J253+'DCA-Anexo I-F'!J290+'DCA-Anexo I-F'!J255+'DCA-Anexo I-F'!J243+'DCA-Anexo I-F'!J239+'DCA-Anexo I-F'!J254+'DCA-Anexo I-F'!J249+'DCA-Anexo I-F'!J291+'DCA-Anexo I-F'!J260+'DCA-Anexo I-F'!J237+'DCA-Anexo I-F'!J287+'DCA-Anexo I-F'!J250+'DCA-Anexo I-F'!J251</t>
  </si>
  <si>
    <t>'DCA-Anexo I-F'!B260=+'DCA-Anexo I-F'!B280+'DCA-Anexo I-F'!B261+'DCA-Anexo I-F'!B271+'DCA-Anexo I-F'!B272+'DCA-Anexo I-F'!B285+'DCA-Anexo I-F'!B283+'DCA-Anexo I-F'!B262+'DCA-Anexo I-F'!B281+'DCA-Anexo I-F'!B274+'DCA-Anexo I-F'!B267+'DCA-Anexo I-F'!B263+'DCA-Anexo I-F'!B279+'DCA-Anexo I-F'!B268+'DCA-Anexo I-F'!B269+'DCA-Anexo I-F'!B266+'DCA-Anexo I-F'!B264+'DCA-Anexo I-F'!B265+'DCA-Anexo I-F'!B282+'DCA-Anexo I-F'!B275+'DCA-Anexo I-F'!B270+'DCA-Anexo I-F'!B273+'DCA-Anexo I-F'!B284</t>
  </si>
  <si>
    <t>'DCA-Anexo I-F'!C260=+'DCA-Anexo I-F'!C280+'DCA-Anexo I-F'!C261+'DCA-Anexo I-F'!C271+'DCA-Anexo I-F'!C272+'DCA-Anexo I-F'!C285+'DCA-Anexo I-F'!C283+'DCA-Anexo I-F'!C262+'DCA-Anexo I-F'!C281+'DCA-Anexo I-F'!C274+'DCA-Anexo I-F'!C267+'DCA-Anexo I-F'!C263+'DCA-Anexo I-F'!C279+'DCA-Anexo I-F'!C268+'DCA-Anexo I-F'!C269+'DCA-Anexo I-F'!C266+'DCA-Anexo I-F'!C264+'DCA-Anexo I-F'!C265+'DCA-Anexo I-F'!C282+'DCA-Anexo I-F'!C275+'DCA-Anexo I-F'!C270+'DCA-Anexo I-F'!C273+'DCA-Anexo I-F'!C284</t>
  </si>
  <si>
    <t>'DCA-Anexo I-F'!D260=+'DCA-Anexo I-F'!D280+'DCA-Anexo I-F'!D261+'DCA-Anexo I-F'!D271+'DCA-Anexo I-F'!D272+'DCA-Anexo I-F'!D285+'DCA-Anexo I-F'!D283+'DCA-Anexo I-F'!D262+'DCA-Anexo I-F'!D281+'DCA-Anexo I-F'!D274+'DCA-Anexo I-F'!D267+'DCA-Anexo I-F'!D263+'DCA-Anexo I-F'!D279+'DCA-Anexo I-F'!D268+'DCA-Anexo I-F'!D269+'DCA-Anexo I-F'!D266+'DCA-Anexo I-F'!D264+'DCA-Anexo I-F'!D265+'DCA-Anexo I-F'!D282+'DCA-Anexo I-F'!D275+'DCA-Anexo I-F'!D270+'DCA-Anexo I-F'!D273+'DCA-Anexo I-F'!D284</t>
  </si>
  <si>
    <t>'DCA-Anexo I-F'!E260=+'DCA-Anexo I-F'!E280+'DCA-Anexo I-F'!E261+'DCA-Anexo I-F'!E271+'DCA-Anexo I-F'!E272+'DCA-Anexo I-F'!E285+'DCA-Anexo I-F'!E283+'DCA-Anexo I-F'!E262+'DCA-Anexo I-F'!E281+'DCA-Anexo I-F'!E274+'DCA-Anexo I-F'!E267+'DCA-Anexo I-F'!E263+'DCA-Anexo I-F'!E279+'DCA-Anexo I-F'!E268+'DCA-Anexo I-F'!E269+'DCA-Anexo I-F'!E266+'DCA-Anexo I-F'!E264+'DCA-Anexo I-F'!E265+'DCA-Anexo I-F'!E282+'DCA-Anexo I-F'!E275+'DCA-Anexo I-F'!E270+'DCA-Anexo I-F'!E273+'DCA-Anexo I-F'!E284</t>
  </si>
  <si>
    <t>'DCA-Anexo I-F'!F260=+'DCA-Anexo I-F'!F280+'DCA-Anexo I-F'!F261+'DCA-Anexo I-F'!F271+'DCA-Anexo I-F'!F272+'DCA-Anexo I-F'!F285+'DCA-Anexo I-F'!F283+'DCA-Anexo I-F'!F262+'DCA-Anexo I-F'!F281+'DCA-Anexo I-F'!F274+'DCA-Anexo I-F'!F267+'DCA-Anexo I-F'!F263+'DCA-Anexo I-F'!F279+'DCA-Anexo I-F'!F268+'DCA-Anexo I-F'!F269+'DCA-Anexo I-F'!F266+'DCA-Anexo I-F'!F264+'DCA-Anexo I-F'!F265+'DCA-Anexo I-F'!F282+'DCA-Anexo I-F'!F275+'DCA-Anexo I-F'!F270+'DCA-Anexo I-F'!F273+'DCA-Anexo I-F'!F284</t>
  </si>
  <si>
    <t>'DCA-Anexo I-F'!G260=+'DCA-Anexo I-F'!G280+'DCA-Anexo I-F'!G261+'DCA-Anexo I-F'!G271+'DCA-Anexo I-F'!G272+'DCA-Anexo I-F'!G285+'DCA-Anexo I-F'!G283+'DCA-Anexo I-F'!G262+'DCA-Anexo I-F'!G281+'DCA-Anexo I-F'!G274+'DCA-Anexo I-F'!G267+'DCA-Anexo I-F'!G263+'DCA-Anexo I-F'!G279+'DCA-Anexo I-F'!G268+'DCA-Anexo I-F'!G269+'DCA-Anexo I-F'!G266+'DCA-Anexo I-F'!G264+'DCA-Anexo I-F'!G265+'DCA-Anexo I-F'!G282+'DCA-Anexo I-F'!G275+'DCA-Anexo I-F'!G270+'DCA-Anexo I-F'!G273+'DCA-Anexo I-F'!G284</t>
  </si>
  <si>
    <t>'DCA-Anexo I-F'!H260=+'DCA-Anexo I-F'!H280+'DCA-Anexo I-F'!H261+'DCA-Anexo I-F'!H271+'DCA-Anexo I-F'!H272+'DCA-Anexo I-F'!H285+'DCA-Anexo I-F'!H283+'DCA-Anexo I-F'!H262+'DCA-Anexo I-F'!H281+'DCA-Anexo I-F'!H274+'DCA-Anexo I-F'!H267+'DCA-Anexo I-F'!H263+'DCA-Anexo I-F'!H279+'DCA-Anexo I-F'!H268+'DCA-Anexo I-F'!H269+'DCA-Anexo I-F'!H266+'DCA-Anexo I-F'!H264+'DCA-Anexo I-F'!H265+'DCA-Anexo I-F'!H282+'DCA-Anexo I-F'!H275+'DCA-Anexo I-F'!H270+'DCA-Anexo I-F'!H273+'DCA-Anexo I-F'!H284</t>
  </si>
  <si>
    <t>'DCA-Anexo I-F'!I260=+'DCA-Anexo I-F'!I280+'DCA-Anexo I-F'!I261+'DCA-Anexo I-F'!I271+'DCA-Anexo I-F'!I272+'DCA-Anexo I-F'!I285+'DCA-Anexo I-F'!I283+'DCA-Anexo I-F'!I262+'DCA-Anexo I-F'!I281+'DCA-Anexo I-F'!I274+'DCA-Anexo I-F'!I267+'DCA-Anexo I-F'!I263+'DCA-Anexo I-F'!I279+'DCA-Anexo I-F'!I268+'DCA-Anexo I-F'!I269+'DCA-Anexo I-F'!I266+'DCA-Anexo I-F'!I264+'DCA-Anexo I-F'!I265+'DCA-Anexo I-F'!I282+'DCA-Anexo I-F'!I275+'DCA-Anexo I-F'!I270+'DCA-Anexo I-F'!I273+'DCA-Anexo I-F'!I284</t>
  </si>
  <si>
    <t>'DCA-Anexo I-F'!J260=+'DCA-Anexo I-F'!J280+'DCA-Anexo I-F'!J261+'DCA-Anexo I-F'!J271+'DCA-Anexo I-F'!J272+'DCA-Anexo I-F'!J285+'DCA-Anexo I-F'!J283+'DCA-Anexo I-F'!J262+'DCA-Anexo I-F'!J281+'DCA-Anexo I-F'!J274+'DCA-Anexo I-F'!J267+'DCA-Anexo I-F'!J263+'DCA-Anexo I-F'!J279+'DCA-Anexo I-F'!J268+'DCA-Anexo I-F'!J269+'DCA-Anexo I-F'!J266+'DCA-Anexo I-F'!J264+'DCA-Anexo I-F'!J265+'DCA-Anexo I-F'!J282+'DCA-Anexo I-F'!J275+'DCA-Anexo I-F'!J270+'DCA-Anexo I-F'!J273+'DCA-Anexo I-F'!J284</t>
  </si>
  <si>
    <t>'DCA-Anexo I-F'!B275=+'DCA-Anexo I-F'!B278+'DCA-Anexo I-F'!B277+'DCA-Anexo I-F'!B276</t>
  </si>
  <si>
    <t>'DCA-Anexo I-F'!C275=+'DCA-Anexo I-F'!C278+'DCA-Anexo I-F'!C277+'DCA-Anexo I-F'!C276</t>
  </si>
  <si>
    <t>'DCA-Anexo I-F'!D275=+'DCA-Anexo I-F'!D278+'DCA-Anexo I-F'!D277+'DCA-Anexo I-F'!D276</t>
  </si>
  <si>
    <t>'DCA-Anexo I-F'!E275=+'DCA-Anexo I-F'!E278+'DCA-Anexo I-F'!E277+'DCA-Anexo I-F'!E276</t>
  </si>
  <si>
    <t>'DCA-Anexo I-F'!F275=+'DCA-Anexo I-F'!F278+'DCA-Anexo I-F'!F277+'DCA-Anexo I-F'!F276</t>
  </si>
  <si>
    <t>'DCA-Anexo I-F'!G275=+'DCA-Anexo I-F'!G278+'DCA-Anexo I-F'!G277+'DCA-Anexo I-F'!G276</t>
  </si>
  <si>
    <t>'DCA-Anexo I-F'!H275=+'DCA-Anexo I-F'!H278+'DCA-Anexo I-F'!H277+'DCA-Anexo I-F'!H276</t>
  </si>
  <si>
    <t>'DCA-Anexo I-F'!I275=+'DCA-Anexo I-F'!I278+'DCA-Anexo I-F'!I277+'DCA-Anexo I-F'!I276</t>
  </si>
  <si>
    <t>'DCA-Anexo I-F'!J275=+'DCA-Anexo I-F'!J278+'DCA-Anexo I-F'!J277+'DCA-Anexo I-F'!J276</t>
  </si>
  <si>
    <t>'DCA-Anexo I-F'!B293=+'DCA-Anexo I-F'!B311+'DCA-Anexo I-F'!B296+'DCA-Anexo I-F'!B312+'DCA-Anexo I-F'!B306+'DCA-Anexo I-F'!B298+'DCA-Anexo I-F'!B303+'DCA-Anexo I-F'!B336+'DCA-Anexo I-F'!B301+'DCA-Anexo I-F'!B313+'DCA-Anexo I-F'!B316+'DCA-Anexo I-F'!B335+'DCA-Anexo I-F'!B317+'DCA-Anexo I-F'!B294+'DCA-Anexo I-F'!B310+'DCA-Anexo I-F'!B307+'DCA-Anexo I-F'!B337+'DCA-Anexo I-F'!B308+'DCA-Anexo I-F'!B297+'DCA-Anexo I-F'!B309+'DCA-Anexo I-F'!B295+'DCA-Anexo I-F'!B299+'DCA-Anexo I-F'!B300+'DCA-Anexo I-F'!B302+'DCA-Anexo I-F'!B304+'DCA-Anexo I-F'!B305+'DCA-Anexo I-F'!B314+'DCA-Anexo I-F'!B315+'DCA-Anexo I-F'!B331+'DCA-Anexo I-F'!B333+'DCA-Anexo I-F'!B334+'DCA-Anexo I-F'!B332</t>
  </si>
  <si>
    <t>'DCA-Anexo I-F'!C293=+'DCA-Anexo I-F'!C311+'DCA-Anexo I-F'!C296+'DCA-Anexo I-F'!C312+'DCA-Anexo I-F'!C306+'DCA-Anexo I-F'!C298+'DCA-Anexo I-F'!C303+'DCA-Anexo I-F'!C336+'DCA-Anexo I-F'!C301+'DCA-Anexo I-F'!C313+'DCA-Anexo I-F'!C316+'DCA-Anexo I-F'!C335+'DCA-Anexo I-F'!C317+'DCA-Anexo I-F'!C294+'DCA-Anexo I-F'!C310+'DCA-Anexo I-F'!C307+'DCA-Anexo I-F'!C337+'DCA-Anexo I-F'!C308+'DCA-Anexo I-F'!C297+'DCA-Anexo I-F'!C309+'DCA-Anexo I-F'!C295+'DCA-Anexo I-F'!C299+'DCA-Anexo I-F'!C300+'DCA-Anexo I-F'!C302+'DCA-Anexo I-F'!C304+'DCA-Anexo I-F'!C305+'DCA-Anexo I-F'!C314+'DCA-Anexo I-F'!C315+'DCA-Anexo I-F'!C331+'DCA-Anexo I-F'!C333+'DCA-Anexo I-F'!C334+'DCA-Anexo I-F'!C332</t>
  </si>
  <si>
    <t>'DCA-Anexo I-F'!D293=+'DCA-Anexo I-F'!D311+'DCA-Anexo I-F'!D296+'DCA-Anexo I-F'!D312+'DCA-Anexo I-F'!D306+'DCA-Anexo I-F'!D298+'DCA-Anexo I-F'!D303+'DCA-Anexo I-F'!D336+'DCA-Anexo I-F'!D301+'DCA-Anexo I-F'!D313+'DCA-Anexo I-F'!D316+'DCA-Anexo I-F'!D335+'DCA-Anexo I-F'!D317+'DCA-Anexo I-F'!D294+'DCA-Anexo I-F'!D310+'DCA-Anexo I-F'!D307+'DCA-Anexo I-F'!D337+'DCA-Anexo I-F'!D308+'DCA-Anexo I-F'!D297+'DCA-Anexo I-F'!D309+'DCA-Anexo I-F'!D295+'DCA-Anexo I-F'!D299+'DCA-Anexo I-F'!D300+'DCA-Anexo I-F'!D302+'DCA-Anexo I-F'!D304+'DCA-Anexo I-F'!D305+'DCA-Anexo I-F'!D314+'DCA-Anexo I-F'!D315+'DCA-Anexo I-F'!D331+'DCA-Anexo I-F'!D333+'DCA-Anexo I-F'!D334+'DCA-Anexo I-F'!D332</t>
  </si>
  <si>
    <t>'DCA-Anexo I-F'!E293=+'DCA-Anexo I-F'!E311+'DCA-Anexo I-F'!E296+'DCA-Anexo I-F'!E312+'DCA-Anexo I-F'!E306+'DCA-Anexo I-F'!E298+'DCA-Anexo I-F'!E303+'DCA-Anexo I-F'!E336+'DCA-Anexo I-F'!E301+'DCA-Anexo I-F'!E313+'DCA-Anexo I-F'!E316+'DCA-Anexo I-F'!E335+'DCA-Anexo I-F'!E317+'DCA-Anexo I-F'!E294+'DCA-Anexo I-F'!E310+'DCA-Anexo I-F'!E307+'DCA-Anexo I-F'!E337+'DCA-Anexo I-F'!E308+'DCA-Anexo I-F'!E297+'DCA-Anexo I-F'!E309+'DCA-Anexo I-F'!E295+'DCA-Anexo I-F'!E299+'DCA-Anexo I-F'!E300+'DCA-Anexo I-F'!E302+'DCA-Anexo I-F'!E304+'DCA-Anexo I-F'!E305+'DCA-Anexo I-F'!E314+'DCA-Anexo I-F'!E315+'DCA-Anexo I-F'!E331+'DCA-Anexo I-F'!E333+'DCA-Anexo I-F'!E334+'DCA-Anexo I-F'!E332</t>
  </si>
  <si>
    <t>'DCA-Anexo I-F'!F293=+'DCA-Anexo I-F'!F311+'DCA-Anexo I-F'!F296+'DCA-Anexo I-F'!F312+'DCA-Anexo I-F'!F306+'DCA-Anexo I-F'!F298+'DCA-Anexo I-F'!F303+'DCA-Anexo I-F'!F336+'DCA-Anexo I-F'!F301+'DCA-Anexo I-F'!F313+'DCA-Anexo I-F'!F316+'DCA-Anexo I-F'!F335+'DCA-Anexo I-F'!F317+'DCA-Anexo I-F'!F294+'DCA-Anexo I-F'!F310+'DCA-Anexo I-F'!F307+'DCA-Anexo I-F'!F337+'DCA-Anexo I-F'!F308+'DCA-Anexo I-F'!F297+'DCA-Anexo I-F'!F309+'DCA-Anexo I-F'!F295+'DCA-Anexo I-F'!F299+'DCA-Anexo I-F'!F300+'DCA-Anexo I-F'!F302+'DCA-Anexo I-F'!F304+'DCA-Anexo I-F'!F305+'DCA-Anexo I-F'!F314+'DCA-Anexo I-F'!F315+'DCA-Anexo I-F'!F331+'DCA-Anexo I-F'!F333+'DCA-Anexo I-F'!F334+'DCA-Anexo I-F'!F332</t>
  </si>
  <si>
    <t>'DCA-Anexo I-F'!G293=+'DCA-Anexo I-F'!G311+'DCA-Anexo I-F'!G296+'DCA-Anexo I-F'!G312+'DCA-Anexo I-F'!G306+'DCA-Anexo I-F'!G298+'DCA-Anexo I-F'!G303+'DCA-Anexo I-F'!G336+'DCA-Anexo I-F'!G301+'DCA-Anexo I-F'!G313+'DCA-Anexo I-F'!G316+'DCA-Anexo I-F'!G335+'DCA-Anexo I-F'!G317+'DCA-Anexo I-F'!G294+'DCA-Anexo I-F'!G310+'DCA-Anexo I-F'!G307+'DCA-Anexo I-F'!G337+'DCA-Anexo I-F'!G308+'DCA-Anexo I-F'!G297+'DCA-Anexo I-F'!G309+'DCA-Anexo I-F'!G295+'DCA-Anexo I-F'!G299+'DCA-Anexo I-F'!G300+'DCA-Anexo I-F'!G302+'DCA-Anexo I-F'!G304+'DCA-Anexo I-F'!G305+'DCA-Anexo I-F'!G314+'DCA-Anexo I-F'!G315+'DCA-Anexo I-F'!G331+'DCA-Anexo I-F'!G333+'DCA-Anexo I-F'!G334+'DCA-Anexo I-F'!G332</t>
  </si>
  <si>
    <t>'DCA-Anexo I-F'!H293=+'DCA-Anexo I-F'!H311+'DCA-Anexo I-F'!H296+'DCA-Anexo I-F'!H312+'DCA-Anexo I-F'!H306+'DCA-Anexo I-F'!H298+'DCA-Anexo I-F'!H303+'DCA-Anexo I-F'!H336+'DCA-Anexo I-F'!H301+'DCA-Anexo I-F'!H313+'DCA-Anexo I-F'!H316+'DCA-Anexo I-F'!H335+'DCA-Anexo I-F'!H317+'DCA-Anexo I-F'!H294+'DCA-Anexo I-F'!H310+'DCA-Anexo I-F'!H307+'DCA-Anexo I-F'!H337+'DCA-Anexo I-F'!H308+'DCA-Anexo I-F'!H297+'DCA-Anexo I-F'!H309+'DCA-Anexo I-F'!H295+'DCA-Anexo I-F'!H299+'DCA-Anexo I-F'!H300+'DCA-Anexo I-F'!H302+'DCA-Anexo I-F'!H304+'DCA-Anexo I-F'!H305+'DCA-Anexo I-F'!H314+'DCA-Anexo I-F'!H315+'DCA-Anexo I-F'!H331+'DCA-Anexo I-F'!H333+'DCA-Anexo I-F'!H334+'DCA-Anexo I-F'!H332</t>
  </si>
  <si>
    <t>'DCA-Anexo I-F'!I293=+'DCA-Anexo I-F'!I311+'DCA-Anexo I-F'!I296+'DCA-Anexo I-F'!I312+'DCA-Anexo I-F'!I306+'DCA-Anexo I-F'!I298+'DCA-Anexo I-F'!I303+'DCA-Anexo I-F'!I336+'DCA-Anexo I-F'!I301+'DCA-Anexo I-F'!I313+'DCA-Anexo I-F'!I316+'DCA-Anexo I-F'!I335+'DCA-Anexo I-F'!I317+'DCA-Anexo I-F'!I294+'DCA-Anexo I-F'!I310+'DCA-Anexo I-F'!I307+'DCA-Anexo I-F'!I337+'DCA-Anexo I-F'!I308+'DCA-Anexo I-F'!I297+'DCA-Anexo I-F'!I309+'DCA-Anexo I-F'!I295+'DCA-Anexo I-F'!I299+'DCA-Anexo I-F'!I300+'DCA-Anexo I-F'!I302+'DCA-Anexo I-F'!I304+'DCA-Anexo I-F'!I305+'DCA-Anexo I-F'!I314+'DCA-Anexo I-F'!I315+'DCA-Anexo I-F'!I331+'DCA-Anexo I-F'!I333+'DCA-Anexo I-F'!I334+'DCA-Anexo I-F'!I332</t>
  </si>
  <si>
    <t>'DCA-Anexo I-F'!J293=+'DCA-Anexo I-F'!J311+'DCA-Anexo I-F'!J296+'DCA-Anexo I-F'!J312+'DCA-Anexo I-F'!J306+'DCA-Anexo I-F'!J298+'DCA-Anexo I-F'!J303+'DCA-Anexo I-F'!J336+'DCA-Anexo I-F'!J301+'DCA-Anexo I-F'!J313+'DCA-Anexo I-F'!J316+'DCA-Anexo I-F'!J335+'DCA-Anexo I-F'!J317+'DCA-Anexo I-F'!J294+'DCA-Anexo I-F'!J310+'DCA-Anexo I-F'!J307+'DCA-Anexo I-F'!J337+'DCA-Anexo I-F'!J308+'DCA-Anexo I-F'!J297+'DCA-Anexo I-F'!J309+'DCA-Anexo I-F'!J295+'DCA-Anexo I-F'!J299+'DCA-Anexo I-F'!J300+'DCA-Anexo I-F'!J302+'DCA-Anexo I-F'!J304+'DCA-Anexo I-F'!J305+'DCA-Anexo I-F'!J314+'DCA-Anexo I-F'!J315+'DCA-Anexo I-F'!J331+'DCA-Anexo I-F'!J333+'DCA-Anexo I-F'!J334+'DCA-Anexo I-F'!J332</t>
  </si>
  <si>
    <t>'DCA-Anexo I-F'!B317=+'DCA-Anexo I-F'!B322+'DCA-Anexo I-F'!B328+'DCA-Anexo I-F'!B318+'DCA-Anexo I-F'!B323+'DCA-Anexo I-F'!B321+'DCA-Anexo I-F'!B329+'DCA-Anexo I-F'!B320+'DCA-Anexo I-F'!B330+'DCA-Anexo I-F'!B327+'DCA-Anexo I-F'!B325+'DCA-Anexo I-F'!B319+'DCA-Anexo I-F'!B324+'DCA-Anexo I-F'!B326</t>
  </si>
  <si>
    <t>'DCA-Anexo I-F'!C317=+'DCA-Anexo I-F'!C322+'DCA-Anexo I-F'!C328+'DCA-Anexo I-F'!C318+'DCA-Anexo I-F'!C323+'DCA-Anexo I-F'!C321+'DCA-Anexo I-F'!C329+'DCA-Anexo I-F'!C320+'DCA-Anexo I-F'!C330+'DCA-Anexo I-F'!C327+'DCA-Anexo I-F'!C325+'DCA-Anexo I-F'!C319+'DCA-Anexo I-F'!C324+'DCA-Anexo I-F'!C326</t>
  </si>
  <si>
    <t>'DCA-Anexo I-F'!D317=+'DCA-Anexo I-F'!D322+'DCA-Anexo I-F'!D328+'DCA-Anexo I-F'!D318+'DCA-Anexo I-F'!D323+'DCA-Anexo I-F'!D321+'DCA-Anexo I-F'!D329+'DCA-Anexo I-F'!D320+'DCA-Anexo I-F'!D330+'DCA-Anexo I-F'!D327+'DCA-Anexo I-F'!D325+'DCA-Anexo I-F'!D319+'DCA-Anexo I-F'!D324+'DCA-Anexo I-F'!D326</t>
  </si>
  <si>
    <t>'DCA-Anexo I-F'!E317=+'DCA-Anexo I-F'!E322+'DCA-Anexo I-F'!E328+'DCA-Anexo I-F'!E318+'DCA-Anexo I-F'!E323+'DCA-Anexo I-F'!E321+'DCA-Anexo I-F'!E329+'DCA-Anexo I-F'!E320+'DCA-Anexo I-F'!E330+'DCA-Anexo I-F'!E327+'DCA-Anexo I-F'!E325+'DCA-Anexo I-F'!E319+'DCA-Anexo I-F'!E324+'DCA-Anexo I-F'!E326</t>
  </si>
  <si>
    <t>'DCA-Anexo I-F'!F317=+'DCA-Anexo I-F'!F322+'DCA-Anexo I-F'!F328+'DCA-Anexo I-F'!F318+'DCA-Anexo I-F'!F323+'DCA-Anexo I-F'!F321+'DCA-Anexo I-F'!F329+'DCA-Anexo I-F'!F320+'DCA-Anexo I-F'!F330+'DCA-Anexo I-F'!F327+'DCA-Anexo I-F'!F325+'DCA-Anexo I-F'!F319+'DCA-Anexo I-F'!F324+'DCA-Anexo I-F'!F326</t>
  </si>
  <si>
    <t>'DCA-Anexo I-F'!G317=+'DCA-Anexo I-F'!G322+'DCA-Anexo I-F'!G328+'DCA-Anexo I-F'!G318+'DCA-Anexo I-F'!G323+'DCA-Anexo I-F'!G321+'DCA-Anexo I-F'!G329+'DCA-Anexo I-F'!G320+'DCA-Anexo I-F'!G330+'DCA-Anexo I-F'!G327+'DCA-Anexo I-F'!G325+'DCA-Anexo I-F'!G319+'DCA-Anexo I-F'!G324+'DCA-Anexo I-F'!G326</t>
  </si>
  <si>
    <t>'DCA-Anexo I-F'!H317=+'DCA-Anexo I-F'!H322+'DCA-Anexo I-F'!H328+'DCA-Anexo I-F'!H318+'DCA-Anexo I-F'!H323+'DCA-Anexo I-F'!H321+'DCA-Anexo I-F'!H329+'DCA-Anexo I-F'!H320+'DCA-Anexo I-F'!H330+'DCA-Anexo I-F'!H327+'DCA-Anexo I-F'!H325+'DCA-Anexo I-F'!H319+'DCA-Anexo I-F'!H324+'DCA-Anexo I-F'!H326</t>
  </si>
  <si>
    <t>'DCA-Anexo I-F'!I317=+'DCA-Anexo I-F'!I322+'DCA-Anexo I-F'!I328+'DCA-Anexo I-F'!I318+'DCA-Anexo I-F'!I323+'DCA-Anexo I-F'!I321+'DCA-Anexo I-F'!I329+'DCA-Anexo I-F'!I320+'DCA-Anexo I-F'!I330+'DCA-Anexo I-F'!I327+'DCA-Anexo I-F'!I325+'DCA-Anexo I-F'!I319+'DCA-Anexo I-F'!I324+'DCA-Anexo I-F'!I326</t>
  </si>
  <si>
    <t>'DCA-Anexo I-F'!J317=+'DCA-Anexo I-F'!J322+'DCA-Anexo I-F'!J328+'DCA-Anexo I-F'!J318+'DCA-Anexo I-F'!J323+'DCA-Anexo I-F'!J321+'DCA-Anexo I-F'!J329+'DCA-Anexo I-F'!J320+'DCA-Anexo I-F'!J330+'DCA-Anexo I-F'!J327+'DCA-Anexo I-F'!J325+'DCA-Anexo I-F'!J319+'DCA-Anexo I-F'!J324+'DCA-Anexo I-F'!J326</t>
  </si>
  <si>
    <t>'DCA-Anexo I-F'!B362=+'DCA-Anexo I-F'!B373+'DCA-Anexo I-F'!B364+'DCA-Anexo I-F'!B363+'DCA-Anexo I-F'!B366+'DCA-Anexo I-F'!B367+'DCA-Anexo I-F'!B369+'DCA-Anexo I-F'!B371+'DCA-Anexo I-F'!B370+'DCA-Anexo I-F'!B374+'DCA-Anexo I-F'!B365+'DCA-Anexo I-F'!B368+'DCA-Anexo I-F'!B372</t>
  </si>
  <si>
    <t>'DCA-Anexo I-F'!C362=+'DCA-Anexo I-F'!C373+'DCA-Anexo I-F'!C364+'DCA-Anexo I-F'!C363+'DCA-Anexo I-F'!C366+'DCA-Anexo I-F'!C367+'DCA-Anexo I-F'!C369+'DCA-Anexo I-F'!C371+'DCA-Anexo I-F'!C370+'DCA-Anexo I-F'!C374+'DCA-Anexo I-F'!C365+'DCA-Anexo I-F'!C368+'DCA-Anexo I-F'!C372</t>
  </si>
  <si>
    <t>'DCA-Anexo I-F'!D362=+'DCA-Anexo I-F'!D373+'DCA-Anexo I-F'!D364+'DCA-Anexo I-F'!D363+'DCA-Anexo I-F'!D366+'DCA-Anexo I-F'!D367+'DCA-Anexo I-F'!D369+'DCA-Anexo I-F'!D371+'DCA-Anexo I-F'!D370+'DCA-Anexo I-F'!D374+'DCA-Anexo I-F'!D365+'DCA-Anexo I-F'!D368+'DCA-Anexo I-F'!D372</t>
  </si>
  <si>
    <t>'DCA-Anexo I-F'!E362=+'DCA-Anexo I-F'!E373+'DCA-Anexo I-F'!E364+'DCA-Anexo I-F'!E363+'DCA-Anexo I-F'!E366+'DCA-Anexo I-F'!E367+'DCA-Anexo I-F'!E369+'DCA-Anexo I-F'!E371+'DCA-Anexo I-F'!E370+'DCA-Anexo I-F'!E374+'DCA-Anexo I-F'!E365+'DCA-Anexo I-F'!E368+'DCA-Anexo I-F'!E372</t>
  </si>
  <si>
    <t>'DCA-Anexo I-F'!F362=+'DCA-Anexo I-F'!F373+'DCA-Anexo I-F'!F364+'DCA-Anexo I-F'!F363+'DCA-Anexo I-F'!F366+'DCA-Anexo I-F'!F367+'DCA-Anexo I-F'!F369+'DCA-Anexo I-F'!F371+'DCA-Anexo I-F'!F370+'DCA-Anexo I-F'!F374+'DCA-Anexo I-F'!F365+'DCA-Anexo I-F'!F368+'DCA-Anexo I-F'!F372</t>
  </si>
  <si>
    <t>'DCA-Anexo I-F'!G362=+'DCA-Anexo I-F'!G373+'DCA-Anexo I-F'!G364+'DCA-Anexo I-F'!G363+'DCA-Anexo I-F'!G366+'DCA-Anexo I-F'!G367+'DCA-Anexo I-F'!G369+'DCA-Anexo I-F'!G371+'DCA-Anexo I-F'!G370+'DCA-Anexo I-F'!G374+'DCA-Anexo I-F'!G365+'DCA-Anexo I-F'!G368+'DCA-Anexo I-F'!G372</t>
  </si>
  <si>
    <t>'DCA-Anexo I-F'!H362=+'DCA-Anexo I-F'!H373+'DCA-Anexo I-F'!H364+'DCA-Anexo I-F'!H363+'DCA-Anexo I-F'!H366+'DCA-Anexo I-F'!H367+'DCA-Anexo I-F'!H369+'DCA-Anexo I-F'!H371+'DCA-Anexo I-F'!H370+'DCA-Anexo I-F'!H374+'DCA-Anexo I-F'!H365+'DCA-Anexo I-F'!H368+'DCA-Anexo I-F'!H372</t>
  </si>
  <si>
    <t>'DCA-Anexo I-F'!I362=+'DCA-Anexo I-F'!I373+'DCA-Anexo I-F'!I364+'DCA-Anexo I-F'!I363+'DCA-Anexo I-F'!I366+'DCA-Anexo I-F'!I367+'DCA-Anexo I-F'!I369+'DCA-Anexo I-F'!I371+'DCA-Anexo I-F'!I370+'DCA-Anexo I-F'!I374+'DCA-Anexo I-F'!I365+'DCA-Anexo I-F'!I368+'DCA-Anexo I-F'!I372</t>
  </si>
  <si>
    <t>'DCA-Anexo I-F'!J362=+'DCA-Anexo I-F'!J373+'DCA-Anexo I-F'!J364+'DCA-Anexo I-F'!J363+'DCA-Anexo I-F'!J366+'DCA-Anexo I-F'!J367+'DCA-Anexo I-F'!J369+'DCA-Anexo I-F'!J371+'DCA-Anexo I-F'!J370+'DCA-Anexo I-F'!J374+'DCA-Anexo I-F'!J365+'DCA-Anexo I-F'!J368+'DCA-Anexo I-F'!J372</t>
  </si>
  <si>
    <t>'DCA-Anexo I-F'!B338=+'DCA-Anexo I-F'!B362+'DCA-Anexo I-F'!B378+'DCA-Anexo I-F'!B379+'DCA-Anexo I-F'!B380+'DCA-Anexo I-F'!B355+'DCA-Anexo I-F'!B357+'DCA-Anexo I-F'!B358+'DCA-Anexo I-F'!B339+'DCA-Anexo I-F'!B340+'DCA-Anexo I-F'!B341+'DCA-Anexo I-F'!B342+'DCA-Anexo I-F'!B343+'DCA-Anexo I-F'!B344+'DCA-Anexo I-F'!B345+'DCA-Anexo I-F'!B346+'DCA-Anexo I-F'!B347+'DCA-Anexo I-F'!B348+'DCA-Anexo I-F'!B349+'DCA-Anexo I-F'!B350+'DCA-Anexo I-F'!B351+'DCA-Anexo I-F'!B352+'DCA-Anexo I-F'!B353+'DCA-Anexo I-F'!B354+'DCA-Anexo I-F'!B356+'DCA-Anexo I-F'!B359+'DCA-Anexo I-F'!B360+'DCA-Anexo I-F'!B361+'DCA-Anexo I-F'!B375+'DCA-Anexo I-F'!B376+'DCA-Anexo I-F'!B377</t>
  </si>
  <si>
    <t>'DCA-Anexo I-F'!C338=+'DCA-Anexo I-F'!C362+'DCA-Anexo I-F'!C378+'DCA-Anexo I-F'!C379+'DCA-Anexo I-F'!C380+'DCA-Anexo I-F'!C355+'DCA-Anexo I-F'!C357+'DCA-Anexo I-F'!C358+'DCA-Anexo I-F'!C339+'DCA-Anexo I-F'!C340+'DCA-Anexo I-F'!C341+'DCA-Anexo I-F'!C342+'DCA-Anexo I-F'!C343+'DCA-Anexo I-F'!C344+'DCA-Anexo I-F'!C345+'DCA-Anexo I-F'!C346+'DCA-Anexo I-F'!C347+'DCA-Anexo I-F'!C348+'DCA-Anexo I-F'!C349+'DCA-Anexo I-F'!C350+'DCA-Anexo I-F'!C351+'DCA-Anexo I-F'!C352+'DCA-Anexo I-F'!C353+'DCA-Anexo I-F'!C354+'DCA-Anexo I-F'!C356+'DCA-Anexo I-F'!C359+'DCA-Anexo I-F'!C360+'DCA-Anexo I-F'!C361+'DCA-Anexo I-F'!C375+'DCA-Anexo I-F'!C376+'DCA-Anexo I-F'!C377</t>
  </si>
  <si>
    <t>'DCA-Anexo I-F'!D338=+'DCA-Anexo I-F'!D362+'DCA-Anexo I-F'!D378+'DCA-Anexo I-F'!D379+'DCA-Anexo I-F'!D380+'DCA-Anexo I-F'!D355+'DCA-Anexo I-F'!D357+'DCA-Anexo I-F'!D358+'DCA-Anexo I-F'!D339+'DCA-Anexo I-F'!D340+'DCA-Anexo I-F'!D341+'DCA-Anexo I-F'!D342+'DCA-Anexo I-F'!D343+'DCA-Anexo I-F'!D344+'DCA-Anexo I-F'!D345+'DCA-Anexo I-F'!D346+'DCA-Anexo I-F'!D347+'DCA-Anexo I-F'!D348+'DCA-Anexo I-F'!D349+'DCA-Anexo I-F'!D350+'DCA-Anexo I-F'!D351+'DCA-Anexo I-F'!D352+'DCA-Anexo I-F'!D353+'DCA-Anexo I-F'!D354+'DCA-Anexo I-F'!D356+'DCA-Anexo I-F'!D359+'DCA-Anexo I-F'!D360+'DCA-Anexo I-F'!D361+'DCA-Anexo I-F'!D375+'DCA-Anexo I-F'!D376+'DCA-Anexo I-F'!D377</t>
  </si>
  <si>
    <t>'DCA-Anexo I-F'!E338=+'DCA-Anexo I-F'!E362+'DCA-Anexo I-F'!E378+'DCA-Anexo I-F'!E379+'DCA-Anexo I-F'!E380+'DCA-Anexo I-F'!E355+'DCA-Anexo I-F'!E357+'DCA-Anexo I-F'!E358+'DCA-Anexo I-F'!E339+'DCA-Anexo I-F'!E340+'DCA-Anexo I-F'!E341+'DCA-Anexo I-F'!E342+'DCA-Anexo I-F'!E343+'DCA-Anexo I-F'!E344+'DCA-Anexo I-F'!E345+'DCA-Anexo I-F'!E346+'DCA-Anexo I-F'!E347+'DCA-Anexo I-F'!E348+'DCA-Anexo I-F'!E349+'DCA-Anexo I-F'!E350+'DCA-Anexo I-F'!E351+'DCA-Anexo I-F'!E352+'DCA-Anexo I-F'!E353+'DCA-Anexo I-F'!E354+'DCA-Anexo I-F'!E356+'DCA-Anexo I-F'!E359+'DCA-Anexo I-F'!E360+'DCA-Anexo I-F'!E361+'DCA-Anexo I-F'!E375+'DCA-Anexo I-F'!E376+'DCA-Anexo I-F'!E377</t>
  </si>
  <si>
    <t>'DCA-Anexo I-F'!F338=+'DCA-Anexo I-F'!F362+'DCA-Anexo I-F'!F378+'DCA-Anexo I-F'!F379+'DCA-Anexo I-F'!F380+'DCA-Anexo I-F'!F355+'DCA-Anexo I-F'!F357+'DCA-Anexo I-F'!F358+'DCA-Anexo I-F'!F339+'DCA-Anexo I-F'!F340+'DCA-Anexo I-F'!F341+'DCA-Anexo I-F'!F342+'DCA-Anexo I-F'!F343+'DCA-Anexo I-F'!F344+'DCA-Anexo I-F'!F345+'DCA-Anexo I-F'!F346+'DCA-Anexo I-F'!F347+'DCA-Anexo I-F'!F348+'DCA-Anexo I-F'!F349+'DCA-Anexo I-F'!F350+'DCA-Anexo I-F'!F351+'DCA-Anexo I-F'!F352+'DCA-Anexo I-F'!F353+'DCA-Anexo I-F'!F354+'DCA-Anexo I-F'!F356+'DCA-Anexo I-F'!F359+'DCA-Anexo I-F'!F360+'DCA-Anexo I-F'!F361+'DCA-Anexo I-F'!F375+'DCA-Anexo I-F'!F376+'DCA-Anexo I-F'!F377</t>
  </si>
  <si>
    <t>'DCA-Anexo I-F'!G338=+'DCA-Anexo I-F'!G362+'DCA-Anexo I-F'!G378+'DCA-Anexo I-F'!G379+'DCA-Anexo I-F'!G380+'DCA-Anexo I-F'!G355+'DCA-Anexo I-F'!G357+'DCA-Anexo I-F'!G358+'DCA-Anexo I-F'!G339+'DCA-Anexo I-F'!G340+'DCA-Anexo I-F'!G341+'DCA-Anexo I-F'!G342+'DCA-Anexo I-F'!G343+'DCA-Anexo I-F'!G344+'DCA-Anexo I-F'!G345+'DCA-Anexo I-F'!G346+'DCA-Anexo I-F'!G347+'DCA-Anexo I-F'!G348+'DCA-Anexo I-F'!G349+'DCA-Anexo I-F'!G350+'DCA-Anexo I-F'!G351+'DCA-Anexo I-F'!G352+'DCA-Anexo I-F'!G353+'DCA-Anexo I-F'!G354+'DCA-Anexo I-F'!G356+'DCA-Anexo I-F'!G359+'DCA-Anexo I-F'!G360+'DCA-Anexo I-F'!G361+'DCA-Anexo I-F'!G375+'DCA-Anexo I-F'!G376+'DCA-Anexo I-F'!G377</t>
  </si>
  <si>
    <t>'DCA-Anexo I-F'!H338=+'DCA-Anexo I-F'!H362+'DCA-Anexo I-F'!H378+'DCA-Anexo I-F'!H379+'DCA-Anexo I-F'!H380+'DCA-Anexo I-F'!H355+'DCA-Anexo I-F'!H357+'DCA-Anexo I-F'!H358+'DCA-Anexo I-F'!H339+'DCA-Anexo I-F'!H340+'DCA-Anexo I-F'!H341+'DCA-Anexo I-F'!H342+'DCA-Anexo I-F'!H343+'DCA-Anexo I-F'!H344+'DCA-Anexo I-F'!H345+'DCA-Anexo I-F'!H346+'DCA-Anexo I-F'!H347+'DCA-Anexo I-F'!H348+'DCA-Anexo I-F'!H349+'DCA-Anexo I-F'!H350+'DCA-Anexo I-F'!H351+'DCA-Anexo I-F'!H352+'DCA-Anexo I-F'!H353+'DCA-Anexo I-F'!H354+'DCA-Anexo I-F'!H356+'DCA-Anexo I-F'!H359+'DCA-Anexo I-F'!H360+'DCA-Anexo I-F'!H361+'DCA-Anexo I-F'!H375+'DCA-Anexo I-F'!H376+'DCA-Anexo I-F'!H377</t>
  </si>
  <si>
    <t>'DCA-Anexo I-F'!I338=+'DCA-Anexo I-F'!I362+'DCA-Anexo I-F'!I378+'DCA-Anexo I-F'!I379+'DCA-Anexo I-F'!I380+'DCA-Anexo I-F'!I355+'DCA-Anexo I-F'!I357+'DCA-Anexo I-F'!I358+'DCA-Anexo I-F'!I339+'DCA-Anexo I-F'!I340+'DCA-Anexo I-F'!I341+'DCA-Anexo I-F'!I342+'DCA-Anexo I-F'!I343+'DCA-Anexo I-F'!I344+'DCA-Anexo I-F'!I345+'DCA-Anexo I-F'!I346+'DCA-Anexo I-F'!I347+'DCA-Anexo I-F'!I348+'DCA-Anexo I-F'!I349+'DCA-Anexo I-F'!I350+'DCA-Anexo I-F'!I351+'DCA-Anexo I-F'!I352+'DCA-Anexo I-F'!I353+'DCA-Anexo I-F'!I354+'DCA-Anexo I-F'!I356+'DCA-Anexo I-F'!I359+'DCA-Anexo I-F'!I360+'DCA-Anexo I-F'!I361+'DCA-Anexo I-F'!I375+'DCA-Anexo I-F'!I376+'DCA-Anexo I-F'!I377</t>
  </si>
  <si>
    <t>'DCA-Anexo I-F'!J338=+'DCA-Anexo I-F'!J362+'DCA-Anexo I-F'!J378+'DCA-Anexo I-F'!J379+'DCA-Anexo I-F'!J380+'DCA-Anexo I-F'!J355+'DCA-Anexo I-F'!J357+'DCA-Anexo I-F'!J358+'DCA-Anexo I-F'!J339+'DCA-Anexo I-F'!J340+'DCA-Anexo I-F'!J341+'DCA-Anexo I-F'!J342+'DCA-Anexo I-F'!J343+'DCA-Anexo I-F'!J344+'DCA-Anexo I-F'!J345+'DCA-Anexo I-F'!J346+'DCA-Anexo I-F'!J347+'DCA-Anexo I-F'!J348+'DCA-Anexo I-F'!J349+'DCA-Anexo I-F'!J350+'DCA-Anexo I-F'!J351+'DCA-Anexo I-F'!J352+'DCA-Anexo I-F'!J353+'DCA-Anexo I-F'!J354+'DCA-Anexo I-F'!J356+'DCA-Anexo I-F'!J359+'DCA-Anexo I-F'!J360+'DCA-Anexo I-F'!J361+'DCA-Anexo I-F'!J375+'DCA-Anexo I-F'!J376+'DCA-Anexo I-F'!J377</t>
  </si>
  <si>
    <t>'DCA-Anexo I-F'!B235=+'DCA-Anexo I-F'!B338+'DCA-Anexo I-F'!B236+'DCA-Anexo I-F'!B293</t>
  </si>
  <si>
    <t>'DCA-Anexo I-F'!C235=+'DCA-Anexo I-F'!C338+'DCA-Anexo I-F'!C236+'DCA-Anexo I-F'!C293</t>
  </si>
  <si>
    <t>'DCA-Anexo I-F'!D235=+'DCA-Anexo I-F'!D338+'DCA-Anexo I-F'!D236+'DCA-Anexo I-F'!D293</t>
  </si>
  <si>
    <t>'DCA-Anexo I-F'!E235=+'DCA-Anexo I-F'!E338+'DCA-Anexo I-F'!E236+'DCA-Anexo I-F'!E293</t>
  </si>
  <si>
    <t>'DCA-Anexo I-F'!F235=+'DCA-Anexo I-F'!F338+'DCA-Anexo I-F'!F236+'DCA-Anexo I-F'!F293</t>
  </si>
  <si>
    <t>'DCA-Anexo I-F'!G235=+'DCA-Anexo I-F'!G338+'DCA-Anexo I-F'!G236+'DCA-Anexo I-F'!G293</t>
  </si>
  <si>
    <t>'DCA-Anexo I-F'!H235=+'DCA-Anexo I-F'!H338+'DCA-Anexo I-F'!H236+'DCA-Anexo I-F'!H293</t>
  </si>
  <si>
    <t>'DCA-Anexo I-F'!I235=+'DCA-Anexo I-F'!I338+'DCA-Anexo I-F'!I236+'DCA-Anexo I-F'!I293</t>
  </si>
  <si>
    <t>'DCA-Anexo I-F'!J235=+'DCA-Anexo I-F'!J338+'DCA-Anexo I-F'!J236+'DCA-Anexo I-F'!J293</t>
  </si>
  <si>
    <t>'DCA-Anexo I-F'!B21=+'DCA-Anexo I-F'!B22+'DCA-Anexo I-F'!B145+'DCA-Anexo I-F'!B103</t>
  </si>
  <si>
    <t>'DCA-Anexo I-F'!C21=+'DCA-Anexo I-F'!C22+'DCA-Anexo I-F'!C145+'DCA-Anexo I-F'!C103</t>
  </si>
  <si>
    <t>'DCA-Anexo I-F'!D21=+'DCA-Anexo I-F'!D22+'DCA-Anexo I-F'!D145+'DCA-Anexo I-F'!D103</t>
  </si>
  <si>
    <t>'DCA-Anexo I-F'!E21=+'DCA-Anexo I-F'!E22+'DCA-Anexo I-F'!E145+'DCA-Anexo I-F'!E103</t>
  </si>
  <si>
    <t>'DCA-Anexo I-F'!F21=+'DCA-Anexo I-F'!F22+'DCA-Anexo I-F'!F145+'DCA-Anexo I-F'!F103</t>
  </si>
  <si>
    <t>'DCA-Anexo I-F'!G21=+'DCA-Anexo I-F'!G22+'DCA-Anexo I-F'!G145+'DCA-Anexo I-F'!G103</t>
  </si>
  <si>
    <t>'DCA-Anexo I-F'!H21=+'DCA-Anexo I-F'!H22+'DCA-Anexo I-F'!H145+'DCA-Anexo I-F'!H103</t>
  </si>
  <si>
    <t>'DCA-Anexo I-F'!I21=+'DCA-Anexo I-F'!I22+'DCA-Anexo I-F'!I145+'DCA-Anexo I-F'!I103</t>
  </si>
  <si>
    <t>'DCA-Anexo I-F'!J21=+'DCA-Anexo I-F'!J22+'DCA-Anexo I-F'!J145+'DCA-Anexo I-F'!J103</t>
  </si>
  <si>
    <t>'DCA-Anexo I-F'!B20=+'DCA-Anexo I-F'!B21+'DCA-Anexo I-F'!B235</t>
  </si>
  <si>
    <t>'DCA-Anexo I-F'!C20=+'DCA-Anexo I-F'!C21+'DCA-Anexo I-F'!C235</t>
  </si>
  <si>
    <t>'DCA-Anexo I-F'!D20=+'DCA-Anexo I-F'!D21+'DCA-Anexo I-F'!D235</t>
  </si>
  <si>
    <t>'DCA-Anexo I-F'!E20=+'DCA-Anexo I-F'!E21+'DCA-Anexo I-F'!E235</t>
  </si>
  <si>
    <t>'DCA-Anexo I-F'!F20=+'DCA-Anexo I-F'!F21+'DCA-Anexo I-F'!F235</t>
  </si>
  <si>
    <t>'DCA-Anexo I-F'!G20=+'DCA-Anexo I-F'!G21+'DCA-Anexo I-F'!G235</t>
  </si>
  <si>
    <t>'DCA-Anexo I-F'!H20=+'DCA-Anexo I-F'!H21+'DCA-Anexo I-F'!H235</t>
  </si>
  <si>
    <t>'DCA-Anexo I-F'!I20=+'DCA-Anexo I-F'!I21+'DCA-Anexo I-F'!I235</t>
  </si>
  <si>
    <t>'DCA-Anexo I-F'!J20=+'DCA-Anexo I-F'!J21+'DCA-Anexo I-F'!J235</t>
  </si>
  <si>
    <t>[DCA-Anexo I-G]</t>
  </si>
  <si>
    <t>'DCA-Anexo I-G'!B19=+'DCA-Anexo I-G'!B20+'DCA-Anexo I-G'!B25+'DCA-Anexo I-G'!B30+'DCA-Anexo I-G'!B35+'DCA-Anexo I-G'!B48+'DCA-Anexo I-G'!B54+'DCA-Anexo I-G'!B60+'DCA-Anexo I-G'!B65+'DCA-Anexo I-G'!B74+'DCA-Anexo I-G'!B81+'DCA-Anexo I-G'!B90+'DCA-Anexo I-G'!B97+'DCA-Anexo I-G'!B108+'DCA-Anexo I-G'!B113+'DCA-Anexo I-G'!B119+'DCA-Anexo I-G'!B125+'DCA-Anexo I-G'!B130+'DCA-Anexo I-G'!B135+'DCA-Anexo I-G'!B143+'DCA-Anexo I-G'!B149+'DCA-Anexo I-G'!B157+'DCA-Anexo I-G'!B162+'DCA-Anexo I-G'!B170+'DCA-Anexo I-G'!B178+'DCA-Anexo I-G'!B183+'DCA-Anexo I-G'!B190+'DCA-Anexo I-G'!B198+'DCA-Anexo I-G'!B204</t>
  </si>
  <si>
    <t>'DCA-Anexo I-G'!C19=+'DCA-Anexo I-G'!C20+'DCA-Anexo I-G'!C25+'DCA-Anexo I-G'!C30+'DCA-Anexo I-G'!C35+'DCA-Anexo I-G'!C48+'DCA-Anexo I-G'!C54+'DCA-Anexo I-G'!C60+'DCA-Anexo I-G'!C65+'DCA-Anexo I-G'!C74+'DCA-Anexo I-G'!C81+'DCA-Anexo I-G'!C90+'DCA-Anexo I-G'!C97+'DCA-Anexo I-G'!C108+'DCA-Anexo I-G'!C113+'DCA-Anexo I-G'!C119+'DCA-Anexo I-G'!C125+'DCA-Anexo I-G'!C130+'DCA-Anexo I-G'!C135+'DCA-Anexo I-G'!C143+'DCA-Anexo I-G'!C149+'DCA-Anexo I-G'!C157+'DCA-Anexo I-G'!C162+'DCA-Anexo I-G'!C170+'DCA-Anexo I-G'!C178+'DCA-Anexo I-G'!C183+'DCA-Anexo I-G'!C190+'DCA-Anexo I-G'!C198+'DCA-Anexo I-G'!C204</t>
  </si>
  <si>
    <t>'DCA-Anexo I-G'!D19=+'DCA-Anexo I-G'!D20+'DCA-Anexo I-G'!D25+'DCA-Anexo I-G'!D30+'DCA-Anexo I-G'!D35+'DCA-Anexo I-G'!D48+'DCA-Anexo I-G'!D54+'DCA-Anexo I-G'!D60+'DCA-Anexo I-G'!D65+'DCA-Anexo I-G'!D74+'DCA-Anexo I-G'!D81+'DCA-Anexo I-G'!D90+'DCA-Anexo I-G'!D97+'DCA-Anexo I-G'!D108+'DCA-Anexo I-G'!D113+'DCA-Anexo I-G'!D119+'DCA-Anexo I-G'!D125+'DCA-Anexo I-G'!D130+'DCA-Anexo I-G'!D135+'DCA-Anexo I-G'!D143+'DCA-Anexo I-G'!D149+'DCA-Anexo I-G'!D157+'DCA-Anexo I-G'!D162+'DCA-Anexo I-G'!D170+'DCA-Anexo I-G'!D178+'DCA-Anexo I-G'!D183+'DCA-Anexo I-G'!D190+'DCA-Anexo I-G'!D198+'DCA-Anexo I-G'!D204</t>
  </si>
  <si>
    <t>'DCA-Anexo I-G'!E19=+'DCA-Anexo I-G'!E20+'DCA-Anexo I-G'!E25+'DCA-Anexo I-G'!E30+'DCA-Anexo I-G'!E35+'DCA-Anexo I-G'!E48+'DCA-Anexo I-G'!E54+'DCA-Anexo I-G'!E60+'DCA-Anexo I-G'!E65+'DCA-Anexo I-G'!E74+'DCA-Anexo I-G'!E81+'DCA-Anexo I-G'!E90+'DCA-Anexo I-G'!E97+'DCA-Anexo I-G'!E108+'DCA-Anexo I-G'!E113+'DCA-Anexo I-G'!E119+'DCA-Anexo I-G'!E125+'DCA-Anexo I-G'!E130+'DCA-Anexo I-G'!E135+'DCA-Anexo I-G'!E143+'DCA-Anexo I-G'!E149+'DCA-Anexo I-G'!E157+'DCA-Anexo I-G'!E162+'DCA-Anexo I-G'!E170+'DCA-Anexo I-G'!E178+'DCA-Anexo I-G'!E183+'DCA-Anexo I-G'!E190+'DCA-Anexo I-G'!E198+'DCA-Anexo I-G'!E204</t>
  </si>
  <si>
    <t>'DCA-Anexo I-G'!F19=+'DCA-Anexo I-G'!F20+'DCA-Anexo I-G'!F25+'DCA-Anexo I-G'!F30+'DCA-Anexo I-G'!F35+'DCA-Anexo I-G'!F48+'DCA-Anexo I-G'!F54+'DCA-Anexo I-G'!F60+'DCA-Anexo I-G'!F65+'DCA-Anexo I-G'!F74+'DCA-Anexo I-G'!F81+'DCA-Anexo I-G'!F90+'DCA-Anexo I-G'!F97+'DCA-Anexo I-G'!F108+'DCA-Anexo I-G'!F113+'DCA-Anexo I-G'!F119+'DCA-Anexo I-G'!F125+'DCA-Anexo I-G'!F130+'DCA-Anexo I-G'!F135+'DCA-Anexo I-G'!F143+'DCA-Anexo I-G'!F149+'DCA-Anexo I-G'!F157+'DCA-Anexo I-G'!F162+'DCA-Anexo I-G'!F170+'DCA-Anexo I-G'!F178+'DCA-Anexo I-G'!F183+'DCA-Anexo I-G'!F190+'DCA-Anexo I-G'!F198+'DCA-Anexo I-G'!F204</t>
  </si>
  <si>
    <t>'DCA-Anexo I-G'!G19=+'DCA-Anexo I-G'!G20+'DCA-Anexo I-G'!G25+'DCA-Anexo I-G'!G30+'DCA-Anexo I-G'!G35+'DCA-Anexo I-G'!G48+'DCA-Anexo I-G'!G54+'DCA-Anexo I-G'!G60+'DCA-Anexo I-G'!G65+'DCA-Anexo I-G'!G74+'DCA-Anexo I-G'!G81+'DCA-Anexo I-G'!G90+'DCA-Anexo I-G'!G97+'DCA-Anexo I-G'!G108+'DCA-Anexo I-G'!G113+'DCA-Anexo I-G'!G119+'DCA-Anexo I-G'!G125+'DCA-Anexo I-G'!G130+'DCA-Anexo I-G'!G135+'DCA-Anexo I-G'!G143+'DCA-Anexo I-G'!G149+'DCA-Anexo I-G'!G157+'DCA-Anexo I-G'!G162+'DCA-Anexo I-G'!G170+'DCA-Anexo I-G'!G178+'DCA-Anexo I-G'!G183+'DCA-Anexo I-G'!G190+'DCA-Anexo I-G'!G198+'DCA-Anexo I-G'!G204</t>
  </si>
  <si>
    <t>'DCA-Anexo I-G'!H19=+'DCA-Anexo I-G'!H20+'DCA-Anexo I-G'!H25+'DCA-Anexo I-G'!H30+'DCA-Anexo I-G'!H35+'DCA-Anexo I-G'!H48+'DCA-Anexo I-G'!H54+'DCA-Anexo I-G'!H60+'DCA-Anexo I-G'!H65+'DCA-Anexo I-G'!H74+'DCA-Anexo I-G'!H81+'DCA-Anexo I-G'!H90+'DCA-Anexo I-G'!H97+'DCA-Anexo I-G'!H108+'DCA-Anexo I-G'!H113+'DCA-Anexo I-G'!H119+'DCA-Anexo I-G'!H125+'DCA-Anexo I-G'!H130+'DCA-Anexo I-G'!H135+'DCA-Anexo I-G'!H143+'DCA-Anexo I-G'!H149+'DCA-Anexo I-G'!H157+'DCA-Anexo I-G'!H162+'DCA-Anexo I-G'!H170+'DCA-Anexo I-G'!H178+'DCA-Anexo I-G'!H183+'DCA-Anexo I-G'!H190+'DCA-Anexo I-G'!H198+'DCA-Anexo I-G'!H204</t>
  </si>
  <si>
    <t>'DCA-Anexo I-G'!I19=+'DCA-Anexo I-G'!I20+'DCA-Anexo I-G'!I25+'DCA-Anexo I-G'!I30+'DCA-Anexo I-G'!I35+'DCA-Anexo I-G'!I48+'DCA-Anexo I-G'!I54+'DCA-Anexo I-G'!I60+'DCA-Anexo I-G'!I65+'DCA-Anexo I-G'!I74+'DCA-Anexo I-G'!I81+'DCA-Anexo I-G'!I90+'DCA-Anexo I-G'!I97+'DCA-Anexo I-G'!I108+'DCA-Anexo I-G'!I113+'DCA-Anexo I-G'!I119+'DCA-Anexo I-G'!I125+'DCA-Anexo I-G'!I130+'DCA-Anexo I-G'!I135+'DCA-Anexo I-G'!I143+'DCA-Anexo I-G'!I149+'DCA-Anexo I-G'!I157+'DCA-Anexo I-G'!I162+'DCA-Anexo I-G'!I170+'DCA-Anexo I-G'!I178+'DCA-Anexo I-G'!I183+'DCA-Anexo I-G'!I190+'DCA-Anexo I-G'!I198+'DCA-Anexo I-G'!I204</t>
  </si>
  <si>
    <t>'DCA-Anexo I-G'!J19=+'DCA-Anexo I-G'!J20+'DCA-Anexo I-G'!J25+'DCA-Anexo I-G'!J30+'DCA-Anexo I-G'!J35+'DCA-Anexo I-G'!J48+'DCA-Anexo I-G'!J54+'DCA-Anexo I-G'!J60+'DCA-Anexo I-G'!J65+'DCA-Anexo I-G'!J74+'DCA-Anexo I-G'!J81+'DCA-Anexo I-G'!J90+'DCA-Anexo I-G'!J97+'DCA-Anexo I-G'!J108+'DCA-Anexo I-G'!J113+'DCA-Anexo I-G'!J119+'DCA-Anexo I-G'!J125+'DCA-Anexo I-G'!J130+'DCA-Anexo I-G'!J135+'DCA-Anexo I-G'!J143+'DCA-Anexo I-G'!J149+'DCA-Anexo I-G'!J157+'DCA-Anexo I-G'!J162+'DCA-Anexo I-G'!J170+'DCA-Anexo I-G'!J178+'DCA-Anexo I-G'!J183+'DCA-Anexo I-G'!J190+'DCA-Anexo I-G'!J198+'DCA-Anexo I-G'!J204</t>
  </si>
  <si>
    <t>'DCA-Anexo I-G'!B20=+'DCA-Anexo I-G'!B21+'DCA-Anexo I-G'!B22+'DCA-Anexo I-G'!B24+'DCA-Anexo I-G'!B23</t>
  </si>
  <si>
    <t>'DCA-Anexo I-G'!C20=+'DCA-Anexo I-G'!C21+'DCA-Anexo I-G'!C22+'DCA-Anexo I-G'!C24+'DCA-Anexo I-G'!C23</t>
  </si>
  <si>
    <t>'DCA-Anexo I-G'!D20=+'DCA-Anexo I-G'!D21+'DCA-Anexo I-G'!D22+'DCA-Anexo I-G'!D24+'DCA-Anexo I-G'!D23</t>
  </si>
  <si>
    <t>'DCA-Anexo I-G'!E20=+'DCA-Anexo I-G'!E21+'DCA-Anexo I-G'!E22+'DCA-Anexo I-G'!E24+'DCA-Anexo I-G'!E23</t>
  </si>
  <si>
    <t>'DCA-Anexo I-G'!F20=+'DCA-Anexo I-G'!F21+'DCA-Anexo I-G'!F22+'DCA-Anexo I-G'!F24+'DCA-Anexo I-G'!F23</t>
  </si>
  <si>
    <t>'DCA-Anexo I-G'!G20=+'DCA-Anexo I-G'!G21+'DCA-Anexo I-G'!G22+'DCA-Anexo I-G'!G24+'DCA-Anexo I-G'!G23</t>
  </si>
  <si>
    <t>'DCA-Anexo I-G'!H20=+'DCA-Anexo I-G'!H21+'DCA-Anexo I-G'!H22+'DCA-Anexo I-G'!H24+'DCA-Anexo I-G'!H23</t>
  </si>
  <si>
    <t>'DCA-Anexo I-G'!I20=+'DCA-Anexo I-G'!I21+'DCA-Anexo I-G'!I22+'DCA-Anexo I-G'!I24+'DCA-Anexo I-G'!I23</t>
  </si>
  <si>
    <t>'DCA-Anexo I-G'!J20=+'DCA-Anexo I-G'!J21+'DCA-Anexo I-G'!J22+'DCA-Anexo I-G'!J24+'DCA-Anexo I-G'!J23</t>
  </si>
  <si>
    <t>'DCA-Anexo I-G'!B25=+'DCA-Anexo I-G'!B26+'DCA-Anexo I-G'!B27+'DCA-Anexo I-G'!B29+'DCA-Anexo I-G'!B28</t>
  </si>
  <si>
    <t>'DCA-Anexo I-G'!C25=+'DCA-Anexo I-G'!C26+'DCA-Anexo I-G'!C27+'DCA-Anexo I-G'!C29+'DCA-Anexo I-G'!C28</t>
  </si>
  <si>
    <t>'DCA-Anexo I-G'!D25=+'DCA-Anexo I-G'!D26+'DCA-Anexo I-G'!D27+'DCA-Anexo I-G'!D29+'DCA-Anexo I-G'!D28</t>
  </si>
  <si>
    <t>'DCA-Anexo I-G'!E25=+'DCA-Anexo I-G'!E26+'DCA-Anexo I-G'!E27+'DCA-Anexo I-G'!E29+'DCA-Anexo I-G'!E28</t>
  </si>
  <si>
    <t>'DCA-Anexo I-G'!F25=+'DCA-Anexo I-G'!F26+'DCA-Anexo I-G'!F27+'DCA-Anexo I-G'!F29+'DCA-Anexo I-G'!F28</t>
  </si>
  <si>
    <t>'DCA-Anexo I-G'!G25=+'DCA-Anexo I-G'!G26+'DCA-Anexo I-G'!G27+'DCA-Anexo I-G'!G29+'DCA-Anexo I-G'!G28</t>
  </si>
  <si>
    <t>'DCA-Anexo I-G'!H25=+'DCA-Anexo I-G'!H26+'DCA-Anexo I-G'!H27+'DCA-Anexo I-G'!H29+'DCA-Anexo I-G'!H28</t>
  </si>
  <si>
    <t>'DCA-Anexo I-G'!I25=+'DCA-Anexo I-G'!I26+'DCA-Anexo I-G'!I27+'DCA-Anexo I-G'!I29+'DCA-Anexo I-G'!I28</t>
  </si>
  <si>
    <t>'DCA-Anexo I-G'!J25=+'DCA-Anexo I-G'!J26+'DCA-Anexo I-G'!J27+'DCA-Anexo I-G'!J29+'DCA-Anexo I-G'!J28</t>
  </si>
  <si>
    <t>'DCA-Anexo I-G'!B30=+'DCA-Anexo I-G'!B31+'DCA-Anexo I-G'!B32+'DCA-Anexo I-G'!B34+'DCA-Anexo I-G'!B33</t>
  </si>
  <si>
    <t>'DCA-Anexo I-G'!C30=+'DCA-Anexo I-G'!C31+'DCA-Anexo I-G'!C32+'DCA-Anexo I-G'!C34+'DCA-Anexo I-G'!C33</t>
  </si>
  <si>
    <t>'DCA-Anexo I-G'!D30=+'DCA-Anexo I-G'!D31+'DCA-Anexo I-G'!D32+'DCA-Anexo I-G'!D34+'DCA-Anexo I-G'!D33</t>
  </si>
  <si>
    <t>'DCA-Anexo I-G'!E30=+'DCA-Anexo I-G'!E31+'DCA-Anexo I-G'!E32+'DCA-Anexo I-G'!E34+'DCA-Anexo I-G'!E33</t>
  </si>
  <si>
    <t>'DCA-Anexo I-G'!F30=+'DCA-Anexo I-G'!F31+'DCA-Anexo I-G'!F32+'DCA-Anexo I-G'!F34+'DCA-Anexo I-G'!F33</t>
  </si>
  <si>
    <t>'DCA-Anexo I-G'!G30=+'DCA-Anexo I-G'!G31+'DCA-Anexo I-G'!G32+'DCA-Anexo I-G'!G34+'DCA-Anexo I-G'!G33</t>
  </si>
  <si>
    <t>'DCA-Anexo I-G'!H30=+'DCA-Anexo I-G'!H31+'DCA-Anexo I-G'!H32+'DCA-Anexo I-G'!H34+'DCA-Anexo I-G'!H33</t>
  </si>
  <si>
    <t>'DCA-Anexo I-G'!I30=+'DCA-Anexo I-G'!I31+'DCA-Anexo I-G'!I32+'DCA-Anexo I-G'!I34+'DCA-Anexo I-G'!I33</t>
  </si>
  <si>
    <t>'DCA-Anexo I-G'!J30=+'DCA-Anexo I-G'!J31+'DCA-Anexo I-G'!J32+'DCA-Anexo I-G'!J34+'DCA-Anexo I-G'!J33</t>
  </si>
  <si>
    <t>'DCA-Anexo I-G'!B35=+'DCA-Anexo I-G'!B36+'DCA-Anexo I-G'!B37+'DCA-Anexo I-G'!B38+'DCA-Anexo I-G'!B39+'DCA-Anexo I-G'!B40+'DCA-Anexo I-G'!B41+'DCA-Anexo I-G'!B42+'DCA-Anexo I-G'!B43+'DCA-Anexo I-G'!B44+'DCA-Anexo I-G'!B45+'DCA-Anexo I-G'!B46+'DCA-Anexo I-G'!B47</t>
  </si>
  <si>
    <t>'DCA-Anexo I-G'!C35=+'DCA-Anexo I-G'!C36+'DCA-Anexo I-G'!C37+'DCA-Anexo I-G'!C38+'DCA-Anexo I-G'!C39+'DCA-Anexo I-G'!C40+'DCA-Anexo I-G'!C41+'DCA-Anexo I-G'!C42+'DCA-Anexo I-G'!C43+'DCA-Anexo I-G'!C44+'DCA-Anexo I-G'!C45+'DCA-Anexo I-G'!C46+'DCA-Anexo I-G'!C47</t>
  </si>
  <si>
    <t>'DCA-Anexo I-G'!D35=+'DCA-Anexo I-G'!D36+'DCA-Anexo I-G'!D37+'DCA-Anexo I-G'!D38+'DCA-Anexo I-G'!D39+'DCA-Anexo I-G'!D40+'DCA-Anexo I-G'!D41+'DCA-Anexo I-G'!D42+'DCA-Anexo I-G'!D43+'DCA-Anexo I-G'!D44+'DCA-Anexo I-G'!D45+'DCA-Anexo I-G'!D46+'DCA-Anexo I-G'!D47</t>
  </si>
  <si>
    <t>'DCA-Anexo I-G'!E35=+'DCA-Anexo I-G'!E36+'DCA-Anexo I-G'!E37+'DCA-Anexo I-G'!E38+'DCA-Anexo I-G'!E39+'DCA-Anexo I-G'!E40+'DCA-Anexo I-G'!E41+'DCA-Anexo I-G'!E42+'DCA-Anexo I-G'!E43+'DCA-Anexo I-G'!E44+'DCA-Anexo I-G'!E45+'DCA-Anexo I-G'!E46+'DCA-Anexo I-G'!E47</t>
  </si>
  <si>
    <t>'DCA-Anexo I-G'!F35=+'DCA-Anexo I-G'!F36+'DCA-Anexo I-G'!F37+'DCA-Anexo I-G'!F38+'DCA-Anexo I-G'!F39+'DCA-Anexo I-G'!F40+'DCA-Anexo I-G'!F41+'DCA-Anexo I-G'!F42+'DCA-Anexo I-G'!F43+'DCA-Anexo I-G'!F44+'DCA-Anexo I-G'!F45+'DCA-Anexo I-G'!F46+'DCA-Anexo I-G'!F47</t>
  </si>
  <si>
    <t>'DCA-Anexo I-G'!G35=+'DCA-Anexo I-G'!G36+'DCA-Anexo I-G'!G37+'DCA-Anexo I-G'!G38+'DCA-Anexo I-G'!G39+'DCA-Anexo I-G'!G40+'DCA-Anexo I-G'!G41+'DCA-Anexo I-G'!G42+'DCA-Anexo I-G'!G43+'DCA-Anexo I-G'!G44+'DCA-Anexo I-G'!G45+'DCA-Anexo I-G'!G46+'DCA-Anexo I-G'!G47</t>
  </si>
  <si>
    <t>'DCA-Anexo I-G'!H35=+'DCA-Anexo I-G'!H36+'DCA-Anexo I-G'!H37+'DCA-Anexo I-G'!H38+'DCA-Anexo I-G'!H39+'DCA-Anexo I-G'!H40+'DCA-Anexo I-G'!H41+'DCA-Anexo I-G'!H42+'DCA-Anexo I-G'!H43+'DCA-Anexo I-G'!H44+'DCA-Anexo I-G'!H45+'DCA-Anexo I-G'!H46+'DCA-Anexo I-G'!H47</t>
  </si>
  <si>
    <t>'DCA-Anexo I-G'!I35=+'DCA-Anexo I-G'!I36+'DCA-Anexo I-G'!I37+'DCA-Anexo I-G'!I38+'DCA-Anexo I-G'!I39+'DCA-Anexo I-G'!I40+'DCA-Anexo I-G'!I41+'DCA-Anexo I-G'!I42+'DCA-Anexo I-G'!I43+'DCA-Anexo I-G'!I44+'DCA-Anexo I-G'!I45+'DCA-Anexo I-G'!I46+'DCA-Anexo I-G'!I47</t>
  </si>
  <si>
    <t>'DCA-Anexo I-G'!J35=+'DCA-Anexo I-G'!J36+'DCA-Anexo I-G'!J37+'DCA-Anexo I-G'!J38+'DCA-Anexo I-G'!J39+'DCA-Anexo I-G'!J40+'DCA-Anexo I-G'!J41+'DCA-Anexo I-G'!J42+'DCA-Anexo I-G'!J43+'DCA-Anexo I-G'!J44+'DCA-Anexo I-G'!J45+'DCA-Anexo I-G'!J46+'DCA-Anexo I-G'!J47</t>
  </si>
  <si>
    <t>'DCA-Anexo I-G'!B48=+'DCA-Anexo I-G'!B49+'DCA-Anexo I-G'!B50+'DCA-Anexo I-G'!B51+'DCA-Anexo I-G'!B53+'DCA-Anexo I-G'!B52</t>
  </si>
  <si>
    <t>'DCA-Anexo I-G'!C48=+'DCA-Anexo I-G'!C49+'DCA-Anexo I-G'!C50+'DCA-Anexo I-G'!C51+'DCA-Anexo I-G'!C53+'DCA-Anexo I-G'!C52</t>
  </si>
  <si>
    <t>'DCA-Anexo I-G'!D48=+'DCA-Anexo I-G'!D49+'DCA-Anexo I-G'!D50+'DCA-Anexo I-G'!D51+'DCA-Anexo I-G'!D53+'DCA-Anexo I-G'!D52</t>
  </si>
  <si>
    <t>'DCA-Anexo I-G'!E48=+'DCA-Anexo I-G'!E49+'DCA-Anexo I-G'!E50+'DCA-Anexo I-G'!E51+'DCA-Anexo I-G'!E53+'DCA-Anexo I-G'!E52</t>
  </si>
  <si>
    <t>'DCA-Anexo I-G'!F48=+'DCA-Anexo I-G'!F49+'DCA-Anexo I-G'!F50+'DCA-Anexo I-G'!F51+'DCA-Anexo I-G'!F53+'DCA-Anexo I-G'!F52</t>
  </si>
  <si>
    <t>'DCA-Anexo I-G'!G48=+'DCA-Anexo I-G'!G49+'DCA-Anexo I-G'!G50+'DCA-Anexo I-G'!G51+'DCA-Anexo I-G'!G53+'DCA-Anexo I-G'!G52</t>
  </si>
  <si>
    <t>'DCA-Anexo I-G'!H48=+'DCA-Anexo I-G'!H49+'DCA-Anexo I-G'!H50+'DCA-Anexo I-G'!H51+'DCA-Anexo I-G'!H53+'DCA-Anexo I-G'!H52</t>
  </si>
  <si>
    <t>'DCA-Anexo I-G'!I48=+'DCA-Anexo I-G'!I49+'DCA-Anexo I-G'!I50+'DCA-Anexo I-G'!I51+'DCA-Anexo I-G'!I53+'DCA-Anexo I-G'!I52</t>
  </si>
  <si>
    <t>'DCA-Anexo I-G'!J48=+'DCA-Anexo I-G'!J49+'DCA-Anexo I-G'!J50+'DCA-Anexo I-G'!J51+'DCA-Anexo I-G'!J53+'DCA-Anexo I-G'!J52</t>
  </si>
  <si>
    <t>'DCA-Anexo I-G'!B54=+'DCA-Anexo I-G'!B55+'DCA-Anexo I-G'!B56+'DCA-Anexo I-G'!B57+'DCA-Anexo I-G'!B59+'DCA-Anexo I-G'!B58</t>
  </si>
  <si>
    <t>'DCA-Anexo I-G'!C54=+'DCA-Anexo I-G'!C55+'DCA-Anexo I-G'!C56+'DCA-Anexo I-G'!C57+'DCA-Anexo I-G'!C59+'DCA-Anexo I-G'!C58</t>
  </si>
  <si>
    <t>'DCA-Anexo I-G'!D54=+'DCA-Anexo I-G'!D55+'DCA-Anexo I-G'!D56+'DCA-Anexo I-G'!D57+'DCA-Anexo I-G'!D59+'DCA-Anexo I-G'!D58</t>
  </si>
  <si>
    <t>'DCA-Anexo I-G'!E54=+'DCA-Anexo I-G'!E55+'DCA-Anexo I-G'!E56+'DCA-Anexo I-G'!E57+'DCA-Anexo I-G'!E59+'DCA-Anexo I-G'!E58</t>
  </si>
  <si>
    <t>'DCA-Anexo I-G'!F54=+'DCA-Anexo I-G'!F55+'DCA-Anexo I-G'!F56+'DCA-Anexo I-G'!F57+'DCA-Anexo I-G'!F59+'DCA-Anexo I-G'!F58</t>
  </si>
  <si>
    <t>'DCA-Anexo I-G'!G54=+'DCA-Anexo I-G'!G55+'DCA-Anexo I-G'!G56+'DCA-Anexo I-G'!G57+'DCA-Anexo I-G'!G59+'DCA-Anexo I-G'!G58</t>
  </si>
  <si>
    <t>'DCA-Anexo I-G'!H54=+'DCA-Anexo I-G'!H55+'DCA-Anexo I-G'!H56+'DCA-Anexo I-G'!H57+'DCA-Anexo I-G'!H59+'DCA-Anexo I-G'!H58</t>
  </si>
  <si>
    <t>'DCA-Anexo I-G'!I54=+'DCA-Anexo I-G'!I55+'DCA-Anexo I-G'!I56+'DCA-Anexo I-G'!I57+'DCA-Anexo I-G'!I59+'DCA-Anexo I-G'!I58</t>
  </si>
  <si>
    <t>'DCA-Anexo I-G'!J54=+'DCA-Anexo I-G'!J55+'DCA-Anexo I-G'!J56+'DCA-Anexo I-G'!J57+'DCA-Anexo I-G'!J59+'DCA-Anexo I-G'!J58</t>
  </si>
  <si>
    <t>'DCA-Anexo I-G'!B60=+'DCA-Anexo I-G'!B61+'DCA-Anexo I-G'!B62+'DCA-Anexo I-G'!B64+'DCA-Anexo I-G'!B63</t>
  </si>
  <si>
    <t>'DCA-Anexo I-G'!C60=+'DCA-Anexo I-G'!C61+'DCA-Anexo I-G'!C62+'DCA-Anexo I-G'!C64+'DCA-Anexo I-G'!C63</t>
  </si>
  <si>
    <t>'DCA-Anexo I-G'!D60=+'DCA-Anexo I-G'!D61+'DCA-Anexo I-G'!D62+'DCA-Anexo I-G'!D64+'DCA-Anexo I-G'!D63</t>
  </si>
  <si>
    <t>'DCA-Anexo I-G'!E60=+'DCA-Anexo I-G'!E61+'DCA-Anexo I-G'!E62+'DCA-Anexo I-G'!E64+'DCA-Anexo I-G'!E63</t>
  </si>
  <si>
    <t>'DCA-Anexo I-G'!F60=+'DCA-Anexo I-G'!F61+'DCA-Anexo I-G'!F62+'DCA-Anexo I-G'!F64+'DCA-Anexo I-G'!F63</t>
  </si>
  <si>
    <t>'DCA-Anexo I-G'!G60=+'DCA-Anexo I-G'!G61+'DCA-Anexo I-G'!G62+'DCA-Anexo I-G'!G64+'DCA-Anexo I-G'!G63</t>
  </si>
  <si>
    <t>'DCA-Anexo I-G'!H60=+'DCA-Anexo I-G'!H61+'DCA-Anexo I-G'!H62+'DCA-Anexo I-G'!H64+'DCA-Anexo I-G'!H63</t>
  </si>
  <si>
    <t>'DCA-Anexo I-G'!I60=+'DCA-Anexo I-G'!I61+'DCA-Anexo I-G'!I62+'DCA-Anexo I-G'!I64+'DCA-Anexo I-G'!I63</t>
  </si>
  <si>
    <t>'DCA-Anexo I-G'!J60=+'DCA-Anexo I-G'!J61+'DCA-Anexo I-G'!J62+'DCA-Anexo I-G'!J64+'DCA-Anexo I-G'!J63</t>
  </si>
  <si>
    <t>'DCA-Anexo I-G'!B65=+'DCA-Anexo I-G'!B66+'DCA-Anexo I-G'!B67+'DCA-Anexo I-G'!B68+'DCA-Anexo I-G'!B69+'DCA-Anexo I-G'!B73+'DCA-Anexo I-G'!B72+'DCA-Anexo I-G'!B70+'DCA-Anexo I-G'!B71</t>
  </si>
  <si>
    <t>'DCA-Anexo I-G'!C65=+'DCA-Anexo I-G'!C66+'DCA-Anexo I-G'!C67+'DCA-Anexo I-G'!C68+'DCA-Anexo I-G'!C69+'DCA-Anexo I-G'!C73+'DCA-Anexo I-G'!C72+'DCA-Anexo I-G'!C70+'DCA-Anexo I-G'!C71</t>
  </si>
  <si>
    <t>'DCA-Anexo I-G'!D65=+'DCA-Anexo I-G'!D66+'DCA-Anexo I-G'!D67+'DCA-Anexo I-G'!D68+'DCA-Anexo I-G'!D69+'DCA-Anexo I-G'!D73+'DCA-Anexo I-G'!D72+'DCA-Anexo I-G'!D70+'DCA-Anexo I-G'!D71</t>
  </si>
  <si>
    <t>'DCA-Anexo I-G'!E65=+'DCA-Anexo I-G'!E66+'DCA-Anexo I-G'!E67+'DCA-Anexo I-G'!E68+'DCA-Anexo I-G'!E69+'DCA-Anexo I-G'!E73+'DCA-Anexo I-G'!E72+'DCA-Anexo I-G'!E70+'DCA-Anexo I-G'!E71</t>
  </si>
  <si>
    <t>'DCA-Anexo I-G'!F65=+'DCA-Anexo I-G'!F66+'DCA-Anexo I-G'!F67+'DCA-Anexo I-G'!F68+'DCA-Anexo I-G'!F69+'DCA-Anexo I-G'!F73+'DCA-Anexo I-G'!F72+'DCA-Anexo I-G'!F70+'DCA-Anexo I-G'!F71</t>
  </si>
  <si>
    <t>'DCA-Anexo I-G'!G65=+'DCA-Anexo I-G'!G66+'DCA-Anexo I-G'!G67+'DCA-Anexo I-G'!G68+'DCA-Anexo I-G'!G69+'DCA-Anexo I-G'!G73+'DCA-Anexo I-G'!G72+'DCA-Anexo I-G'!G70+'DCA-Anexo I-G'!G71</t>
  </si>
  <si>
    <t>'DCA-Anexo I-G'!H65=+'DCA-Anexo I-G'!H66+'DCA-Anexo I-G'!H67+'DCA-Anexo I-G'!H68+'DCA-Anexo I-G'!H69+'DCA-Anexo I-G'!H73+'DCA-Anexo I-G'!H72+'DCA-Anexo I-G'!H70+'DCA-Anexo I-G'!H71</t>
  </si>
  <si>
    <t>'DCA-Anexo I-G'!I65=+'DCA-Anexo I-G'!I66+'DCA-Anexo I-G'!I67+'DCA-Anexo I-G'!I68+'DCA-Anexo I-G'!I69+'DCA-Anexo I-G'!I73+'DCA-Anexo I-G'!I72+'DCA-Anexo I-G'!I70+'DCA-Anexo I-G'!I71</t>
  </si>
  <si>
    <t>'DCA-Anexo I-G'!J65=+'DCA-Anexo I-G'!J66+'DCA-Anexo I-G'!J67+'DCA-Anexo I-G'!J68+'DCA-Anexo I-G'!J69+'DCA-Anexo I-G'!J73+'DCA-Anexo I-G'!J72+'DCA-Anexo I-G'!J70+'DCA-Anexo I-G'!J71</t>
  </si>
  <si>
    <t>'DCA-Anexo I-G'!B74=+'DCA-Anexo I-G'!B75+'DCA-Anexo I-G'!B76+'DCA-Anexo I-G'!B77+'DCA-Anexo I-G'!B78+'DCA-Anexo I-G'!B80+'DCA-Anexo I-G'!B79</t>
  </si>
  <si>
    <t>'DCA-Anexo I-G'!C74=+'DCA-Anexo I-G'!C75+'DCA-Anexo I-G'!C76+'DCA-Anexo I-G'!C77+'DCA-Anexo I-G'!C78+'DCA-Anexo I-G'!C80+'DCA-Anexo I-G'!C79</t>
  </si>
  <si>
    <t>'DCA-Anexo I-G'!D74=+'DCA-Anexo I-G'!D75+'DCA-Anexo I-G'!D76+'DCA-Anexo I-G'!D77+'DCA-Anexo I-G'!D78+'DCA-Anexo I-G'!D80+'DCA-Anexo I-G'!D79</t>
  </si>
  <si>
    <t>'DCA-Anexo I-G'!E74=+'DCA-Anexo I-G'!E75+'DCA-Anexo I-G'!E76+'DCA-Anexo I-G'!E77+'DCA-Anexo I-G'!E78+'DCA-Anexo I-G'!E80+'DCA-Anexo I-G'!E79</t>
  </si>
  <si>
    <t>'DCA-Anexo I-G'!F74=+'DCA-Anexo I-G'!F75+'DCA-Anexo I-G'!F76+'DCA-Anexo I-G'!F77+'DCA-Anexo I-G'!F78+'DCA-Anexo I-G'!F80+'DCA-Anexo I-G'!F79</t>
  </si>
  <si>
    <t>'DCA-Anexo I-G'!G74=+'DCA-Anexo I-G'!G75+'DCA-Anexo I-G'!G76+'DCA-Anexo I-G'!G77+'DCA-Anexo I-G'!G78+'DCA-Anexo I-G'!G80+'DCA-Anexo I-G'!G79</t>
  </si>
  <si>
    <t>'DCA-Anexo I-G'!H74=+'DCA-Anexo I-G'!H75+'DCA-Anexo I-G'!H76+'DCA-Anexo I-G'!H77+'DCA-Anexo I-G'!H78+'DCA-Anexo I-G'!H80+'DCA-Anexo I-G'!H79</t>
  </si>
  <si>
    <t>'DCA-Anexo I-G'!I74=+'DCA-Anexo I-G'!I75+'DCA-Anexo I-G'!I76+'DCA-Anexo I-G'!I77+'DCA-Anexo I-G'!I78+'DCA-Anexo I-G'!I80+'DCA-Anexo I-G'!I79</t>
  </si>
  <si>
    <t>'DCA-Anexo I-G'!J74=+'DCA-Anexo I-G'!J75+'DCA-Anexo I-G'!J76+'DCA-Anexo I-G'!J77+'DCA-Anexo I-G'!J78+'DCA-Anexo I-G'!J80+'DCA-Anexo I-G'!J79</t>
  </si>
  <si>
    <t>'DCA-Anexo I-G'!B81=+'DCA-Anexo I-G'!B82+'DCA-Anexo I-G'!B83+'DCA-Anexo I-G'!B84+'DCA-Anexo I-G'!B85+'DCA-Anexo I-G'!B86+'DCA-Anexo I-G'!B87+'DCA-Anexo I-G'!B89+'DCA-Anexo I-G'!B88</t>
  </si>
  <si>
    <t>'DCA-Anexo I-G'!C81=+'DCA-Anexo I-G'!C82+'DCA-Anexo I-G'!C83+'DCA-Anexo I-G'!C84+'DCA-Anexo I-G'!C85+'DCA-Anexo I-G'!C86+'DCA-Anexo I-G'!C87+'DCA-Anexo I-G'!C89+'DCA-Anexo I-G'!C88</t>
  </si>
  <si>
    <t>'DCA-Anexo I-G'!D81=+'DCA-Anexo I-G'!D82+'DCA-Anexo I-G'!D83+'DCA-Anexo I-G'!D84+'DCA-Anexo I-G'!D85+'DCA-Anexo I-G'!D86+'DCA-Anexo I-G'!D87+'DCA-Anexo I-G'!D89+'DCA-Anexo I-G'!D88</t>
  </si>
  <si>
    <t>'DCA-Anexo I-G'!E81=+'DCA-Anexo I-G'!E82+'DCA-Anexo I-G'!E83+'DCA-Anexo I-G'!E84+'DCA-Anexo I-G'!E85+'DCA-Anexo I-G'!E86+'DCA-Anexo I-G'!E87+'DCA-Anexo I-G'!E89+'DCA-Anexo I-G'!E88</t>
  </si>
  <si>
    <t>'DCA-Anexo I-G'!F81=+'DCA-Anexo I-G'!F82+'DCA-Anexo I-G'!F83+'DCA-Anexo I-G'!F84+'DCA-Anexo I-G'!F85+'DCA-Anexo I-G'!F86+'DCA-Anexo I-G'!F87+'DCA-Anexo I-G'!F89+'DCA-Anexo I-G'!F88</t>
  </si>
  <si>
    <t>'DCA-Anexo I-G'!G81=+'DCA-Anexo I-G'!G82+'DCA-Anexo I-G'!G83+'DCA-Anexo I-G'!G84+'DCA-Anexo I-G'!G85+'DCA-Anexo I-G'!G86+'DCA-Anexo I-G'!G87+'DCA-Anexo I-G'!G89+'DCA-Anexo I-G'!G88</t>
  </si>
  <si>
    <t>'DCA-Anexo I-G'!H81=+'DCA-Anexo I-G'!H82+'DCA-Anexo I-G'!H83+'DCA-Anexo I-G'!H84+'DCA-Anexo I-G'!H85+'DCA-Anexo I-G'!H86+'DCA-Anexo I-G'!H87+'DCA-Anexo I-G'!H89+'DCA-Anexo I-G'!H88</t>
  </si>
  <si>
    <t>'DCA-Anexo I-G'!I81=+'DCA-Anexo I-G'!I82+'DCA-Anexo I-G'!I83+'DCA-Anexo I-G'!I84+'DCA-Anexo I-G'!I85+'DCA-Anexo I-G'!I86+'DCA-Anexo I-G'!I87+'DCA-Anexo I-G'!I89+'DCA-Anexo I-G'!I88</t>
  </si>
  <si>
    <t>'DCA-Anexo I-G'!J81=+'DCA-Anexo I-G'!J82+'DCA-Anexo I-G'!J83+'DCA-Anexo I-G'!J84+'DCA-Anexo I-G'!J85+'DCA-Anexo I-G'!J86+'DCA-Anexo I-G'!J87+'DCA-Anexo I-G'!J89+'DCA-Anexo I-G'!J88</t>
  </si>
  <si>
    <t>'DCA-Anexo I-G'!B90=+'DCA-Anexo I-G'!B91+'DCA-Anexo I-G'!B92+'DCA-Anexo I-G'!B93+'DCA-Anexo I-G'!B94+'DCA-Anexo I-G'!B96+'DCA-Anexo I-G'!B95</t>
  </si>
  <si>
    <t>'DCA-Anexo I-G'!C90=+'DCA-Anexo I-G'!C91+'DCA-Anexo I-G'!C92+'DCA-Anexo I-G'!C93+'DCA-Anexo I-G'!C94+'DCA-Anexo I-G'!C96+'DCA-Anexo I-G'!C95</t>
  </si>
  <si>
    <t>'DCA-Anexo I-G'!D90=+'DCA-Anexo I-G'!D91+'DCA-Anexo I-G'!D92+'DCA-Anexo I-G'!D93+'DCA-Anexo I-G'!D94+'DCA-Anexo I-G'!D96+'DCA-Anexo I-G'!D95</t>
  </si>
  <si>
    <t>'DCA-Anexo I-G'!E90=+'DCA-Anexo I-G'!E91+'DCA-Anexo I-G'!E92+'DCA-Anexo I-G'!E93+'DCA-Anexo I-G'!E94+'DCA-Anexo I-G'!E96+'DCA-Anexo I-G'!E95</t>
  </si>
  <si>
    <t>'DCA-Anexo I-G'!F90=+'DCA-Anexo I-G'!F91+'DCA-Anexo I-G'!F92+'DCA-Anexo I-G'!F93+'DCA-Anexo I-G'!F94+'DCA-Anexo I-G'!F96+'DCA-Anexo I-G'!F95</t>
  </si>
  <si>
    <t>'DCA-Anexo I-G'!G90=+'DCA-Anexo I-G'!G91+'DCA-Anexo I-G'!G92+'DCA-Anexo I-G'!G93+'DCA-Anexo I-G'!G94+'DCA-Anexo I-G'!G96+'DCA-Anexo I-G'!G95</t>
  </si>
  <si>
    <t>'DCA-Anexo I-G'!H90=+'DCA-Anexo I-G'!H91+'DCA-Anexo I-G'!H92+'DCA-Anexo I-G'!H93+'DCA-Anexo I-G'!H94+'DCA-Anexo I-G'!H96+'DCA-Anexo I-G'!H95</t>
  </si>
  <si>
    <t>'DCA-Anexo I-G'!I90=+'DCA-Anexo I-G'!I91+'DCA-Anexo I-G'!I92+'DCA-Anexo I-G'!I93+'DCA-Anexo I-G'!I94+'DCA-Anexo I-G'!I96+'DCA-Anexo I-G'!I95</t>
  </si>
  <si>
    <t>'DCA-Anexo I-G'!J90=+'DCA-Anexo I-G'!J91+'DCA-Anexo I-G'!J92+'DCA-Anexo I-G'!J93+'DCA-Anexo I-G'!J94+'DCA-Anexo I-G'!J96+'DCA-Anexo I-G'!J95</t>
  </si>
  <si>
    <t>'DCA-Anexo I-G'!B97=+'DCA-Anexo I-G'!B98+'DCA-Anexo I-G'!B99+'DCA-Anexo I-G'!B100+'DCA-Anexo I-G'!B101+'DCA-Anexo I-G'!B102+'DCA-Anexo I-G'!B103+'DCA-Anexo I-G'!B104+'DCA-Anexo I-G'!B105+'DCA-Anexo I-G'!B107+'DCA-Anexo I-G'!B106</t>
  </si>
  <si>
    <t>'DCA-Anexo I-G'!C97=+'DCA-Anexo I-G'!C98+'DCA-Anexo I-G'!C99+'DCA-Anexo I-G'!C100+'DCA-Anexo I-G'!C101+'DCA-Anexo I-G'!C102+'DCA-Anexo I-G'!C103+'DCA-Anexo I-G'!C104+'DCA-Anexo I-G'!C105+'DCA-Anexo I-G'!C107+'DCA-Anexo I-G'!C106</t>
  </si>
  <si>
    <t>'DCA-Anexo I-G'!D97=+'DCA-Anexo I-G'!D98+'DCA-Anexo I-G'!D99+'DCA-Anexo I-G'!D100+'DCA-Anexo I-G'!D101+'DCA-Anexo I-G'!D102+'DCA-Anexo I-G'!D103+'DCA-Anexo I-G'!D104+'DCA-Anexo I-G'!D105+'DCA-Anexo I-G'!D107+'DCA-Anexo I-G'!D106</t>
  </si>
  <si>
    <t>'DCA-Anexo I-G'!E97=+'DCA-Anexo I-G'!E98+'DCA-Anexo I-G'!E99+'DCA-Anexo I-G'!E100+'DCA-Anexo I-G'!E101+'DCA-Anexo I-G'!E102+'DCA-Anexo I-G'!E103+'DCA-Anexo I-G'!E104+'DCA-Anexo I-G'!E105+'DCA-Anexo I-G'!E107+'DCA-Anexo I-G'!E106</t>
  </si>
  <si>
    <t>'DCA-Anexo I-G'!F97=+'DCA-Anexo I-G'!F98+'DCA-Anexo I-G'!F99+'DCA-Anexo I-G'!F100+'DCA-Anexo I-G'!F101+'DCA-Anexo I-G'!F102+'DCA-Anexo I-G'!F103+'DCA-Anexo I-G'!F104+'DCA-Anexo I-G'!F105+'DCA-Anexo I-G'!F107+'DCA-Anexo I-G'!F106</t>
  </si>
  <si>
    <t>'DCA-Anexo I-G'!G97=+'DCA-Anexo I-G'!G98+'DCA-Anexo I-G'!G99+'DCA-Anexo I-G'!G100+'DCA-Anexo I-G'!G101+'DCA-Anexo I-G'!G102+'DCA-Anexo I-G'!G103+'DCA-Anexo I-G'!G104+'DCA-Anexo I-G'!G105+'DCA-Anexo I-G'!G107+'DCA-Anexo I-G'!G106</t>
  </si>
  <si>
    <t>'DCA-Anexo I-G'!H97=+'DCA-Anexo I-G'!H98+'DCA-Anexo I-G'!H99+'DCA-Anexo I-G'!H100+'DCA-Anexo I-G'!H101+'DCA-Anexo I-G'!H102+'DCA-Anexo I-G'!H103+'DCA-Anexo I-G'!H104+'DCA-Anexo I-G'!H105+'DCA-Anexo I-G'!H107+'DCA-Anexo I-G'!H106</t>
  </si>
  <si>
    <t>'DCA-Anexo I-G'!I97=+'DCA-Anexo I-G'!I98+'DCA-Anexo I-G'!I99+'DCA-Anexo I-G'!I100+'DCA-Anexo I-G'!I101+'DCA-Anexo I-G'!I102+'DCA-Anexo I-G'!I103+'DCA-Anexo I-G'!I104+'DCA-Anexo I-G'!I105+'DCA-Anexo I-G'!I107+'DCA-Anexo I-G'!I106</t>
  </si>
  <si>
    <t>'DCA-Anexo I-G'!J97=+'DCA-Anexo I-G'!J98+'DCA-Anexo I-G'!J99+'DCA-Anexo I-G'!J100+'DCA-Anexo I-G'!J101+'DCA-Anexo I-G'!J102+'DCA-Anexo I-G'!J103+'DCA-Anexo I-G'!J104+'DCA-Anexo I-G'!J105+'DCA-Anexo I-G'!J107+'DCA-Anexo I-G'!J106</t>
  </si>
  <si>
    <t>'DCA-Anexo I-G'!B108=+'DCA-Anexo I-G'!B109+'DCA-Anexo I-G'!B110+'DCA-Anexo I-G'!B112+'DCA-Anexo I-G'!B111</t>
  </si>
  <si>
    <t>'DCA-Anexo I-G'!C108=+'DCA-Anexo I-G'!C109+'DCA-Anexo I-G'!C110+'DCA-Anexo I-G'!C112+'DCA-Anexo I-G'!C111</t>
  </si>
  <si>
    <t>'DCA-Anexo I-G'!D108=+'DCA-Anexo I-G'!D109+'DCA-Anexo I-G'!D110+'DCA-Anexo I-G'!D112+'DCA-Anexo I-G'!D111</t>
  </si>
  <si>
    <t>'DCA-Anexo I-G'!E108=+'DCA-Anexo I-G'!E109+'DCA-Anexo I-G'!E110+'DCA-Anexo I-G'!E112+'DCA-Anexo I-G'!E111</t>
  </si>
  <si>
    <t>'DCA-Anexo I-G'!F108=+'DCA-Anexo I-G'!F109+'DCA-Anexo I-G'!F110+'DCA-Anexo I-G'!F112+'DCA-Anexo I-G'!F111</t>
  </si>
  <si>
    <t>'DCA-Anexo I-G'!G108=+'DCA-Anexo I-G'!G109+'DCA-Anexo I-G'!G110+'DCA-Anexo I-G'!G112+'DCA-Anexo I-G'!G111</t>
  </si>
  <si>
    <t>'DCA-Anexo I-G'!H108=+'DCA-Anexo I-G'!H109+'DCA-Anexo I-G'!H110+'DCA-Anexo I-G'!H112+'DCA-Anexo I-G'!H111</t>
  </si>
  <si>
    <t>'DCA-Anexo I-G'!I108=+'DCA-Anexo I-G'!I109+'DCA-Anexo I-G'!I110+'DCA-Anexo I-G'!I112+'DCA-Anexo I-G'!I111</t>
  </si>
  <si>
    <t>'DCA-Anexo I-G'!J108=+'DCA-Anexo I-G'!J109+'DCA-Anexo I-G'!J110+'DCA-Anexo I-G'!J112+'DCA-Anexo I-G'!J111</t>
  </si>
  <si>
    <t>'DCA-Anexo I-G'!B113=+'DCA-Anexo I-G'!B114+'DCA-Anexo I-G'!B115+'DCA-Anexo I-G'!B116+'DCA-Anexo I-G'!B118+'DCA-Anexo I-G'!B117</t>
  </si>
  <si>
    <t>'DCA-Anexo I-G'!C113=+'DCA-Anexo I-G'!C114+'DCA-Anexo I-G'!C115+'DCA-Anexo I-G'!C116+'DCA-Anexo I-G'!C118+'DCA-Anexo I-G'!C117</t>
  </si>
  <si>
    <t>'DCA-Anexo I-G'!D113=+'DCA-Anexo I-G'!D114+'DCA-Anexo I-G'!D115+'DCA-Anexo I-G'!D116+'DCA-Anexo I-G'!D118+'DCA-Anexo I-G'!D117</t>
  </si>
  <si>
    <t>'DCA-Anexo I-G'!E113=+'DCA-Anexo I-G'!E114+'DCA-Anexo I-G'!E115+'DCA-Anexo I-G'!E116+'DCA-Anexo I-G'!E118+'DCA-Anexo I-G'!E117</t>
  </si>
  <si>
    <t>'DCA-Anexo I-G'!F113=+'DCA-Anexo I-G'!F114+'DCA-Anexo I-G'!F115+'DCA-Anexo I-G'!F116+'DCA-Anexo I-G'!F118+'DCA-Anexo I-G'!F117</t>
  </si>
  <si>
    <t>'DCA-Anexo I-G'!G113=+'DCA-Anexo I-G'!G114+'DCA-Anexo I-G'!G115+'DCA-Anexo I-G'!G116+'DCA-Anexo I-G'!G118+'DCA-Anexo I-G'!G117</t>
  </si>
  <si>
    <t>'DCA-Anexo I-G'!H113=+'DCA-Anexo I-G'!H114+'DCA-Anexo I-G'!H115+'DCA-Anexo I-G'!H116+'DCA-Anexo I-G'!H118+'DCA-Anexo I-G'!H117</t>
  </si>
  <si>
    <t>'DCA-Anexo I-G'!I113=+'DCA-Anexo I-G'!I114+'DCA-Anexo I-G'!I115+'DCA-Anexo I-G'!I116+'DCA-Anexo I-G'!I118+'DCA-Anexo I-G'!I117</t>
  </si>
  <si>
    <t>'DCA-Anexo I-G'!J113=+'DCA-Anexo I-G'!J114+'DCA-Anexo I-G'!J115+'DCA-Anexo I-G'!J116+'DCA-Anexo I-G'!J118+'DCA-Anexo I-G'!J117</t>
  </si>
  <si>
    <t>'DCA-Anexo I-G'!B119=+'DCA-Anexo I-G'!B120+'DCA-Anexo I-G'!B121+'DCA-Anexo I-G'!B122+'DCA-Anexo I-G'!B124+'DCA-Anexo I-G'!B123</t>
  </si>
  <si>
    <t>'DCA-Anexo I-G'!C119=+'DCA-Anexo I-G'!C120+'DCA-Anexo I-G'!C121+'DCA-Anexo I-G'!C122+'DCA-Anexo I-G'!C124+'DCA-Anexo I-G'!C123</t>
  </si>
  <si>
    <t>'DCA-Anexo I-G'!D119=+'DCA-Anexo I-G'!D120+'DCA-Anexo I-G'!D121+'DCA-Anexo I-G'!D122+'DCA-Anexo I-G'!D124+'DCA-Anexo I-G'!D123</t>
  </si>
  <si>
    <t>'DCA-Anexo I-G'!E119=+'DCA-Anexo I-G'!E120+'DCA-Anexo I-G'!E121+'DCA-Anexo I-G'!E122+'DCA-Anexo I-G'!E124+'DCA-Anexo I-G'!E123</t>
  </si>
  <si>
    <t>'DCA-Anexo I-G'!F119=+'DCA-Anexo I-G'!F120+'DCA-Anexo I-G'!F121+'DCA-Anexo I-G'!F122+'DCA-Anexo I-G'!F124+'DCA-Anexo I-G'!F123</t>
  </si>
  <si>
    <t>'DCA-Anexo I-G'!G119=+'DCA-Anexo I-G'!G120+'DCA-Anexo I-G'!G121+'DCA-Anexo I-G'!G122+'DCA-Anexo I-G'!G124+'DCA-Anexo I-G'!G123</t>
  </si>
  <si>
    <t>'DCA-Anexo I-G'!H119=+'DCA-Anexo I-G'!H120+'DCA-Anexo I-G'!H121+'DCA-Anexo I-G'!H122+'DCA-Anexo I-G'!H124+'DCA-Anexo I-G'!H123</t>
  </si>
  <si>
    <t>'DCA-Anexo I-G'!I119=+'DCA-Anexo I-G'!I120+'DCA-Anexo I-G'!I121+'DCA-Anexo I-G'!I122+'DCA-Anexo I-G'!I124+'DCA-Anexo I-G'!I123</t>
  </si>
  <si>
    <t>'DCA-Anexo I-G'!J119=+'DCA-Anexo I-G'!J120+'DCA-Anexo I-G'!J121+'DCA-Anexo I-G'!J122+'DCA-Anexo I-G'!J124+'DCA-Anexo I-G'!J123</t>
  </si>
  <si>
    <t>'DCA-Anexo I-G'!B125=+'DCA-Anexo I-G'!B126+'DCA-Anexo I-G'!B127+'DCA-Anexo I-G'!B129+'DCA-Anexo I-G'!B128</t>
  </si>
  <si>
    <t>'DCA-Anexo I-G'!C125=+'DCA-Anexo I-G'!C126+'DCA-Anexo I-G'!C127+'DCA-Anexo I-G'!C129+'DCA-Anexo I-G'!C128</t>
  </si>
  <si>
    <t>'DCA-Anexo I-G'!D125=+'DCA-Anexo I-G'!D126+'DCA-Anexo I-G'!D127+'DCA-Anexo I-G'!D129+'DCA-Anexo I-G'!D128</t>
  </si>
  <si>
    <t>'DCA-Anexo I-G'!E125=+'DCA-Anexo I-G'!E126+'DCA-Anexo I-G'!E127+'DCA-Anexo I-G'!E129+'DCA-Anexo I-G'!E128</t>
  </si>
  <si>
    <t>'DCA-Anexo I-G'!F125=+'DCA-Anexo I-G'!F126+'DCA-Anexo I-G'!F127+'DCA-Anexo I-G'!F129+'DCA-Anexo I-G'!F128</t>
  </si>
  <si>
    <t>'DCA-Anexo I-G'!G125=+'DCA-Anexo I-G'!G126+'DCA-Anexo I-G'!G127+'DCA-Anexo I-G'!G129+'DCA-Anexo I-G'!G128</t>
  </si>
  <si>
    <t>'DCA-Anexo I-G'!H125=+'DCA-Anexo I-G'!H126+'DCA-Anexo I-G'!H127+'DCA-Anexo I-G'!H129+'DCA-Anexo I-G'!H128</t>
  </si>
  <si>
    <t>'DCA-Anexo I-G'!I125=+'DCA-Anexo I-G'!I126+'DCA-Anexo I-G'!I127+'DCA-Anexo I-G'!I129+'DCA-Anexo I-G'!I128</t>
  </si>
  <si>
    <t>'DCA-Anexo I-G'!J125=+'DCA-Anexo I-G'!J126+'DCA-Anexo I-G'!J127+'DCA-Anexo I-G'!J129+'DCA-Anexo I-G'!J128</t>
  </si>
  <si>
    <t>'DCA-Anexo I-G'!B130=+'DCA-Anexo I-G'!B131+'DCA-Anexo I-G'!B132+'DCA-Anexo I-G'!B134+'DCA-Anexo I-G'!B133</t>
  </si>
  <si>
    <t>'DCA-Anexo I-G'!C130=+'DCA-Anexo I-G'!C131+'DCA-Anexo I-G'!C132+'DCA-Anexo I-G'!C134+'DCA-Anexo I-G'!C133</t>
  </si>
  <si>
    <t>'DCA-Anexo I-G'!D130=+'DCA-Anexo I-G'!D131+'DCA-Anexo I-G'!D132+'DCA-Anexo I-G'!D134+'DCA-Anexo I-G'!D133</t>
  </si>
  <si>
    <t>'DCA-Anexo I-G'!E130=+'DCA-Anexo I-G'!E131+'DCA-Anexo I-G'!E132+'DCA-Anexo I-G'!E134+'DCA-Anexo I-G'!E133</t>
  </si>
  <si>
    <t>'DCA-Anexo I-G'!F130=+'DCA-Anexo I-G'!F131+'DCA-Anexo I-G'!F132+'DCA-Anexo I-G'!F134+'DCA-Anexo I-G'!F133</t>
  </si>
  <si>
    <t>'DCA-Anexo I-G'!G130=+'DCA-Anexo I-G'!G131+'DCA-Anexo I-G'!G132+'DCA-Anexo I-G'!G134+'DCA-Anexo I-G'!G133</t>
  </si>
  <si>
    <t>'DCA-Anexo I-G'!H130=+'DCA-Anexo I-G'!H131+'DCA-Anexo I-G'!H132+'DCA-Anexo I-G'!H134+'DCA-Anexo I-G'!H133</t>
  </si>
  <si>
    <t>'DCA-Anexo I-G'!I130=+'DCA-Anexo I-G'!I131+'DCA-Anexo I-G'!I132+'DCA-Anexo I-G'!I134+'DCA-Anexo I-G'!I133</t>
  </si>
  <si>
    <t>'DCA-Anexo I-G'!J130=+'DCA-Anexo I-G'!J131+'DCA-Anexo I-G'!J132+'DCA-Anexo I-G'!J134+'DCA-Anexo I-G'!J133</t>
  </si>
  <si>
    <t>'DCA-Anexo I-G'!B135=+'DCA-Anexo I-G'!B136+'DCA-Anexo I-G'!B137+'DCA-Anexo I-G'!B138+'DCA-Anexo I-G'!B139+'DCA-Anexo I-G'!B140+'DCA-Anexo I-G'!B142+'DCA-Anexo I-G'!B141</t>
  </si>
  <si>
    <t>'DCA-Anexo I-G'!C135=+'DCA-Anexo I-G'!C136+'DCA-Anexo I-G'!C137+'DCA-Anexo I-G'!C138+'DCA-Anexo I-G'!C139+'DCA-Anexo I-G'!C140+'DCA-Anexo I-G'!C142+'DCA-Anexo I-G'!C141</t>
  </si>
  <si>
    <t>'DCA-Anexo I-G'!D135=+'DCA-Anexo I-G'!D136+'DCA-Anexo I-G'!D137+'DCA-Anexo I-G'!D138+'DCA-Anexo I-G'!D139+'DCA-Anexo I-G'!D140+'DCA-Anexo I-G'!D142+'DCA-Anexo I-G'!D141</t>
  </si>
  <si>
    <t>'DCA-Anexo I-G'!E135=+'DCA-Anexo I-G'!E136+'DCA-Anexo I-G'!E137+'DCA-Anexo I-G'!E138+'DCA-Anexo I-G'!E139+'DCA-Anexo I-G'!E140+'DCA-Anexo I-G'!E142+'DCA-Anexo I-G'!E141</t>
  </si>
  <si>
    <t>'DCA-Anexo I-G'!F135=+'DCA-Anexo I-G'!F136+'DCA-Anexo I-G'!F137+'DCA-Anexo I-G'!F138+'DCA-Anexo I-G'!F139+'DCA-Anexo I-G'!F140+'DCA-Anexo I-G'!F142+'DCA-Anexo I-G'!F141</t>
  </si>
  <si>
    <t>'DCA-Anexo I-G'!G135=+'DCA-Anexo I-G'!G136+'DCA-Anexo I-G'!G137+'DCA-Anexo I-G'!G138+'DCA-Anexo I-G'!G139+'DCA-Anexo I-G'!G140+'DCA-Anexo I-G'!G142+'DCA-Anexo I-G'!G141</t>
  </si>
  <si>
    <t>'DCA-Anexo I-G'!H135=+'DCA-Anexo I-G'!H136+'DCA-Anexo I-G'!H137+'DCA-Anexo I-G'!H138+'DCA-Anexo I-G'!H139+'DCA-Anexo I-G'!H140+'DCA-Anexo I-G'!H142+'DCA-Anexo I-G'!H141</t>
  </si>
  <si>
    <t>'DCA-Anexo I-G'!I135=+'DCA-Anexo I-G'!I136+'DCA-Anexo I-G'!I137+'DCA-Anexo I-G'!I138+'DCA-Anexo I-G'!I139+'DCA-Anexo I-G'!I140+'DCA-Anexo I-G'!I142+'DCA-Anexo I-G'!I141</t>
  </si>
  <si>
    <t>'DCA-Anexo I-G'!J135=+'DCA-Anexo I-G'!J136+'DCA-Anexo I-G'!J137+'DCA-Anexo I-G'!J138+'DCA-Anexo I-G'!J139+'DCA-Anexo I-G'!J140+'DCA-Anexo I-G'!J142+'DCA-Anexo I-G'!J141</t>
  </si>
  <si>
    <t>'DCA-Anexo I-G'!B143=+'DCA-Anexo I-G'!B144+'DCA-Anexo I-G'!B145+'DCA-Anexo I-G'!B146+'DCA-Anexo I-G'!B148+'DCA-Anexo I-G'!B147</t>
  </si>
  <si>
    <t>'DCA-Anexo I-G'!C143=+'DCA-Anexo I-G'!C144+'DCA-Anexo I-G'!C145+'DCA-Anexo I-G'!C146+'DCA-Anexo I-G'!C148+'DCA-Anexo I-G'!C147</t>
  </si>
  <si>
    <t>'DCA-Anexo I-G'!D143=+'DCA-Anexo I-G'!D144+'DCA-Anexo I-G'!D145+'DCA-Anexo I-G'!D146+'DCA-Anexo I-G'!D148+'DCA-Anexo I-G'!D147</t>
  </si>
  <si>
    <t>'DCA-Anexo I-G'!E143=+'DCA-Anexo I-G'!E144+'DCA-Anexo I-G'!E145+'DCA-Anexo I-G'!E146+'DCA-Anexo I-G'!E148+'DCA-Anexo I-G'!E147</t>
  </si>
  <si>
    <t>'DCA-Anexo I-G'!F143=+'DCA-Anexo I-G'!F144+'DCA-Anexo I-G'!F145+'DCA-Anexo I-G'!F146+'DCA-Anexo I-G'!F148+'DCA-Anexo I-G'!F147</t>
  </si>
  <si>
    <t>'DCA-Anexo I-G'!G143=+'DCA-Anexo I-G'!G144+'DCA-Anexo I-G'!G145+'DCA-Anexo I-G'!G146+'DCA-Anexo I-G'!G148+'DCA-Anexo I-G'!G147</t>
  </si>
  <si>
    <t>'DCA-Anexo I-G'!H143=+'DCA-Anexo I-G'!H144+'DCA-Anexo I-G'!H145+'DCA-Anexo I-G'!H146+'DCA-Anexo I-G'!H148+'DCA-Anexo I-G'!H147</t>
  </si>
  <si>
    <t>'DCA-Anexo I-G'!I143=+'DCA-Anexo I-G'!I144+'DCA-Anexo I-G'!I145+'DCA-Anexo I-G'!I146+'DCA-Anexo I-G'!I148+'DCA-Anexo I-G'!I147</t>
  </si>
  <si>
    <t>'DCA-Anexo I-G'!J143=+'DCA-Anexo I-G'!J144+'DCA-Anexo I-G'!J145+'DCA-Anexo I-G'!J146+'DCA-Anexo I-G'!J148+'DCA-Anexo I-G'!J147</t>
  </si>
  <si>
    <t>'DCA-Anexo I-G'!B149=+'DCA-Anexo I-G'!B150+'DCA-Anexo I-G'!B151+'DCA-Anexo I-G'!B152+'DCA-Anexo I-G'!B153+'DCA-Anexo I-G'!B154+'DCA-Anexo I-G'!B156+'DCA-Anexo I-G'!B155</t>
  </si>
  <si>
    <t>'DCA-Anexo I-G'!C149=+'DCA-Anexo I-G'!C150+'DCA-Anexo I-G'!C151+'DCA-Anexo I-G'!C152+'DCA-Anexo I-G'!C153+'DCA-Anexo I-G'!C154+'DCA-Anexo I-G'!C156+'DCA-Anexo I-G'!C155</t>
  </si>
  <si>
    <t>'DCA-Anexo I-G'!D149=+'DCA-Anexo I-G'!D150+'DCA-Anexo I-G'!D151+'DCA-Anexo I-G'!D152+'DCA-Anexo I-G'!D153+'DCA-Anexo I-G'!D154+'DCA-Anexo I-G'!D156+'DCA-Anexo I-G'!D155</t>
  </si>
  <si>
    <t>'DCA-Anexo I-G'!E149=+'DCA-Anexo I-G'!E150+'DCA-Anexo I-G'!E151+'DCA-Anexo I-G'!E152+'DCA-Anexo I-G'!E153+'DCA-Anexo I-G'!E154+'DCA-Anexo I-G'!E156+'DCA-Anexo I-G'!E155</t>
  </si>
  <si>
    <t>'DCA-Anexo I-G'!F149=+'DCA-Anexo I-G'!F150+'DCA-Anexo I-G'!F151+'DCA-Anexo I-G'!F152+'DCA-Anexo I-G'!F153+'DCA-Anexo I-G'!F154+'DCA-Anexo I-G'!F156+'DCA-Anexo I-G'!F155</t>
  </si>
  <si>
    <t>'DCA-Anexo I-G'!G149=+'DCA-Anexo I-G'!G150+'DCA-Anexo I-G'!G151+'DCA-Anexo I-G'!G152+'DCA-Anexo I-G'!G153+'DCA-Anexo I-G'!G154+'DCA-Anexo I-G'!G156+'DCA-Anexo I-G'!G155</t>
  </si>
  <si>
    <t>'DCA-Anexo I-G'!H149=+'DCA-Anexo I-G'!H150+'DCA-Anexo I-G'!H151+'DCA-Anexo I-G'!H152+'DCA-Anexo I-G'!H153+'DCA-Anexo I-G'!H154+'DCA-Anexo I-G'!H156+'DCA-Anexo I-G'!H155</t>
  </si>
  <si>
    <t>'DCA-Anexo I-G'!I149=+'DCA-Anexo I-G'!I150+'DCA-Anexo I-G'!I151+'DCA-Anexo I-G'!I152+'DCA-Anexo I-G'!I153+'DCA-Anexo I-G'!I154+'DCA-Anexo I-G'!I156+'DCA-Anexo I-G'!I155</t>
  </si>
  <si>
    <t>'DCA-Anexo I-G'!J149=+'DCA-Anexo I-G'!J150+'DCA-Anexo I-G'!J151+'DCA-Anexo I-G'!J152+'DCA-Anexo I-G'!J153+'DCA-Anexo I-G'!J154+'DCA-Anexo I-G'!J156+'DCA-Anexo I-G'!J155</t>
  </si>
  <si>
    <t>'DCA-Anexo I-G'!B157=+'DCA-Anexo I-G'!B158+'DCA-Anexo I-G'!B159+'DCA-Anexo I-G'!B161+'DCA-Anexo I-G'!B160</t>
  </si>
  <si>
    <t>'DCA-Anexo I-G'!C157=+'DCA-Anexo I-G'!C158+'DCA-Anexo I-G'!C159+'DCA-Anexo I-G'!C161+'DCA-Anexo I-G'!C160</t>
  </si>
  <si>
    <t>'DCA-Anexo I-G'!D157=+'DCA-Anexo I-G'!D158+'DCA-Anexo I-G'!D159+'DCA-Anexo I-G'!D161+'DCA-Anexo I-G'!D160</t>
  </si>
  <si>
    <t>'DCA-Anexo I-G'!E157=+'DCA-Anexo I-G'!E158+'DCA-Anexo I-G'!E159+'DCA-Anexo I-G'!E161+'DCA-Anexo I-G'!E160</t>
  </si>
  <si>
    <t>'DCA-Anexo I-G'!F157=+'DCA-Anexo I-G'!F158+'DCA-Anexo I-G'!F159+'DCA-Anexo I-G'!F161+'DCA-Anexo I-G'!F160</t>
  </si>
  <si>
    <t>'DCA-Anexo I-G'!G157=+'DCA-Anexo I-G'!G158+'DCA-Anexo I-G'!G159+'DCA-Anexo I-G'!G161+'DCA-Anexo I-G'!G160</t>
  </si>
  <si>
    <t>'DCA-Anexo I-G'!H157=+'DCA-Anexo I-G'!H158+'DCA-Anexo I-G'!H159+'DCA-Anexo I-G'!H161+'DCA-Anexo I-G'!H160</t>
  </si>
  <si>
    <t>'DCA-Anexo I-G'!I157=+'DCA-Anexo I-G'!I158+'DCA-Anexo I-G'!I159+'DCA-Anexo I-G'!I161+'DCA-Anexo I-G'!I160</t>
  </si>
  <si>
    <t>'DCA-Anexo I-G'!J157=+'DCA-Anexo I-G'!J158+'DCA-Anexo I-G'!J159+'DCA-Anexo I-G'!J161+'DCA-Anexo I-G'!J160</t>
  </si>
  <si>
    <t>'DCA-Anexo I-G'!B162=+'DCA-Anexo I-G'!B163+'DCA-Anexo I-G'!B164+'DCA-Anexo I-G'!B165+'DCA-Anexo I-G'!B166+'DCA-Anexo I-G'!B167+'DCA-Anexo I-G'!B169+'DCA-Anexo I-G'!B168</t>
  </si>
  <si>
    <t>'DCA-Anexo I-G'!C162=+'DCA-Anexo I-G'!C163+'DCA-Anexo I-G'!C164+'DCA-Anexo I-G'!C165+'DCA-Anexo I-G'!C166+'DCA-Anexo I-G'!C167+'DCA-Anexo I-G'!C169+'DCA-Anexo I-G'!C168</t>
  </si>
  <si>
    <t>'DCA-Anexo I-G'!D162=+'DCA-Anexo I-G'!D163+'DCA-Anexo I-G'!D164+'DCA-Anexo I-G'!D165+'DCA-Anexo I-G'!D166+'DCA-Anexo I-G'!D167+'DCA-Anexo I-G'!D169+'DCA-Anexo I-G'!D168</t>
  </si>
  <si>
    <t>'DCA-Anexo I-G'!E162=+'DCA-Anexo I-G'!E163+'DCA-Anexo I-G'!E164+'DCA-Anexo I-G'!E165+'DCA-Anexo I-G'!E166+'DCA-Anexo I-G'!E167+'DCA-Anexo I-G'!E169+'DCA-Anexo I-G'!E168</t>
  </si>
  <si>
    <t>'DCA-Anexo I-G'!F162=+'DCA-Anexo I-G'!F163+'DCA-Anexo I-G'!F164+'DCA-Anexo I-G'!F165+'DCA-Anexo I-G'!F166+'DCA-Anexo I-G'!F167+'DCA-Anexo I-G'!F169+'DCA-Anexo I-G'!F168</t>
  </si>
  <si>
    <t>'DCA-Anexo I-G'!G162=+'DCA-Anexo I-G'!G163+'DCA-Anexo I-G'!G164+'DCA-Anexo I-G'!G165+'DCA-Anexo I-G'!G166+'DCA-Anexo I-G'!G167+'DCA-Anexo I-G'!G169+'DCA-Anexo I-G'!G168</t>
  </si>
  <si>
    <t>'DCA-Anexo I-G'!H162=+'DCA-Anexo I-G'!H163+'DCA-Anexo I-G'!H164+'DCA-Anexo I-G'!H165+'DCA-Anexo I-G'!H166+'DCA-Anexo I-G'!H167+'DCA-Anexo I-G'!H169+'DCA-Anexo I-G'!H168</t>
  </si>
  <si>
    <t>'DCA-Anexo I-G'!I162=+'DCA-Anexo I-G'!I163+'DCA-Anexo I-G'!I164+'DCA-Anexo I-G'!I165+'DCA-Anexo I-G'!I166+'DCA-Anexo I-G'!I167+'DCA-Anexo I-G'!I169+'DCA-Anexo I-G'!I168</t>
  </si>
  <si>
    <t>'DCA-Anexo I-G'!J162=+'DCA-Anexo I-G'!J163+'DCA-Anexo I-G'!J164+'DCA-Anexo I-G'!J165+'DCA-Anexo I-G'!J166+'DCA-Anexo I-G'!J167+'DCA-Anexo I-G'!J169+'DCA-Anexo I-G'!J168</t>
  </si>
  <si>
    <t>'DCA-Anexo I-G'!B170=+'DCA-Anexo I-G'!B171+'DCA-Anexo I-G'!B172+'DCA-Anexo I-G'!B173+'DCA-Anexo I-G'!B174+'DCA-Anexo I-G'!B175+'DCA-Anexo I-G'!B177+'DCA-Anexo I-G'!B176</t>
  </si>
  <si>
    <t>'DCA-Anexo I-G'!C170=+'DCA-Anexo I-G'!C171+'DCA-Anexo I-G'!C172+'DCA-Anexo I-G'!C173+'DCA-Anexo I-G'!C174+'DCA-Anexo I-G'!C175+'DCA-Anexo I-G'!C177+'DCA-Anexo I-G'!C176</t>
  </si>
  <si>
    <t>'DCA-Anexo I-G'!D170=+'DCA-Anexo I-G'!D171+'DCA-Anexo I-G'!D172+'DCA-Anexo I-G'!D173+'DCA-Anexo I-G'!D174+'DCA-Anexo I-G'!D175+'DCA-Anexo I-G'!D177+'DCA-Anexo I-G'!D176</t>
  </si>
  <si>
    <t>'DCA-Anexo I-G'!E170=+'DCA-Anexo I-G'!E171+'DCA-Anexo I-G'!E172+'DCA-Anexo I-G'!E173+'DCA-Anexo I-G'!E174+'DCA-Anexo I-G'!E175+'DCA-Anexo I-G'!E177+'DCA-Anexo I-G'!E176</t>
  </si>
  <si>
    <t>'DCA-Anexo I-G'!F170=+'DCA-Anexo I-G'!F171+'DCA-Anexo I-G'!F172+'DCA-Anexo I-G'!F173+'DCA-Anexo I-G'!F174+'DCA-Anexo I-G'!F175+'DCA-Anexo I-G'!F177+'DCA-Anexo I-G'!F176</t>
  </si>
  <si>
    <t>'DCA-Anexo I-G'!G170=+'DCA-Anexo I-G'!G171+'DCA-Anexo I-G'!G172+'DCA-Anexo I-G'!G173+'DCA-Anexo I-G'!G174+'DCA-Anexo I-G'!G175+'DCA-Anexo I-G'!G177+'DCA-Anexo I-G'!G176</t>
  </si>
  <si>
    <t>'DCA-Anexo I-G'!H170=+'DCA-Anexo I-G'!H171+'DCA-Anexo I-G'!H172+'DCA-Anexo I-G'!H173+'DCA-Anexo I-G'!H174+'DCA-Anexo I-G'!H175+'DCA-Anexo I-G'!H177+'DCA-Anexo I-G'!H176</t>
  </si>
  <si>
    <t>'DCA-Anexo I-G'!I170=+'DCA-Anexo I-G'!I171+'DCA-Anexo I-G'!I172+'DCA-Anexo I-G'!I173+'DCA-Anexo I-G'!I174+'DCA-Anexo I-G'!I175+'DCA-Anexo I-G'!I177+'DCA-Anexo I-G'!I176</t>
  </si>
  <si>
    <t>'DCA-Anexo I-G'!J170=+'DCA-Anexo I-G'!J171+'DCA-Anexo I-G'!J172+'DCA-Anexo I-G'!J173+'DCA-Anexo I-G'!J174+'DCA-Anexo I-G'!J175+'DCA-Anexo I-G'!J177+'DCA-Anexo I-G'!J176</t>
  </si>
  <si>
    <t>'DCA-Anexo I-G'!B178=+'DCA-Anexo I-G'!B179+'DCA-Anexo I-G'!B180+'DCA-Anexo I-G'!B182+'DCA-Anexo I-G'!B181</t>
  </si>
  <si>
    <t>'DCA-Anexo I-G'!C178=+'DCA-Anexo I-G'!C179+'DCA-Anexo I-G'!C180+'DCA-Anexo I-G'!C182+'DCA-Anexo I-G'!C181</t>
  </si>
  <si>
    <t>'DCA-Anexo I-G'!D178=+'DCA-Anexo I-G'!D179+'DCA-Anexo I-G'!D180+'DCA-Anexo I-G'!D182+'DCA-Anexo I-G'!D181</t>
  </si>
  <si>
    <t>'DCA-Anexo I-G'!E178=+'DCA-Anexo I-G'!E179+'DCA-Anexo I-G'!E180+'DCA-Anexo I-G'!E182+'DCA-Anexo I-G'!E181</t>
  </si>
  <si>
    <t>'DCA-Anexo I-G'!F178=+'DCA-Anexo I-G'!F179+'DCA-Anexo I-G'!F180+'DCA-Anexo I-G'!F182+'DCA-Anexo I-G'!F181</t>
  </si>
  <si>
    <t>'DCA-Anexo I-G'!G178=+'DCA-Anexo I-G'!G179+'DCA-Anexo I-G'!G180+'DCA-Anexo I-G'!G182+'DCA-Anexo I-G'!G181</t>
  </si>
  <si>
    <t>'DCA-Anexo I-G'!H178=+'DCA-Anexo I-G'!H179+'DCA-Anexo I-G'!H180+'DCA-Anexo I-G'!H182+'DCA-Anexo I-G'!H181</t>
  </si>
  <si>
    <t>'DCA-Anexo I-G'!I178=+'DCA-Anexo I-G'!I179+'DCA-Anexo I-G'!I180+'DCA-Anexo I-G'!I182+'DCA-Anexo I-G'!I181</t>
  </si>
  <si>
    <t>'DCA-Anexo I-G'!J178=+'DCA-Anexo I-G'!J179+'DCA-Anexo I-G'!J180+'DCA-Anexo I-G'!J182+'DCA-Anexo I-G'!J181</t>
  </si>
  <si>
    <t>'DCA-Anexo I-G'!B183=+'DCA-Anexo I-G'!B184+'DCA-Anexo I-G'!B185+'DCA-Anexo I-G'!B186+'DCA-Anexo I-G'!B187+'DCA-Anexo I-G'!B189+'DCA-Anexo I-G'!B188</t>
  </si>
  <si>
    <t>'DCA-Anexo I-G'!C183=+'DCA-Anexo I-G'!C184+'DCA-Anexo I-G'!C185+'DCA-Anexo I-G'!C186+'DCA-Anexo I-G'!C187+'DCA-Anexo I-G'!C189+'DCA-Anexo I-G'!C188</t>
  </si>
  <si>
    <t>'DCA-Anexo I-G'!D183=+'DCA-Anexo I-G'!D184+'DCA-Anexo I-G'!D185+'DCA-Anexo I-G'!D186+'DCA-Anexo I-G'!D187+'DCA-Anexo I-G'!D189+'DCA-Anexo I-G'!D188</t>
  </si>
  <si>
    <t>'DCA-Anexo I-G'!E183=+'DCA-Anexo I-G'!E184+'DCA-Anexo I-G'!E185+'DCA-Anexo I-G'!E186+'DCA-Anexo I-G'!E187+'DCA-Anexo I-G'!E189+'DCA-Anexo I-G'!E188</t>
  </si>
  <si>
    <t>'DCA-Anexo I-G'!F183=+'DCA-Anexo I-G'!F184+'DCA-Anexo I-G'!F185+'DCA-Anexo I-G'!F186+'DCA-Anexo I-G'!F187+'DCA-Anexo I-G'!F189+'DCA-Anexo I-G'!F188</t>
  </si>
  <si>
    <t>'DCA-Anexo I-G'!G183=+'DCA-Anexo I-G'!G184+'DCA-Anexo I-G'!G185+'DCA-Anexo I-G'!G186+'DCA-Anexo I-G'!G187+'DCA-Anexo I-G'!G189+'DCA-Anexo I-G'!G188</t>
  </si>
  <si>
    <t>'DCA-Anexo I-G'!H183=+'DCA-Anexo I-G'!H184+'DCA-Anexo I-G'!H185+'DCA-Anexo I-G'!H186+'DCA-Anexo I-G'!H187+'DCA-Anexo I-G'!H189+'DCA-Anexo I-G'!H188</t>
  </si>
  <si>
    <t>'DCA-Anexo I-G'!I183=+'DCA-Anexo I-G'!I184+'DCA-Anexo I-G'!I185+'DCA-Anexo I-G'!I186+'DCA-Anexo I-G'!I187+'DCA-Anexo I-G'!I189+'DCA-Anexo I-G'!I188</t>
  </si>
  <si>
    <t>'DCA-Anexo I-G'!J183=+'DCA-Anexo I-G'!J184+'DCA-Anexo I-G'!J185+'DCA-Anexo I-G'!J186+'DCA-Anexo I-G'!J187+'DCA-Anexo I-G'!J189+'DCA-Anexo I-G'!J188</t>
  </si>
  <si>
    <t>'DCA-Anexo I-G'!B190=+'DCA-Anexo I-G'!B191+'DCA-Anexo I-G'!B192+'DCA-Anexo I-G'!B193+'DCA-Anexo I-G'!B194+'DCA-Anexo I-G'!B195+'DCA-Anexo I-G'!B197+'DCA-Anexo I-G'!B196</t>
  </si>
  <si>
    <t>'DCA-Anexo I-G'!C190=+'DCA-Anexo I-G'!C191+'DCA-Anexo I-G'!C192+'DCA-Anexo I-G'!C193+'DCA-Anexo I-G'!C194+'DCA-Anexo I-G'!C195+'DCA-Anexo I-G'!C197+'DCA-Anexo I-G'!C196</t>
  </si>
  <si>
    <t>'DCA-Anexo I-G'!D190=+'DCA-Anexo I-G'!D191+'DCA-Anexo I-G'!D192+'DCA-Anexo I-G'!D193+'DCA-Anexo I-G'!D194+'DCA-Anexo I-G'!D195+'DCA-Anexo I-G'!D197+'DCA-Anexo I-G'!D196</t>
  </si>
  <si>
    <t>'DCA-Anexo I-G'!E190=+'DCA-Anexo I-G'!E191+'DCA-Anexo I-G'!E192+'DCA-Anexo I-G'!E193+'DCA-Anexo I-G'!E194+'DCA-Anexo I-G'!E195+'DCA-Anexo I-G'!E197+'DCA-Anexo I-G'!E196</t>
  </si>
  <si>
    <t>'DCA-Anexo I-G'!F190=+'DCA-Anexo I-G'!F191+'DCA-Anexo I-G'!F192+'DCA-Anexo I-G'!F193+'DCA-Anexo I-G'!F194+'DCA-Anexo I-G'!F195+'DCA-Anexo I-G'!F197+'DCA-Anexo I-G'!F196</t>
  </si>
  <si>
    <t>'DCA-Anexo I-G'!G190=+'DCA-Anexo I-G'!G191+'DCA-Anexo I-G'!G192+'DCA-Anexo I-G'!G193+'DCA-Anexo I-G'!G194+'DCA-Anexo I-G'!G195+'DCA-Anexo I-G'!G197+'DCA-Anexo I-G'!G196</t>
  </si>
  <si>
    <t>'DCA-Anexo I-G'!H190=+'DCA-Anexo I-G'!H191+'DCA-Anexo I-G'!H192+'DCA-Anexo I-G'!H193+'DCA-Anexo I-G'!H194+'DCA-Anexo I-G'!H195+'DCA-Anexo I-G'!H197+'DCA-Anexo I-G'!H196</t>
  </si>
  <si>
    <t>'DCA-Anexo I-G'!I190=+'DCA-Anexo I-G'!I191+'DCA-Anexo I-G'!I192+'DCA-Anexo I-G'!I193+'DCA-Anexo I-G'!I194+'DCA-Anexo I-G'!I195+'DCA-Anexo I-G'!I197+'DCA-Anexo I-G'!I196</t>
  </si>
  <si>
    <t>'DCA-Anexo I-G'!J190=+'DCA-Anexo I-G'!J191+'DCA-Anexo I-G'!J192+'DCA-Anexo I-G'!J193+'DCA-Anexo I-G'!J194+'DCA-Anexo I-G'!J195+'DCA-Anexo I-G'!J197+'DCA-Anexo I-G'!J196</t>
  </si>
  <si>
    <t>'DCA-Anexo I-G'!B198=+'DCA-Anexo I-G'!B199+'DCA-Anexo I-G'!B200+'DCA-Anexo I-G'!B201+'DCA-Anexo I-G'!B203+'DCA-Anexo I-G'!B202</t>
  </si>
  <si>
    <t>'DCA-Anexo I-G'!C198=+'DCA-Anexo I-G'!C199+'DCA-Anexo I-G'!C200+'DCA-Anexo I-G'!C201+'DCA-Anexo I-G'!C203+'DCA-Anexo I-G'!C202</t>
  </si>
  <si>
    <t>'DCA-Anexo I-G'!D198=+'DCA-Anexo I-G'!D199+'DCA-Anexo I-G'!D200+'DCA-Anexo I-G'!D201+'DCA-Anexo I-G'!D203+'DCA-Anexo I-G'!D202</t>
  </si>
  <si>
    <t>'DCA-Anexo I-G'!E198=+'DCA-Anexo I-G'!E199+'DCA-Anexo I-G'!E200+'DCA-Anexo I-G'!E201+'DCA-Anexo I-G'!E203+'DCA-Anexo I-G'!E202</t>
  </si>
  <si>
    <t>'DCA-Anexo I-G'!F198=+'DCA-Anexo I-G'!F199+'DCA-Anexo I-G'!F200+'DCA-Anexo I-G'!F201+'DCA-Anexo I-G'!F203+'DCA-Anexo I-G'!F202</t>
  </si>
  <si>
    <t>'DCA-Anexo I-G'!G198=+'DCA-Anexo I-G'!G199+'DCA-Anexo I-G'!G200+'DCA-Anexo I-G'!G201+'DCA-Anexo I-G'!G203+'DCA-Anexo I-G'!G202</t>
  </si>
  <si>
    <t>'DCA-Anexo I-G'!H198=+'DCA-Anexo I-G'!H199+'DCA-Anexo I-G'!H200+'DCA-Anexo I-G'!H201+'DCA-Anexo I-G'!H203+'DCA-Anexo I-G'!H202</t>
  </si>
  <si>
    <t>'DCA-Anexo I-G'!I198=+'DCA-Anexo I-G'!I199+'DCA-Anexo I-G'!I200+'DCA-Anexo I-G'!I201+'DCA-Anexo I-G'!I203+'DCA-Anexo I-G'!I202</t>
  </si>
  <si>
    <t>'DCA-Anexo I-G'!J198=+'DCA-Anexo I-G'!J199+'DCA-Anexo I-G'!J200+'DCA-Anexo I-G'!J201+'DCA-Anexo I-G'!J203+'DCA-Anexo I-G'!J202</t>
  </si>
  <si>
    <t>'DCA-Anexo I-G'!B204=+'DCA-Anexo I-G'!B205+'DCA-Anexo I-G'!B206+'DCA-Anexo I-G'!B207+'DCA-Anexo I-G'!B208+'DCA-Anexo I-G'!B209+'DCA-Anexo I-G'!B210+'DCA-Anexo I-G'!B211+'DCA-Anexo I-G'!B212</t>
  </si>
  <si>
    <t>'DCA-Anexo I-G'!C204=+'DCA-Anexo I-G'!C205+'DCA-Anexo I-G'!C206+'DCA-Anexo I-G'!C207+'DCA-Anexo I-G'!C208+'DCA-Anexo I-G'!C209+'DCA-Anexo I-G'!C210+'DCA-Anexo I-G'!C211+'DCA-Anexo I-G'!C212</t>
  </si>
  <si>
    <t>'DCA-Anexo I-G'!D204=+'DCA-Anexo I-G'!D205+'DCA-Anexo I-G'!D206+'DCA-Anexo I-G'!D207+'DCA-Anexo I-G'!D208+'DCA-Anexo I-G'!D209+'DCA-Anexo I-G'!D210+'DCA-Anexo I-G'!D211+'DCA-Anexo I-G'!D212</t>
  </si>
  <si>
    <t>'DCA-Anexo I-G'!E204=+'DCA-Anexo I-G'!E205+'DCA-Anexo I-G'!E206+'DCA-Anexo I-G'!E207+'DCA-Anexo I-G'!E208+'DCA-Anexo I-G'!E209+'DCA-Anexo I-G'!E210+'DCA-Anexo I-G'!E211+'DCA-Anexo I-G'!E212</t>
  </si>
  <si>
    <t>'DCA-Anexo I-G'!F204=+'DCA-Anexo I-G'!F205+'DCA-Anexo I-G'!F206+'DCA-Anexo I-G'!F207+'DCA-Anexo I-G'!F208+'DCA-Anexo I-G'!F209+'DCA-Anexo I-G'!F210+'DCA-Anexo I-G'!F211+'DCA-Anexo I-G'!F212</t>
  </si>
  <si>
    <t>'DCA-Anexo I-G'!G204=+'DCA-Anexo I-G'!G205+'DCA-Anexo I-G'!G206+'DCA-Anexo I-G'!G207+'DCA-Anexo I-G'!G208+'DCA-Anexo I-G'!G209+'DCA-Anexo I-G'!G210+'DCA-Anexo I-G'!G211+'DCA-Anexo I-G'!G212</t>
  </si>
  <si>
    <t>'DCA-Anexo I-G'!H204=+'DCA-Anexo I-G'!H205+'DCA-Anexo I-G'!H206+'DCA-Anexo I-G'!H207+'DCA-Anexo I-G'!H208+'DCA-Anexo I-G'!H209+'DCA-Anexo I-G'!H210+'DCA-Anexo I-G'!H211+'DCA-Anexo I-G'!H212</t>
  </si>
  <si>
    <t>'DCA-Anexo I-G'!I204=+'DCA-Anexo I-G'!I205+'DCA-Anexo I-G'!I206+'DCA-Anexo I-G'!I207+'DCA-Anexo I-G'!I208+'DCA-Anexo I-G'!I209+'DCA-Anexo I-G'!I210+'DCA-Anexo I-G'!I211+'DCA-Anexo I-G'!I212</t>
  </si>
  <si>
    <t>'DCA-Anexo I-G'!J204=+'DCA-Anexo I-G'!J205+'DCA-Anexo I-G'!J206+'DCA-Anexo I-G'!J207+'DCA-Anexo I-G'!J208+'DCA-Anexo I-G'!J209+'DCA-Anexo I-G'!J210+'DCA-Anexo I-G'!J211+'DCA-Anexo I-G'!J212</t>
  </si>
  <si>
    <t>[DCA-Anexo I-E]</t>
  </si>
  <si>
    <t>'DCA-Anexo I-E'!B19=+'DCA-Anexo I-E'!B20+'DCA-Anexo I-E'!B25+'DCA-Anexo I-E'!B30+'DCA-Anexo I-E'!B35+'DCA-Anexo I-E'!B48+'DCA-Anexo I-E'!B54+'DCA-Anexo I-E'!B60+'DCA-Anexo I-E'!B65+'DCA-Anexo I-E'!B74+'DCA-Anexo I-E'!B81+'DCA-Anexo I-E'!B90+'DCA-Anexo I-E'!B97+'DCA-Anexo I-E'!B108+'DCA-Anexo I-E'!B113+'DCA-Anexo I-E'!B119+'DCA-Anexo I-E'!B125+'DCA-Anexo I-E'!B130+'DCA-Anexo I-E'!B135+'DCA-Anexo I-E'!B143+'DCA-Anexo I-E'!B149+'DCA-Anexo I-E'!B157+'DCA-Anexo I-E'!B162+'DCA-Anexo I-E'!B170+'DCA-Anexo I-E'!B178+'DCA-Anexo I-E'!B183+'DCA-Anexo I-E'!B190+'DCA-Anexo I-E'!B198+'DCA-Anexo I-E'!B204</t>
  </si>
  <si>
    <t>'DCA-Anexo I-E'!C19=+'DCA-Anexo I-E'!C20+'DCA-Anexo I-E'!C25+'DCA-Anexo I-E'!C30+'DCA-Anexo I-E'!C35+'DCA-Anexo I-E'!C48+'DCA-Anexo I-E'!C54+'DCA-Anexo I-E'!C60+'DCA-Anexo I-E'!C65+'DCA-Anexo I-E'!C74+'DCA-Anexo I-E'!C81+'DCA-Anexo I-E'!C90+'DCA-Anexo I-E'!C97+'DCA-Anexo I-E'!C108+'DCA-Anexo I-E'!C113+'DCA-Anexo I-E'!C119+'DCA-Anexo I-E'!C125+'DCA-Anexo I-E'!C130+'DCA-Anexo I-E'!C135+'DCA-Anexo I-E'!C143+'DCA-Anexo I-E'!C149+'DCA-Anexo I-E'!C157+'DCA-Anexo I-E'!C162+'DCA-Anexo I-E'!C170+'DCA-Anexo I-E'!C178+'DCA-Anexo I-E'!C183+'DCA-Anexo I-E'!C190+'DCA-Anexo I-E'!C198+'DCA-Anexo I-E'!C204</t>
  </si>
  <si>
    <t>'DCA-Anexo I-E'!D19=+'DCA-Anexo I-E'!D20+'DCA-Anexo I-E'!D25+'DCA-Anexo I-E'!D30+'DCA-Anexo I-E'!D35+'DCA-Anexo I-E'!D48+'DCA-Anexo I-E'!D54+'DCA-Anexo I-E'!D60+'DCA-Anexo I-E'!D65+'DCA-Anexo I-E'!D74+'DCA-Anexo I-E'!D81+'DCA-Anexo I-E'!D90+'DCA-Anexo I-E'!D97+'DCA-Anexo I-E'!D108+'DCA-Anexo I-E'!D113+'DCA-Anexo I-E'!D119+'DCA-Anexo I-E'!D125+'DCA-Anexo I-E'!D130+'DCA-Anexo I-E'!D135+'DCA-Anexo I-E'!D143+'DCA-Anexo I-E'!D149+'DCA-Anexo I-E'!D157+'DCA-Anexo I-E'!D162+'DCA-Anexo I-E'!D170+'DCA-Anexo I-E'!D178+'DCA-Anexo I-E'!D183+'DCA-Anexo I-E'!D190+'DCA-Anexo I-E'!D198+'DCA-Anexo I-E'!D204</t>
  </si>
  <si>
    <t>'DCA-Anexo I-E'!E19=+'DCA-Anexo I-E'!E20+'DCA-Anexo I-E'!E25+'DCA-Anexo I-E'!E30+'DCA-Anexo I-E'!E35+'DCA-Anexo I-E'!E48+'DCA-Anexo I-E'!E54+'DCA-Anexo I-E'!E60+'DCA-Anexo I-E'!E65+'DCA-Anexo I-E'!E74+'DCA-Anexo I-E'!E81+'DCA-Anexo I-E'!E90+'DCA-Anexo I-E'!E97+'DCA-Anexo I-E'!E108+'DCA-Anexo I-E'!E113+'DCA-Anexo I-E'!E119+'DCA-Anexo I-E'!E125+'DCA-Anexo I-E'!E130+'DCA-Anexo I-E'!E135+'DCA-Anexo I-E'!E143+'DCA-Anexo I-E'!E149+'DCA-Anexo I-E'!E157+'DCA-Anexo I-E'!E162+'DCA-Anexo I-E'!E170+'DCA-Anexo I-E'!E178+'DCA-Anexo I-E'!E183+'DCA-Anexo I-E'!E190+'DCA-Anexo I-E'!E198+'DCA-Anexo I-E'!E204</t>
  </si>
  <si>
    <t>'DCA-Anexo I-E'!F19=+'DCA-Anexo I-E'!F20+'DCA-Anexo I-E'!F25+'DCA-Anexo I-E'!F30+'DCA-Anexo I-E'!F35+'DCA-Anexo I-E'!F48+'DCA-Anexo I-E'!F54+'DCA-Anexo I-E'!F60+'DCA-Anexo I-E'!F65+'DCA-Anexo I-E'!F74+'DCA-Anexo I-E'!F81+'DCA-Anexo I-E'!F90+'DCA-Anexo I-E'!F97+'DCA-Anexo I-E'!F108+'DCA-Anexo I-E'!F113+'DCA-Anexo I-E'!F119+'DCA-Anexo I-E'!F125+'DCA-Anexo I-E'!F130+'DCA-Anexo I-E'!F135+'DCA-Anexo I-E'!F143+'DCA-Anexo I-E'!F149+'DCA-Anexo I-E'!F157+'DCA-Anexo I-E'!F162+'DCA-Anexo I-E'!F170+'DCA-Anexo I-E'!F178+'DCA-Anexo I-E'!F183+'DCA-Anexo I-E'!F190+'DCA-Anexo I-E'!F198+'DCA-Anexo I-E'!F204</t>
  </si>
  <si>
    <t>'DCA-Anexo I-E'!B20=+'DCA-Anexo I-E'!B21+'DCA-Anexo I-E'!B22+'DCA-Anexo I-E'!B24+'DCA-Anexo I-E'!B23</t>
  </si>
  <si>
    <t>'DCA-Anexo I-E'!C20=+'DCA-Anexo I-E'!C21+'DCA-Anexo I-E'!C22+'DCA-Anexo I-E'!C24+'DCA-Anexo I-E'!C23</t>
  </si>
  <si>
    <t>'DCA-Anexo I-E'!D20=+'DCA-Anexo I-E'!D21+'DCA-Anexo I-E'!D22+'DCA-Anexo I-E'!D24+'DCA-Anexo I-E'!D23</t>
  </si>
  <si>
    <t>'DCA-Anexo I-E'!E20=+'DCA-Anexo I-E'!E21+'DCA-Anexo I-E'!E22+'DCA-Anexo I-E'!E24+'DCA-Anexo I-E'!E23</t>
  </si>
  <si>
    <t>'DCA-Anexo I-E'!F20=+'DCA-Anexo I-E'!F21+'DCA-Anexo I-E'!F22+'DCA-Anexo I-E'!F24+'DCA-Anexo I-E'!F23</t>
  </si>
  <si>
    <t>'DCA-Anexo I-E'!B25=+'DCA-Anexo I-E'!B26+'DCA-Anexo I-E'!B27+'DCA-Anexo I-E'!B29+'DCA-Anexo I-E'!B28</t>
  </si>
  <si>
    <t>'DCA-Anexo I-E'!C25=+'DCA-Anexo I-E'!C26+'DCA-Anexo I-E'!C27+'DCA-Anexo I-E'!C29+'DCA-Anexo I-E'!C28</t>
  </si>
  <si>
    <t>'DCA-Anexo I-E'!D25=+'DCA-Anexo I-E'!D26+'DCA-Anexo I-E'!D27+'DCA-Anexo I-E'!D29+'DCA-Anexo I-E'!D28</t>
  </si>
  <si>
    <t>'DCA-Anexo I-E'!E25=+'DCA-Anexo I-E'!E26+'DCA-Anexo I-E'!E27+'DCA-Anexo I-E'!E29+'DCA-Anexo I-E'!E28</t>
  </si>
  <si>
    <t>'DCA-Anexo I-E'!F25=+'DCA-Anexo I-E'!F26+'DCA-Anexo I-E'!F27+'DCA-Anexo I-E'!F29+'DCA-Anexo I-E'!F28</t>
  </si>
  <si>
    <t>'DCA-Anexo I-E'!B30=+'DCA-Anexo I-E'!B31+'DCA-Anexo I-E'!B32+'DCA-Anexo I-E'!B34+'DCA-Anexo I-E'!B33</t>
  </si>
  <si>
    <t>'DCA-Anexo I-E'!C30=+'DCA-Anexo I-E'!C31+'DCA-Anexo I-E'!C32+'DCA-Anexo I-E'!C34+'DCA-Anexo I-E'!C33</t>
  </si>
  <si>
    <t>'DCA-Anexo I-E'!D30=+'DCA-Anexo I-E'!D31+'DCA-Anexo I-E'!D32+'DCA-Anexo I-E'!D34+'DCA-Anexo I-E'!D33</t>
  </si>
  <si>
    <t>'DCA-Anexo I-E'!E30=+'DCA-Anexo I-E'!E31+'DCA-Anexo I-E'!E32+'DCA-Anexo I-E'!E34+'DCA-Anexo I-E'!E33</t>
  </si>
  <si>
    <t>'DCA-Anexo I-E'!F30=+'DCA-Anexo I-E'!F31+'DCA-Anexo I-E'!F32+'DCA-Anexo I-E'!F34+'DCA-Anexo I-E'!F33</t>
  </si>
  <si>
    <t>'DCA-Anexo I-E'!B35=+'DCA-Anexo I-E'!B36+'DCA-Anexo I-E'!B37+'DCA-Anexo I-E'!B38+'DCA-Anexo I-E'!B39+'DCA-Anexo I-E'!B40+'DCA-Anexo I-E'!B41+'DCA-Anexo I-E'!B42+'DCA-Anexo I-E'!B43+'DCA-Anexo I-E'!B44+'DCA-Anexo I-E'!B45+'DCA-Anexo I-E'!B46+'DCA-Anexo I-E'!B47</t>
  </si>
  <si>
    <t>'DCA-Anexo I-E'!C35=+'DCA-Anexo I-E'!C36+'DCA-Anexo I-E'!C37+'DCA-Anexo I-E'!C38+'DCA-Anexo I-E'!C39+'DCA-Anexo I-E'!C40+'DCA-Anexo I-E'!C41+'DCA-Anexo I-E'!C42+'DCA-Anexo I-E'!C43+'DCA-Anexo I-E'!C44+'DCA-Anexo I-E'!C45+'DCA-Anexo I-E'!C46+'DCA-Anexo I-E'!C47</t>
  </si>
  <si>
    <t>'DCA-Anexo I-E'!D35=+'DCA-Anexo I-E'!D36+'DCA-Anexo I-E'!D37+'DCA-Anexo I-E'!D38+'DCA-Anexo I-E'!D39+'DCA-Anexo I-E'!D40+'DCA-Anexo I-E'!D41+'DCA-Anexo I-E'!D42+'DCA-Anexo I-E'!D43+'DCA-Anexo I-E'!D44+'DCA-Anexo I-E'!D45+'DCA-Anexo I-E'!D46+'DCA-Anexo I-E'!D47</t>
  </si>
  <si>
    <t>'DCA-Anexo I-E'!E35=+'DCA-Anexo I-E'!E36+'DCA-Anexo I-E'!E37+'DCA-Anexo I-E'!E38+'DCA-Anexo I-E'!E39+'DCA-Anexo I-E'!E40+'DCA-Anexo I-E'!E41+'DCA-Anexo I-E'!E42+'DCA-Anexo I-E'!E43+'DCA-Anexo I-E'!E44+'DCA-Anexo I-E'!E45+'DCA-Anexo I-E'!E46+'DCA-Anexo I-E'!E47</t>
  </si>
  <si>
    <t>'DCA-Anexo I-E'!F35=+'DCA-Anexo I-E'!F36+'DCA-Anexo I-E'!F37+'DCA-Anexo I-E'!F38+'DCA-Anexo I-E'!F39+'DCA-Anexo I-E'!F40+'DCA-Anexo I-E'!F41+'DCA-Anexo I-E'!F42+'DCA-Anexo I-E'!F43+'DCA-Anexo I-E'!F44+'DCA-Anexo I-E'!F45+'DCA-Anexo I-E'!F46+'DCA-Anexo I-E'!F47</t>
  </si>
  <si>
    <t>'DCA-Anexo I-E'!B48=+'DCA-Anexo I-E'!B49+'DCA-Anexo I-E'!B50+'DCA-Anexo I-E'!B51+'DCA-Anexo I-E'!B53+'DCA-Anexo I-E'!B52</t>
  </si>
  <si>
    <t>'DCA-Anexo I-E'!C48=+'DCA-Anexo I-E'!C49+'DCA-Anexo I-E'!C50+'DCA-Anexo I-E'!C51+'DCA-Anexo I-E'!C53+'DCA-Anexo I-E'!C52</t>
  </si>
  <si>
    <t>'DCA-Anexo I-E'!D48=+'DCA-Anexo I-E'!D49+'DCA-Anexo I-E'!D50+'DCA-Anexo I-E'!D51+'DCA-Anexo I-E'!D53+'DCA-Anexo I-E'!D52</t>
  </si>
  <si>
    <t>'DCA-Anexo I-E'!E48=+'DCA-Anexo I-E'!E49+'DCA-Anexo I-E'!E50+'DCA-Anexo I-E'!E51+'DCA-Anexo I-E'!E53+'DCA-Anexo I-E'!E52</t>
  </si>
  <si>
    <t>'DCA-Anexo I-E'!F48=+'DCA-Anexo I-E'!F49+'DCA-Anexo I-E'!F50+'DCA-Anexo I-E'!F51+'DCA-Anexo I-E'!F53+'DCA-Anexo I-E'!F52</t>
  </si>
  <si>
    <t>'DCA-Anexo I-E'!B54=+'DCA-Anexo I-E'!B55+'DCA-Anexo I-E'!B56+'DCA-Anexo I-E'!B57+'DCA-Anexo I-E'!B59+'DCA-Anexo I-E'!B58</t>
  </si>
  <si>
    <t>'DCA-Anexo I-E'!C54=+'DCA-Anexo I-E'!C55+'DCA-Anexo I-E'!C56+'DCA-Anexo I-E'!C57+'DCA-Anexo I-E'!C59+'DCA-Anexo I-E'!C58</t>
  </si>
  <si>
    <t>'DCA-Anexo I-E'!D54=+'DCA-Anexo I-E'!D55+'DCA-Anexo I-E'!D56+'DCA-Anexo I-E'!D57+'DCA-Anexo I-E'!D59+'DCA-Anexo I-E'!D58</t>
  </si>
  <si>
    <t>'DCA-Anexo I-E'!E54=+'DCA-Anexo I-E'!E55+'DCA-Anexo I-E'!E56+'DCA-Anexo I-E'!E57+'DCA-Anexo I-E'!E59+'DCA-Anexo I-E'!E58</t>
  </si>
  <si>
    <t>'DCA-Anexo I-E'!F54=+'DCA-Anexo I-E'!F55+'DCA-Anexo I-E'!F56+'DCA-Anexo I-E'!F57+'DCA-Anexo I-E'!F59+'DCA-Anexo I-E'!F58</t>
  </si>
  <si>
    <t>'DCA-Anexo I-E'!B60=+'DCA-Anexo I-E'!B61+'DCA-Anexo I-E'!B62+'DCA-Anexo I-E'!B64+'DCA-Anexo I-E'!B63</t>
  </si>
  <si>
    <t>'DCA-Anexo I-E'!C60=+'DCA-Anexo I-E'!C61+'DCA-Anexo I-E'!C62+'DCA-Anexo I-E'!C64+'DCA-Anexo I-E'!C63</t>
  </si>
  <si>
    <t>'DCA-Anexo I-E'!D60=+'DCA-Anexo I-E'!D61+'DCA-Anexo I-E'!D62+'DCA-Anexo I-E'!D64+'DCA-Anexo I-E'!D63</t>
  </si>
  <si>
    <t>'DCA-Anexo I-E'!E60=+'DCA-Anexo I-E'!E61+'DCA-Anexo I-E'!E62+'DCA-Anexo I-E'!E64+'DCA-Anexo I-E'!E63</t>
  </si>
  <si>
    <t>'DCA-Anexo I-E'!F60=+'DCA-Anexo I-E'!F61+'DCA-Anexo I-E'!F62+'DCA-Anexo I-E'!F64+'DCA-Anexo I-E'!F63</t>
  </si>
  <si>
    <t>'DCA-Anexo I-E'!B65=+'DCA-Anexo I-E'!B66+'DCA-Anexo I-E'!B67+'DCA-Anexo I-E'!B68+'DCA-Anexo I-E'!B69+'DCA-Anexo I-E'!B73+'DCA-Anexo I-E'!B72+'DCA-Anexo I-E'!B70+'DCA-Anexo I-E'!B71</t>
  </si>
  <si>
    <t>'DCA-Anexo I-E'!C65=+'DCA-Anexo I-E'!C66+'DCA-Anexo I-E'!C67+'DCA-Anexo I-E'!C68+'DCA-Anexo I-E'!C69+'DCA-Anexo I-E'!C73+'DCA-Anexo I-E'!C72+'DCA-Anexo I-E'!C70+'DCA-Anexo I-E'!C71</t>
  </si>
  <si>
    <t>'DCA-Anexo I-E'!D65=+'DCA-Anexo I-E'!D66+'DCA-Anexo I-E'!D67+'DCA-Anexo I-E'!D68+'DCA-Anexo I-E'!D69+'DCA-Anexo I-E'!D73+'DCA-Anexo I-E'!D72+'DCA-Anexo I-E'!D70+'DCA-Anexo I-E'!D71</t>
  </si>
  <si>
    <t>'DCA-Anexo I-E'!E65=+'DCA-Anexo I-E'!E66+'DCA-Anexo I-E'!E67+'DCA-Anexo I-E'!E68+'DCA-Anexo I-E'!E69+'DCA-Anexo I-E'!E73+'DCA-Anexo I-E'!E72+'DCA-Anexo I-E'!E70+'DCA-Anexo I-E'!E71</t>
  </si>
  <si>
    <t>'DCA-Anexo I-E'!F65=+'DCA-Anexo I-E'!F66+'DCA-Anexo I-E'!F67+'DCA-Anexo I-E'!F68+'DCA-Anexo I-E'!F69+'DCA-Anexo I-E'!F73+'DCA-Anexo I-E'!F72+'DCA-Anexo I-E'!F70+'DCA-Anexo I-E'!F71</t>
  </si>
  <si>
    <t>'DCA-Anexo I-E'!B74=+'DCA-Anexo I-E'!B75+'DCA-Anexo I-E'!B76+'DCA-Anexo I-E'!B77+'DCA-Anexo I-E'!B78+'DCA-Anexo I-E'!B80+'DCA-Anexo I-E'!B79</t>
  </si>
  <si>
    <t>'DCA-Anexo I-E'!C74=+'DCA-Anexo I-E'!C75+'DCA-Anexo I-E'!C76+'DCA-Anexo I-E'!C77+'DCA-Anexo I-E'!C78+'DCA-Anexo I-E'!C80+'DCA-Anexo I-E'!C79</t>
  </si>
  <si>
    <t>'DCA-Anexo I-E'!D74=+'DCA-Anexo I-E'!D75+'DCA-Anexo I-E'!D76+'DCA-Anexo I-E'!D77+'DCA-Anexo I-E'!D78+'DCA-Anexo I-E'!D80+'DCA-Anexo I-E'!D79</t>
  </si>
  <si>
    <t>'DCA-Anexo I-E'!E74=+'DCA-Anexo I-E'!E75+'DCA-Anexo I-E'!E76+'DCA-Anexo I-E'!E77+'DCA-Anexo I-E'!E78+'DCA-Anexo I-E'!E80+'DCA-Anexo I-E'!E79</t>
  </si>
  <si>
    <t>'DCA-Anexo I-E'!F74=+'DCA-Anexo I-E'!F75+'DCA-Anexo I-E'!F76+'DCA-Anexo I-E'!F77+'DCA-Anexo I-E'!F78+'DCA-Anexo I-E'!F80+'DCA-Anexo I-E'!F79</t>
  </si>
  <si>
    <t>'DCA-Anexo I-E'!B81=+'DCA-Anexo I-E'!B82+'DCA-Anexo I-E'!B83+'DCA-Anexo I-E'!B84+'DCA-Anexo I-E'!B85+'DCA-Anexo I-E'!B86+'DCA-Anexo I-E'!B87+'DCA-Anexo I-E'!B89+'DCA-Anexo I-E'!B88</t>
  </si>
  <si>
    <t>'DCA-Anexo I-E'!C81=+'DCA-Anexo I-E'!C82+'DCA-Anexo I-E'!C83+'DCA-Anexo I-E'!C84+'DCA-Anexo I-E'!C85+'DCA-Anexo I-E'!C86+'DCA-Anexo I-E'!C87+'DCA-Anexo I-E'!C89+'DCA-Anexo I-E'!C88</t>
  </si>
  <si>
    <t>'DCA-Anexo I-E'!D81=+'DCA-Anexo I-E'!D82+'DCA-Anexo I-E'!D83+'DCA-Anexo I-E'!D84+'DCA-Anexo I-E'!D85+'DCA-Anexo I-E'!D86+'DCA-Anexo I-E'!D87+'DCA-Anexo I-E'!D89+'DCA-Anexo I-E'!D88</t>
  </si>
  <si>
    <t>'DCA-Anexo I-E'!E81=+'DCA-Anexo I-E'!E82+'DCA-Anexo I-E'!E83+'DCA-Anexo I-E'!E84+'DCA-Anexo I-E'!E85+'DCA-Anexo I-E'!E86+'DCA-Anexo I-E'!E87+'DCA-Anexo I-E'!E89+'DCA-Anexo I-E'!E88</t>
  </si>
  <si>
    <t>'DCA-Anexo I-E'!F81=+'DCA-Anexo I-E'!F82+'DCA-Anexo I-E'!F83+'DCA-Anexo I-E'!F84+'DCA-Anexo I-E'!F85+'DCA-Anexo I-E'!F86+'DCA-Anexo I-E'!F87+'DCA-Anexo I-E'!F89+'DCA-Anexo I-E'!F88</t>
  </si>
  <si>
    <t>'DCA-Anexo I-E'!B90=+'DCA-Anexo I-E'!B91+'DCA-Anexo I-E'!B92+'DCA-Anexo I-E'!B93+'DCA-Anexo I-E'!B94+'DCA-Anexo I-E'!B96+'DCA-Anexo I-E'!B95</t>
  </si>
  <si>
    <t>'DCA-Anexo I-E'!C90=+'DCA-Anexo I-E'!C91+'DCA-Anexo I-E'!C92+'DCA-Anexo I-E'!C93+'DCA-Anexo I-E'!C94+'DCA-Anexo I-E'!C96+'DCA-Anexo I-E'!C95</t>
  </si>
  <si>
    <t>'DCA-Anexo I-E'!D90=+'DCA-Anexo I-E'!D91+'DCA-Anexo I-E'!D92+'DCA-Anexo I-E'!D93+'DCA-Anexo I-E'!D94+'DCA-Anexo I-E'!D96+'DCA-Anexo I-E'!D95</t>
  </si>
  <si>
    <t>'DCA-Anexo I-E'!E90=+'DCA-Anexo I-E'!E91+'DCA-Anexo I-E'!E92+'DCA-Anexo I-E'!E93+'DCA-Anexo I-E'!E94+'DCA-Anexo I-E'!E96+'DCA-Anexo I-E'!E95</t>
  </si>
  <si>
    <t>'DCA-Anexo I-E'!F90=+'DCA-Anexo I-E'!F91+'DCA-Anexo I-E'!F92+'DCA-Anexo I-E'!F93+'DCA-Anexo I-E'!F94+'DCA-Anexo I-E'!F96+'DCA-Anexo I-E'!F95</t>
  </si>
  <si>
    <t>'DCA-Anexo I-E'!B97=+'DCA-Anexo I-E'!B98+'DCA-Anexo I-E'!B99+'DCA-Anexo I-E'!B100+'DCA-Anexo I-E'!B101+'DCA-Anexo I-E'!B102+'DCA-Anexo I-E'!B103+'DCA-Anexo I-E'!B104+'DCA-Anexo I-E'!B105+'DCA-Anexo I-E'!B107+'DCA-Anexo I-E'!B106</t>
  </si>
  <si>
    <t>'DCA-Anexo I-E'!C97=+'DCA-Anexo I-E'!C98+'DCA-Anexo I-E'!C99+'DCA-Anexo I-E'!C100+'DCA-Anexo I-E'!C101+'DCA-Anexo I-E'!C102+'DCA-Anexo I-E'!C103+'DCA-Anexo I-E'!C104+'DCA-Anexo I-E'!C105+'DCA-Anexo I-E'!C107+'DCA-Anexo I-E'!C106</t>
  </si>
  <si>
    <t>'DCA-Anexo I-E'!D97=+'DCA-Anexo I-E'!D98+'DCA-Anexo I-E'!D99+'DCA-Anexo I-E'!D100+'DCA-Anexo I-E'!D101+'DCA-Anexo I-E'!D102+'DCA-Anexo I-E'!D103+'DCA-Anexo I-E'!D104+'DCA-Anexo I-E'!D105+'DCA-Anexo I-E'!D107+'DCA-Anexo I-E'!D106</t>
  </si>
  <si>
    <t>'DCA-Anexo I-E'!E97=+'DCA-Anexo I-E'!E98+'DCA-Anexo I-E'!E99+'DCA-Anexo I-E'!E100+'DCA-Anexo I-E'!E101+'DCA-Anexo I-E'!E102+'DCA-Anexo I-E'!E103+'DCA-Anexo I-E'!E104+'DCA-Anexo I-E'!E105+'DCA-Anexo I-E'!E107+'DCA-Anexo I-E'!E106</t>
  </si>
  <si>
    <t>'DCA-Anexo I-E'!F97=+'DCA-Anexo I-E'!F98+'DCA-Anexo I-E'!F99+'DCA-Anexo I-E'!F100+'DCA-Anexo I-E'!F101+'DCA-Anexo I-E'!F102+'DCA-Anexo I-E'!F103+'DCA-Anexo I-E'!F104+'DCA-Anexo I-E'!F105+'DCA-Anexo I-E'!F107+'DCA-Anexo I-E'!F106</t>
  </si>
  <si>
    <t>'DCA-Anexo I-E'!B108=+'DCA-Anexo I-E'!B109+'DCA-Anexo I-E'!B110+'DCA-Anexo I-E'!B112+'DCA-Anexo I-E'!B111</t>
  </si>
  <si>
    <t>'DCA-Anexo I-E'!C108=+'DCA-Anexo I-E'!C109+'DCA-Anexo I-E'!C110+'DCA-Anexo I-E'!C112+'DCA-Anexo I-E'!C111</t>
  </si>
  <si>
    <t>'DCA-Anexo I-E'!D108=+'DCA-Anexo I-E'!D109+'DCA-Anexo I-E'!D110+'DCA-Anexo I-E'!D112+'DCA-Anexo I-E'!D111</t>
  </si>
  <si>
    <t>'DCA-Anexo I-E'!E108=+'DCA-Anexo I-E'!E109+'DCA-Anexo I-E'!E110+'DCA-Anexo I-E'!E112+'DCA-Anexo I-E'!E111</t>
  </si>
  <si>
    <t>'DCA-Anexo I-E'!F108=+'DCA-Anexo I-E'!F109+'DCA-Anexo I-E'!F110+'DCA-Anexo I-E'!F112+'DCA-Anexo I-E'!F111</t>
  </si>
  <si>
    <t>'DCA-Anexo I-E'!B113=+'DCA-Anexo I-E'!B114+'DCA-Anexo I-E'!B115+'DCA-Anexo I-E'!B116+'DCA-Anexo I-E'!B118+'DCA-Anexo I-E'!B117</t>
  </si>
  <si>
    <t>'DCA-Anexo I-E'!C113=+'DCA-Anexo I-E'!C114+'DCA-Anexo I-E'!C115+'DCA-Anexo I-E'!C116+'DCA-Anexo I-E'!C118+'DCA-Anexo I-E'!C117</t>
  </si>
  <si>
    <t>'DCA-Anexo I-E'!D113=+'DCA-Anexo I-E'!D114+'DCA-Anexo I-E'!D115+'DCA-Anexo I-E'!D116+'DCA-Anexo I-E'!D118+'DCA-Anexo I-E'!D117</t>
  </si>
  <si>
    <t>'DCA-Anexo I-E'!E113=+'DCA-Anexo I-E'!E114+'DCA-Anexo I-E'!E115+'DCA-Anexo I-E'!E116+'DCA-Anexo I-E'!E118+'DCA-Anexo I-E'!E117</t>
  </si>
  <si>
    <t>'DCA-Anexo I-E'!F113=+'DCA-Anexo I-E'!F114+'DCA-Anexo I-E'!F115+'DCA-Anexo I-E'!F116+'DCA-Anexo I-E'!F118+'DCA-Anexo I-E'!F117</t>
  </si>
  <si>
    <t>'DCA-Anexo I-E'!B119=+'DCA-Anexo I-E'!B120+'DCA-Anexo I-E'!B121+'DCA-Anexo I-E'!B122+'DCA-Anexo I-E'!B124+'DCA-Anexo I-E'!B123</t>
  </si>
  <si>
    <t>'DCA-Anexo I-E'!C119=+'DCA-Anexo I-E'!C120+'DCA-Anexo I-E'!C121+'DCA-Anexo I-E'!C122+'DCA-Anexo I-E'!C124+'DCA-Anexo I-E'!C123</t>
  </si>
  <si>
    <t>'DCA-Anexo I-E'!D119=+'DCA-Anexo I-E'!D120+'DCA-Anexo I-E'!D121+'DCA-Anexo I-E'!D122+'DCA-Anexo I-E'!D124+'DCA-Anexo I-E'!D123</t>
  </si>
  <si>
    <t>'DCA-Anexo I-E'!E119=+'DCA-Anexo I-E'!E120+'DCA-Anexo I-E'!E121+'DCA-Anexo I-E'!E122+'DCA-Anexo I-E'!E124+'DCA-Anexo I-E'!E123</t>
  </si>
  <si>
    <t>'DCA-Anexo I-E'!F119=+'DCA-Anexo I-E'!F120+'DCA-Anexo I-E'!F121+'DCA-Anexo I-E'!F122+'DCA-Anexo I-E'!F124+'DCA-Anexo I-E'!F123</t>
  </si>
  <si>
    <t>'DCA-Anexo I-E'!B125=+'DCA-Anexo I-E'!B126+'DCA-Anexo I-E'!B127+'DCA-Anexo I-E'!B129+'DCA-Anexo I-E'!B128</t>
  </si>
  <si>
    <t>'DCA-Anexo I-E'!C125=+'DCA-Anexo I-E'!C126+'DCA-Anexo I-E'!C127+'DCA-Anexo I-E'!C129+'DCA-Anexo I-E'!C128</t>
  </si>
  <si>
    <t>'DCA-Anexo I-E'!D125=+'DCA-Anexo I-E'!D126+'DCA-Anexo I-E'!D127+'DCA-Anexo I-E'!D129+'DCA-Anexo I-E'!D128</t>
  </si>
  <si>
    <t>'DCA-Anexo I-E'!E125=+'DCA-Anexo I-E'!E126+'DCA-Anexo I-E'!E127+'DCA-Anexo I-E'!E129+'DCA-Anexo I-E'!E128</t>
  </si>
  <si>
    <t>'DCA-Anexo I-E'!F125=+'DCA-Anexo I-E'!F126+'DCA-Anexo I-E'!F127+'DCA-Anexo I-E'!F129+'DCA-Anexo I-E'!F128</t>
  </si>
  <si>
    <t>'DCA-Anexo I-E'!B130=+'DCA-Anexo I-E'!B131+'DCA-Anexo I-E'!B132+'DCA-Anexo I-E'!B134+'DCA-Anexo I-E'!B133</t>
  </si>
  <si>
    <t>'DCA-Anexo I-E'!C130=+'DCA-Anexo I-E'!C131+'DCA-Anexo I-E'!C132+'DCA-Anexo I-E'!C134+'DCA-Anexo I-E'!C133</t>
  </si>
  <si>
    <t>'DCA-Anexo I-E'!D130=+'DCA-Anexo I-E'!D131+'DCA-Anexo I-E'!D132+'DCA-Anexo I-E'!D134+'DCA-Anexo I-E'!D133</t>
  </si>
  <si>
    <t>'DCA-Anexo I-E'!E130=+'DCA-Anexo I-E'!E131+'DCA-Anexo I-E'!E132+'DCA-Anexo I-E'!E134+'DCA-Anexo I-E'!E133</t>
  </si>
  <si>
    <t>'DCA-Anexo I-E'!F130=+'DCA-Anexo I-E'!F131+'DCA-Anexo I-E'!F132+'DCA-Anexo I-E'!F134+'DCA-Anexo I-E'!F133</t>
  </si>
  <si>
    <t>'DCA-Anexo I-E'!B135=+'DCA-Anexo I-E'!B136+'DCA-Anexo I-E'!B137+'DCA-Anexo I-E'!B138+'DCA-Anexo I-E'!B139+'DCA-Anexo I-E'!B140+'DCA-Anexo I-E'!B142+'DCA-Anexo I-E'!B141</t>
  </si>
  <si>
    <t>'DCA-Anexo I-E'!C135=+'DCA-Anexo I-E'!C136+'DCA-Anexo I-E'!C137+'DCA-Anexo I-E'!C138+'DCA-Anexo I-E'!C139+'DCA-Anexo I-E'!C140+'DCA-Anexo I-E'!C142+'DCA-Anexo I-E'!C141</t>
  </si>
  <si>
    <t>'DCA-Anexo I-E'!D135=+'DCA-Anexo I-E'!D136+'DCA-Anexo I-E'!D137+'DCA-Anexo I-E'!D138+'DCA-Anexo I-E'!D139+'DCA-Anexo I-E'!D140+'DCA-Anexo I-E'!D142+'DCA-Anexo I-E'!D141</t>
  </si>
  <si>
    <t>'DCA-Anexo I-E'!E135=+'DCA-Anexo I-E'!E136+'DCA-Anexo I-E'!E137+'DCA-Anexo I-E'!E138+'DCA-Anexo I-E'!E139+'DCA-Anexo I-E'!E140+'DCA-Anexo I-E'!E142+'DCA-Anexo I-E'!E141</t>
  </si>
  <si>
    <t>'DCA-Anexo I-E'!F135=+'DCA-Anexo I-E'!F136+'DCA-Anexo I-E'!F137+'DCA-Anexo I-E'!F138+'DCA-Anexo I-E'!F139+'DCA-Anexo I-E'!F140+'DCA-Anexo I-E'!F142+'DCA-Anexo I-E'!F141</t>
  </si>
  <si>
    <t>'DCA-Anexo I-E'!B143=+'DCA-Anexo I-E'!B144+'DCA-Anexo I-E'!B145+'DCA-Anexo I-E'!B146+'DCA-Anexo I-E'!B148+'DCA-Anexo I-E'!B147</t>
  </si>
  <si>
    <t>'DCA-Anexo I-E'!C143=+'DCA-Anexo I-E'!C144+'DCA-Anexo I-E'!C145+'DCA-Anexo I-E'!C146+'DCA-Anexo I-E'!C148+'DCA-Anexo I-E'!C147</t>
  </si>
  <si>
    <t>'DCA-Anexo I-E'!D143=+'DCA-Anexo I-E'!D144+'DCA-Anexo I-E'!D145+'DCA-Anexo I-E'!D146+'DCA-Anexo I-E'!D148+'DCA-Anexo I-E'!D147</t>
  </si>
  <si>
    <t>'DCA-Anexo I-E'!E143=+'DCA-Anexo I-E'!E144+'DCA-Anexo I-E'!E145+'DCA-Anexo I-E'!E146+'DCA-Anexo I-E'!E148+'DCA-Anexo I-E'!E147</t>
  </si>
  <si>
    <t>'DCA-Anexo I-E'!F143=+'DCA-Anexo I-E'!F144+'DCA-Anexo I-E'!F145+'DCA-Anexo I-E'!F146+'DCA-Anexo I-E'!F148+'DCA-Anexo I-E'!F147</t>
  </si>
  <si>
    <t>'DCA-Anexo I-E'!B149=+'DCA-Anexo I-E'!B150+'DCA-Anexo I-E'!B151+'DCA-Anexo I-E'!B152+'DCA-Anexo I-E'!B153+'DCA-Anexo I-E'!B154+'DCA-Anexo I-E'!B156+'DCA-Anexo I-E'!B155</t>
  </si>
  <si>
    <t>'DCA-Anexo I-E'!C149=+'DCA-Anexo I-E'!C150+'DCA-Anexo I-E'!C151+'DCA-Anexo I-E'!C152+'DCA-Anexo I-E'!C153+'DCA-Anexo I-E'!C154+'DCA-Anexo I-E'!C156+'DCA-Anexo I-E'!C155</t>
  </si>
  <si>
    <t>'DCA-Anexo I-E'!D149=+'DCA-Anexo I-E'!D150+'DCA-Anexo I-E'!D151+'DCA-Anexo I-E'!D152+'DCA-Anexo I-E'!D153+'DCA-Anexo I-E'!D154+'DCA-Anexo I-E'!D156+'DCA-Anexo I-E'!D155</t>
  </si>
  <si>
    <t>'DCA-Anexo I-E'!E149=+'DCA-Anexo I-E'!E150+'DCA-Anexo I-E'!E151+'DCA-Anexo I-E'!E152+'DCA-Anexo I-E'!E153+'DCA-Anexo I-E'!E154+'DCA-Anexo I-E'!E156+'DCA-Anexo I-E'!E155</t>
  </si>
  <si>
    <t>'DCA-Anexo I-E'!F149=+'DCA-Anexo I-E'!F150+'DCA-Anexo I-E'!F151+'DCA-Anexo I-E'!F152+'DCA-Anexo I-E'!F153+'DCA-Anexo I-E'!F154+'DCA-Anexo I-E'!F156+'DCA-Anexo I-E'!F155</t>
  </si>
  <si>
    <t>'DCA-Anexo I-E'!B157=+'DCA-Anexo I-E'!B158+'DCA-Anexo I-E'!B159+'DCA-Anexo I-E'!B161+'DCA-Anexo I-E'!B160</t>
  </si>
  <si>
    <t>'DCA-Anexo I-E'!C157=+'DCA-Anexo I-E'!C158+'DCA-Anexo I-E'!C159+'DCA-Anexo I-E'!C161+'DCA-Anexo I-E'!C160</t>
  </si>
  <si>
    <t>'DCA-Anexo I-E'!D157=+'DCA-Anexo I-E'!D158+'DCA-Anexo I-E'!D159+'DCA-Anexo I-E'!D161+'DCA-Anexo I-E'!D160</t>
  </si>
  <si>
    <t>'DCA-Anexo I-E'!E157=+'DCA-Anexo I-E'!E158+'DCA-Anexo I-E'!E159+'DCA-Anexo I-E'!E161+'DCA-Anexo I-E'!E160</t>
  </si>
  <si>
    <t>'DCA-Anexo I-E'!F157=+'DCA-Anexo I-E'!F158+'DCA-Anexo I-E'!F159+'DCA-Anexo I-E'!F161+'DCA-Anexo I-E'!F160</t>
  </si>
  <si>
    <t>'DCA-Anexo I-E'!B162=+'DCA-Anexo I-E'!B163+'DCA-Anexo I-E'!B164+'DCA-Anexo I-E'!B165+'DCA-Anexo I-E'!B166+'DCA-Anexo I-E'!B167+'DCA-Anexo I-E'!B169+'DCA-Anexo I-E'!B168</t>
  </si>
  <si>
    <t>'DCA-Anexo I-E'!C162=+'DCA-Anexo I-E'!C163+'DCA-Anexo I-E'!C164+'DCA-Anexo I-E'!C165+'DCA-Anexo I-E'!C166+'DCA-Anexo I-E'!C167+'DCA-Anexo I-E'!C169+'DCA-Anexo I-E'!C168</t>
  </si>
  <si>
    <t>'DCA-Anexo I-E'!D162=+'DCA-Anexo I-E'!D163+'DCA-Anexo I-E'!D164+'DCA-Anexo I-E'!D165+'DCA-Anexo I-E'!D166+'DCA-Anexo I-E'!D167+'DCA-Anexo I-E'!D169+'DCA-Anexo I-E'!D168</t>
  </si>
  <si>
    <t>'DCA-Anexo I-E'!E162=+'DCA-Anexo I-E'!E163+'DCA-Anexo I-E'!E164+'DCA-Anexo I-E'!E165+'DCA-Anexo I-E'!E166+'DCA-Anexo I-E'!E167+'DCA-Anexo I-E'!E169+'DCA-Anexo I-E'!E168</t>
  </si>
  <si>
    <t>'DCA-Anexo I-E'!F162=+'DCA-Anexo I-E'!F163+'DCA-Anexo I-E'!F164+'DCA-Anexo I-E'!F165+'DCA-Anexo I-E'!F166+'DCA-Anexo I-E'!F167+'DCA-Anexo I-E'!F169+'DCA-Anexo I-E'!F168</t>
  </si>
  <si>
    <t>'DCA-Anexo I-E'!B170=+'DCA-Anexo I-E'!B171+'DCA-Anexo I-E'!B172+'DCA-Anexo I-E'!B173+'DCA-Anexo I-E'!B174+'DCA-Anexo I-E'!B175+'DCA-Anexo I-E'!B177+'DCA-Anexo I-E'!B176</t>
  </si>
  <si>
    <t>'DCA-Anexo I-E'!C170=+'DCA-Anexo I-E'!C171+'DCA-Anexo I-E'!C172+'DCA-Anexo I-E'!C173+'DCA-Anexo I-E'!C174+'DCA-Anexo I-E'!C175+'DCA-Anexo I-E'!C177+'DCA-Anexo I-E'!C176</t>
  </si>
  <si>
    <t>'DCA-Anexo I-E'!D170=+'DCA-Anexo I-E'!D171+'DCA-Anexo I-E'!D172+'DCA-Anexo I-E'!D173+'DCA-Anexo I-E'!D174+'DCA-Anexo I-E'!D175+'DCA-Anexo I-E'!D177+'DCA-Anexo I-E'!D176</t>
  </si>
  <si>
    <t>'DCA-Anexo I-E'!E170=+'DCA-Anexo I-E'!E171+'DCA-Anexo I-E'!E172+'DCA-Anexo I-E'!E173+'DCA-Anexo I-E'!E174+'DCA-Anexo I-E'!E175+'DCA-Anexo I-E'!E177+'DCA-Anexo I-E'!E176</t>
  </si>
  <si>
    <t>'DCA-Anexo I-E'!F170=+'DCA-Anexo I-E'!F171+'DCA-Anexo I-E'!F172+'DCA-Anexo I-E'!F173+'DCA-Anexo I-E'!F174+'DCA-Anexo I-E'!F175+'DCA-Anexo I-E'!F177+'DCA-Anexo I-E'!F176</t>
  </si>
  <si>
    <t>'DCA-Anexo I-E'!B178=+'DCA-Anexo I-E'!B179+'DCA-Anexo I-E'!B180+'DCA-Anexo I-E'!B182+'DCA-Anexo I-E'!B181</t>
  </si>
  <si>
    <t>'DCA-Anexo I-E'!C178=+'DCA-Anexo I-E'!C179+'DCA-Anexo I-E'!C180+'DCA-Anexo I-E'!C182+'DCA-Anexo I-E'!C181</t>
  </si>
  <si>
    <t>'DCA-Anexo I-E'!D178=+'DCA-Anexo I-E'!D179+'DCA-Anexo I-E'!D180+'DCA-Anexo I-E'!D182+'DCA-Anexo I-E'!D181</t>
  </si>
  <si>
    <t>'DCA-Anexo I-E'!E178=+'DCA-Anexo I-E'!E179+'DCA-Anexo I-E'!E180+'DCA-Anexo I-E'!E182+'DCA-Anexo I-E'!E181</t>
  </si>
  <si>
    <t>'DCA-Anexo I-E'!F178=+'DCA-Anexo I-E'!F179+'DCA-Anexo I-E'!F180+'DCA-Anexo I-E'!F182+'DCA-Anexo I-E'!F181</t>
  </si>
  <si>
    <t>'DCA-Anexo I-E'!B183=+'DCA-Anexo I-E'!B184+'DCA-Anexo I-E'!B185+'DCA-Anexo I-E'!B186+'DCA-Anexo I-E'!B187+'DCA-Anexo I-E'!B189+'DCA-Anexo I-E'!B188</t>
  </si>
  <si>
    <t>'DCA-Anexo I-E'!C183=+'DCA-Anexo I-E'!C184+'DCA-Anexo I-E'!C185+'DCA-Anexo I-E'!C186+'DCA-Anexo I-E'!C187+'DCA-Anexo I-E'!C189+'DCA-Anexo I-E'!C188</t>
  </si>
  <si>
    <t>'DCA-Anexo I-E'!D183=+'DCA-Anexo I-E'!D184+'DCA-Anexo I-E'!D185+'DCA-Anexo I-E'!D186+'DCA-Anexo I-E'!D187+'DCA-Anexo I-E'!D189+'DCA-Anexo I-E'!D188</t>
  </si>
  <si>
    <t>'DCA-Anexo I-E'!E183=+'DCA-Anexo I-E'!E184+'DCA-Anexo I-E'!E185+'DCA-Anexo I-E'!E186+'DCA-Anexo I-E'!E187+'DCA-Anexo I-E'!E189+'DCA-Anexo I-E'!E188</t>
  </si>
  <si>
    <t>'DCA-Anexo I-E'!F183=+'DCA-Anexo I-E'!F184+'DCA-Anexo I-E'!F185+'DCA-Anexo I-E'!F186+'DCA-Anexo I-E'!F187+'DCA-Anexo I-E'!F189+'DCA-Anexo I-E'!F188</t>
  </si>
  <si>
    <t>'DCA-Anexo I-E'!B190=+'DCA-Anexo I-E'!B191+'DCA-Anexo I-E'!B192+'DCA-Anexo I-E'!B193+'DCA-Anexo I-E'!B194+'DCA-Anexo I-E'!B195+'DCA-Anexo I-E'!B197+'DCA-Anexo I-E'!B196</t>
  </si>
  <si>
    <t>'DCA-Anexo I-E'!C190=+'DCA-Anexo I-E'!C191+'DCA-Anexo I-E'!C192+'DCA-Anexo I-E'!C193+'DCA-Anexo I-E'!C194+'DCA-Anexo I-E'!C195+'DCA-Anexo I-E'!C197+'DCA-Anexo I-E'!C196</t>
  </si>
  <si>
    <t>'DCA-Anexo I-E'!D190=+'DCA-Anexo I-E'!D191+'DCA-Anexo I-E'!D192+'DCA-Anexo I-E'!D193+'DCA-Anexo I-E'!D194+'DCA-Anexo I-E'!D195+'DCA-Anexo I-E'!D197+'DCA-Anexo I-E'!D196</t>
  </si>
  <si>
    <t>'DCA-Anexo I-E'!E190=+'DCA-Anexo I-E'!E191+'DCA-Anexo I-E'!E192+'DCA-Anexo I-E'!E193+'DCA-Anexo I-E'!E194+'DCA-Anexo I-E'!E195+'DCA-Anexo I-E'!E197+'DCA-Anexo I-E'!E196</t>
  </si>
  <si>
    <t>'DCA-Anexo I-E'!F190=+'DCA-Anexo I-E'!F191+'DCA-Anexo I-E'!F192+'DCA-Anexo I-E'!F193+'DCA-Anexo I-E'!F194+'DCA-Anexo I-E'!F195+'DCA-Anexo I-E'!F197+'DCA-Anexo I-E'!F196</t>
  </si>
  <si>
    <t>'DCA-Anexo I-E'!B198=+'DCA-Anexo I-E'!B199+'DCA-Anexo I-E'!B200+'DCA-Anexo I-E'!B201+'DCA-Anexo I-E'!B203+'DCA-Anexo I-E'!B202</t>
  </si>
  <si>
    <t>'DCA-Anexo I-E'!C198=+'DCA-Anexo I-E'!C199+'DCA-Anexo I-E'!C200+'DCA-Anexo I-E'!C201+'DCA-Anexo I-E'!C203+'DCA-Anexo I-E'!C202</t>
  </si>
  <si>
    <t>'DCA-Anexo I-E'!D198=+'DCA-Anexo I-E'!D199+'DCA-Anexo I-E'!D200+'DCA-Anexo I-E'!D201+'DCA-Anexo I-E'!D203+'DCA-Anexo I-E'!D202</t>
  </si>
  <si>
    <t>'DCA-Anexo I-E'!E198=+'DCA-Anexo I-E'!E199+'DCA-Anexo I-E'!E200+'DCA-Anexo I-E'!E201+'DCA-Anexo I-E'!E203+'DCA-Anexo I-E'!E202</t>
  </si>
  <si>
    <t>'DCA-Anexo I-E'!F198=+'DCA-Anexo I-E'!F199+'DCA-Anexo I-E'!F200+'DCA-Anexo I-E'!F201+'DCA-Anexo I-E'!F203+'DCA-Anexo I-E'!F202</t>
  </si>
  <si>
    <t>'DCA-Anexo I-E'!B204=+'DCA-Anexo I-E'!B205+'DCA-Anexo I-E'!B206+'DCA-Anexo I-E'!B207+'DCA-Anexo I-E'!B208+'DCA-Anexo I-E'!B209+'DCA-Anexo I-E'!B210+'DCA-Anexo I-E'!B211+'DCA-Anexo I-E'!B212</t>
  </si>
  <si>
    <t>'DCA-Anexo I-E'!C204=+'DCA-Anexo I-E'!C205+'DCA-Anexo I-E'!C206+'DCA-Anexo I-E'!C207+'DCA-Anexo I-E'!C208+'DCA-Anexo I-E'!C209+'DCA-Anexo I-E'!C210+'DCA-Anexo I-E'!C211+'DCA-Anexo I-E'!C212</t>
  </si>
  <si>
    <t>'DCA-Anexo I-E'!D204=+'DCA-Anexo I-E'!D205+'DCA-Anexo I-E'!D206+'DCA-Anexo I-E'!D207+'DCA-Anexo I-E'!D208+'DCA-Anexo I-E'!D209+'DCA-Anexo I-E'!D210+'DCA-Anexo I-E'!D211+'DCA-Anexo I-E'!D212</t>
  </si>
  <si>
    <t>'DCA-Anexo I-E'!E204=+'DCA-Anexo I-E'!E205+'DCA-Anexo I-E'!E206+'DCA-Anexo I-E'!E207+'DCA-Anexo I-E'!E208+'DCA-Anexo I-E'!E209+'DCA-Anexo I-E'!E210+'DCA-Anexo I-E'!E211+'DCA-Anexo I-E'!E212</t>
  </si>
  <si>
    <t>'DCA-Anexo I-E'!F204=+'DCA-Anexo I-E'!F205+'DCA-Anexo I-E'!F206+'DCA-Anexo I-E'!F207+'DCA-Anexo I-E'!F208+'DCA-Anexo I-E'!F209+'DCA-Anexo I-E'!F210+'DCA-Anexo I-E'!F211+'DCA-Anexo I-E'!F212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</si>
</sst>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>
    <font>
      <sz val="10"/>
      <name val="Arial"/>
      <family val="2"/>
    </font>
    <font>
      <b/>
      <sz val="10"/>
      <color indexed="12"/>
      <name val="Arial"/>
      <family val="2"/>
    </font>
    <font>
      <b/>
      <sz val="14"/>
      <color indexed="63"/>
      <name val="LucidaSansRegular"/>
    </font>
    <font>
      <b/>
      <sz val="10"/>
      <color indexed="63"/>
      <name val="LucidaSansRegular"/>
    </font>
    <font>
      <b/>
      <sz val="10"/>
      <color indexed="9"/>
      <name val="LucidaSansRegular"/>
    </font>
    <font>
      <sz val="10"/>
      <color indexed="8"/>
      <name val="LucidaSansRegular"/>
    </font>
    <font>
      <sz val="10"/>
      <color indexed="8"/>
      <name val="LucidaSansRegular"/>
    </font>
    <font>
      <sz val="10"/>
      <color indexed="8"/>
      <name val="LucidaSansRegular"/>
    </font>
    <font>
      <sz val="10"/>
      <color indexed="8"/>
      <name val="LucidaSansRegular"/>
    </font>
    <font>
      <b/>
      <sz val="10"/>
      <color indexed="9"/>
      <name val="LucidaSansRegular"/>
    </font>
    <font>
      <sz val="10"/>
      <color indexed="12"/>
      <name val="LucidaSansRegular"/>
    </font>
    <font>
      <b/>
      <sz val="10"/>
      <color indexed="9"/>
      <name val="LucidaSansRegular"/>
    </font>
    <font>
      <sz val="10"/>
      <color indexed="8"/>
      <name val="LucidaSansRegular"/>
    </font>
    <font>
      <sz val="10"/>
      <color indexed="8"/>
      <name val="LucidaSansRegular"/>
    </font>
    <font>
      <sz val="10"/>
      <color indexed="8"/>
      <name val="LucidaSansRegular"/>
    </font>
    <font>
      <b/>
      <sz val="10"/>
      <color indexed="9"/>
      <name val="LucidaSansRegular"/>
    </font>
    <font>
      <b/>
      <sz val="10"/>
      <color indexed="9"/>
      <name val="LucidaSansRegular"/>
    </font>
    <font>
      <b/>
      <sz val="10"/>
      <color indexed="9"/>
      <name val="LucidaSansRegular"/>
    </font>
    <font>
      <b/>
      <sz val="10"/>
      <color indexed="9"/>
      <name val="LucidaSansRegular"/>
    </font>
    <font>
      <b/>
      <sz val="10"/>
      <color indexed="9"/>
      <name val="LucidaSansRegular"/>
    </font>
    <font>
      <b/>
      <sz val="10"/>
      <color indexed="9"/>
      <name val="LucidaSansRegular"/>
    </font>
  </fonts>
  <fills count="9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40"/>
        <bgColor indexed="64"/>
      </patternFill>
    </fill>
    <fill>
      <patternFill patternType="lightDown">
        <fgColor indexed="44"/>
        <bgColor indexed="64"/>
      </patternFill>
    </fill>
    <fill>
      <patternFill patternType="lightDown">
        <fgColor indexed="22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30"/>
        <bgColor indexed="64"/>
      </patternFill>
    </fill>
  </fills>
  <borders count="3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5" fillId="2" borderId="1" xfId="0" applyFont="1" applyFill="1" applyBorder="1" applyAlignment="1">
      <alignment vertical="center" wrapText="1"/>
    </xf>
    <xf numFmtId="0" fontId="6" fillId="3" borderId="1" xfId="0" applyFont="1" applyFill="1" applyBorder="1" applyAlignment="1">
      <alignment vertical="center" wrapText="1"/>
    </xf>
    <xf numFmtId="0" fontId="7" fillId="4" borderId="1" xfId="0" applyFont="1" applyFill="1" applyBorder="1"/>
    <xf numFmtId="0" fontId="8" fillId="5" borderId="1" xfId="0" applyFont="1" applyFill="1" applyBorder="1"/>
    <xf numFmtId="0" fontId="9" fillId="6" borderId="1" xfId="0" applyFont="1" applyFill="1" applyBorder="1" applyAlignment="1">
      <alignment vertical="center" wrapText="1"/>
    </xf>
    <xf numFmtId="0" fontId="10" fillId="7" borderId="2" xfId="0" applyFont="1" applyFill="1" applyBorder="1" applyAlignment="1">
      <alignment wrapText="1"/>
    </xf>
    <xf numFmtId="0" fontId="11" fillId="0" borderId="0" xfId="0" applyFont="1"/>
    <xf numFmtId="0" fontId="0" fillId="0" borderId="0" xfId="0" applyProtection="1">
      <protection locked="0"/>
    </xf>
    <xf numFmtId="4" fontId="12" fillId="2" borderId="1" xfId="0" applyNumberFormat="1" applyFont="1" applyFill="1" applyBorder="1" applyAlignment="1" applyProtection="1">
      <alignment vertical="center"/>
      <protection locked="0"/>
    </xf>
    <xf numFmtId="4" fontId="13" fillId="3" borderId="1" xfId="0" applyNumberFormat="1" applyFont="1" applyFill="1" applyBorder="1" applyAlignment="1" applyProtection="1">
      <alignment vertical="center"/>
      <protection locked="0"/>
    </xf>
    <xf numFmtId="4" fontId="14" fillId="3" borderId="1" xfId="0" applyNumberFormat="1" applyFont="1" applyFill="1" applyBorder="1" applyAlignment="1" applyProtection="1">
      <alignment vertical="center" wrapText="1"/>
      <protection locked="0"/>
    </xf>
    <xf numFmtId="0" fontId="15" fillId="0" borderId="0" xfId="0" applyFont="1"/>
    <xf numFmtId="0" fontId="16" fillId="0" borderId="0" xfId="0" applyFont="1"/>
    <xf numFmtId="0" fontId="17" fillId="0" borderId="0" xfId="0" applyFont="1"/>
    <xf numFmtId="0" fontId="18" fillId="0" borderId="0" xfId="0" applyFont="1"/>
    <xf numFmtId="0" fontId="19" fillId="0" borderId="0" xfId="0" applyFont="1"/>
    <xf numFmtId="0" fontId="20" fillId="0" borderId="0" xfId="0" applyFont="1"/>
    <xf numFmtId="4" fontId="13" fillId="2" borderId="1" xfId="0" applyNumberFormat="1" applyFont="1" applyFill="1" applyBorder="1" applyAlignment="1" applyProtection="1">
      <alignment vertical="center"/>
      <protection locked="0"/>
    </xf>
    <xf numFmtId="0" fontId="4" fillId="8" borderId="1" xfId="0" applyFont="1" applyFill="1" applyBorder="1" applyAlignment="1">
      <alignment horizontal="center" vertic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202020"/>
      <rgbColor rgb="00FFFFFF"/>
      <rgbColor rgb="00FF0000"/>
      <rgbColor rgb="0000FF00"/>
      <rgbColor rgb="0000529C"/>
      <rgbColor rgb="00FFFF00"/>
      <rgbColor rgb="00FF00FF"/>
      <rgbColor rgb="0000FFFF"/>
      <rgbColor rgb="00800000"/>
      <rgbColor rgb="00008000"/>
      <rgbColor rgb="003F6797"/>
      <rgbColor rgb="00808000"/>
      <rgbColor rgb="00800080"/>
      <rgbColor rgb="00008080"/>
      <rgbColor rgb="00E0E0E0"/>
      <rgbColor rgb="00808080"/>
      <rgbColor rgb="009999FF"/>
      <rgbColor rgb="00993366"/>
      <rgbColor rgb="00FFFFCC"/>
      <rgbColor rgb="00CCFFFF"/>
      <rgbColor rgb="00660066"/>
      <rgbColor rgb="00FF8080"/>
      <rgbColor rgb="004F81BD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B8CCE4"/>
      <rgbColor rgb="00CCFFFF"/>
      <rgbColor rgb="00CCFFCC"/>
      <rgbColor rgb="00FFFF99"/>
      <rgbColor rgb="00DBE5F1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Button" lockText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3749040</xdr:colOff>
      <xdr:row>5</xdr:row>
      <xdr:rowOff>91440</xdr:rowOff>
    </xdr:to>
    <xdr:pic>
      <xdr:nvPicPr>
        <xdr:cNvPr id="1049" name="Picture 2">
          <a:extLst>
            <a:ext uri="{FF2B5EF4-FFF2-40B4-BE49-F238E27FC236}">
              <a16:creationId xmlns:a16="http://schemas.microsoft.com/office/drawing/2014/main" id="{21E83DF5-3717-7A62-DCEC-4C64E6CA47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749040" cy="1950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4</xdr:col>
          <xdr:colOff>0</xdr:colOff>
          <xdr:row>3</xdr:row>
          <xdr:rowOff>0</xdr:rowOff>
        </xdr:from>
        <xdr:to>
          <xdr:col>7</xdr:col>
          <xdr:colOff>0</xdr:colOff>
          <xdr:row>6</xdr:row>
          <xdr:rowOff>0</xdr:rowOff>
        </xdr:to>
        <xdr:sp macro="" textlink="">
          <xdr:nvSpPr>
            <xdr:cNvPr id="1042" name="Botao1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E643864A-1B2D-74EB-26A7-8FB6C7E5628B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27432" rIns="36576" bIns="27432" anchor="ctr" upright="1"/>
            <a:lstStyle/>
            <a:p>
              <a:pPr algn="ctr" rtl="0">
                <a:defRPr sz="1000"/>
              </a:pPr>
              <a:r>
                <a:rPr lang="pt-BR" sz="1000" b="1" i="0" u="none" strike="noStrike" baseline="0">
                  <a:solidFill>
                    <a:srgbClr val="00529C"/>
                  </a:solidFill>
                  <a:latin typeface="Arial"/>
                  <a:cs typeface="Arial"/>
                </a:rPr>
                <a:t>Validar Fórmulas</a:t>
              </a:r>
            </a:p>
          </xdr:txBody>
        </xdr:sp>
        <xdr:clientData fPrintsWithSheet="0"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3756660</xdr:colOff>
      <xdr:row>5</xdr:row>
      <xdr:rowOff>91440</xdr:rowOff>
    </xdr:to>
    <xdr:pic>
      <xdr:nvPicPr>
        <xdr:cNvPr id="3094" name="Picture 1">
          <a:extLst>
            <a:ext uri="{FF2B5EF4-FFF2-40B4-BE49-F238E27FC236}">
              <a16:creationId xmlns:a16="http://schemas.microsoft.com/office/drawing/2014/main" id="{88EE5B82-F093-02A6-4B98-5294DA3B92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756660" cy="1950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3756660</xdr:colOff>
      <xdr:row>5</xdr:row>
      <xdr:rowOff>91440</xdr:rowOff>
    </xdr:to>
    <xdr:pic>
      <xdr:nvPicPr>
        <xdr:cNvPr id="4118" name="Picture 1">
          <a:extLst>
            <a:ext uri="{FF2B5EF4-FFF2-40B4-BE49-F238E27FC236}">
              <a16:creationId xmlns:a16="http://schemas.microsoft.com/office/drawing/2014/main" id="{6F8541F0-7302-4A85-BFEA-E27006DBB8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756660" cy="1950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3764280</xdr:colOff>
      <xdr:row>5</xdr:row>
      <xdr:rowOff>91440</xdr:rowOff>
    </xdr:to>
    <xdr:pic>
      <xdr:nvPicPr>
        <xdr:cNvPr id="5142" name="Picture 1">
          <a:extLst>
            <a:ext uri="{FF2B5EF4-FFF2-40B4-BE49-F238E27FC236}">
              <a16:creationId xmlns:a16="http://schemas.microsoft.com/office/drawing/2014/main" id="{CEBF020E-68E9-C524-38AD-CD9502EE53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764280" cy="1950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3749040</xdr:colOff>
      <xdr:row>5</xdr:row>
      <xdr:rowOff>91440</xdr:rowOff>
    </xdr:to>
    <xdr:pic>
      <xdr:nvPicPr>
        <xdr:cNvPr id="6166" name="Picture 1">
          <a:extLst>
            <a:ext uri="{FF2B5EF4-FFF2-40B4-BE49-F238E27FC236}">
              <a16:creationId xmlns:a16="http://schemas.microsoft.com/office/drawing/2014/main" id="{67D0C12D-9487-570B-9758-A4015BD6A7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749040" cy="1950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3749040</xdr:colOff>
      <xdr:row>5</xdr:row>
      <xdr:rowOff>91440</xdr:rowOff>
    </xdr:to>
    <xdr:pic>
      <xdr:nvPicPr>
        <xdr:cNvPr id="7190" name="Picture 1">
          <a:extLst>
            <a:ext uri="{FF2B5EF4-FFF2-40B4-BE49-F238E27FC236}">
              <a16:creationId xmlns:a16="http://schemas.microsoft.com/office/drawing/2014/main" id="{40EB4733-3044-EDEC-9408-94748346B4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749040" cy="1950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3764280</xdr:colOff>
      <xdr:row>5</xdr:row>
      <xdr:rowOff>91440</xdr:rowOff>
    </xdr:to>
    <xdr:pic>
      <xdr:nvPicPr>
        <xdr:cNvPr id="8214" name="Picture 1">
          <a:extLst>
            <a:ext uri="{FF2B5EF4-FFF2-40B4-BE49-F238E27FC236}">
              <a16:creationId xmlns:a16="http://schemas.microsoft.com/office/drawing/2014/main" id="{5A129503-9395-E86E-C4E7-68FAB85C90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764280" cy="19507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trlProp" Target="../ctrlProps/ctrlProp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9DD50-FE64-4CCC-926C-74D468C5E707}">
  <sheetPr codeName="Plan1"/>
  <dimension ref="A1:E1096"/>
  <sheetViews>
    <sheetView showGridLines="0" topLeftCell="A63" zoomScale="110" zoomScaleNormal="110" workbookViewId="0">
      <pane xSplit="1" topLeftCell="B1" activePane="topRight" state="frozen"/>
      <selection pane="topRight"/>
    </sheetView>
  </sheetViews>
  <sheetFormatPr defaultRowHeight="13.2"/>
  <cols>
    <col min="1" max="1" width="71" customWidth="1"/>
    <col min="2" max="2" width="21" customWidth="1"/>
  </cols>
  <sheetData>
    <row r="1" spans="1:5" ht="74.099999999999994" customHeight="1">
      <c r="A1" s="8"/>
    </row>
    <row r="2" spans="1:5">
      <c r="A2" s="9" t="s">
        <v>0</v>
      </c>
    </row>
    <row r="3" spans="1:5" ht="20.100000000000001" customHeight="1">
      <c r="A3" s="1" t="s">
        <v>1</v>
      </c>
    </row>
    <row r="4" spans="1:5" ht="20.100000000000001" customHeight="1">
      <c r="A4" s="1" t="s">
        <v>2</v>
      </c>
    </row>
    <row r="5" spans="1:5" ht="20.100000000000001" customHeight="1">
      <c r="A5" s="1" t="s">
        <v>3</v>
      </c>
      <c r="E5" s="10"/>
    </row>
    <row r="7" spans="1:5">
      <c r="A7" s="2" t="s">
        <v>4</v>
      </c>
    </row>
    <row r="8" spans="1:5">
      <c r="A8" s="2" t="s">
        <v>5</v>
      </c>
    </row>
    <row r="9" spans="1:5">
      <c r="A9" s="2" t="s">
        <v>6</v>
      </c>
    </row>
    <row r="10" spans="1:5">
      <c r="A10" s="2" t="s">
        <v>7</v>
      </c>
    </row>
    <row r="11" spans="1:5">
      <c r="A11" s="2" t="s">
        <v>8</v>
      </c>
    </row>
    <row r="12" spans="1:5">
      <c r="A12" s="2" t="s">
        <v>9</v>
      </c>
    </row>
    <row r="14" spans="1:5" ht="13.2" customHeight="1">
      <c r="A14" s="7" t="s">
        <v>10</v>
      </c>
    </row>
    <row r="15" spans="1:5" ht="13.2" customHeight="1">
      <c r="A15" s="7" t="s">
        <v>11</v>
      </c>
    </row>
    <row r="16" spans="1:5" ht="13.2" customHeight="1">
      <c r="A16" s="7" t="s">
        <v>12</v>
      </c>
    </row>
    <row r="17" spans="1:2" ht="30" customHeight="1">
      <c r="A17" s="21" t="s">
        <v>13</v>
      </c>
      <c r="B17" s="21" t="s">
        <v>14</v>
      </c>
    </row>
    <row r="18" spans="1:2" ht="30" customHeight="1">
      <c r="A18" s="22"/>
      <c r="B18" s="21" t="s">
        <v>15</v>
      </c>
    </row>
    <row r="19" spans="1:2" ht="13.2" customHeight="1">
      <c r="A19" s="3" t="s">
        <v>16</v>
      </c>
      <c r="B19" s="5"/>
    </row>
    <row r="20" spans="1:2" ht="13.2" customHeight="1">
      <c r="A20" s="4" t="s">
        <v>17</v>
      </c>
      <c r="B20" s="6"/>
    </row>
    <row r="21" spans="1:2" ht="13.2" customHeight="1">
      <c r="A21" s="3" t="s">
        <v>18</v>
      </c>
      <c r="B21" s="11">
        <f>+'DCA-Anexo I-AB'!B22+'DCA-Anexo I-AB'!B227</f>
        <v>54031265.479999997</v>
      </c>
    </row>
    <row r="22" spans="1:2" ht="13.2" customHeight="1">
      <c r="A22" s="4" t="s">
        <v>19</v>
      </c>
      <c r="B22" s="12">
        <f>+'DCA-Anexo I-AB'!B23+'DCA-Anexo I-AB'!B32+'DCA-Anexo I-AB'!B75+'DCA-Anexo I-AB'!B124+'DCA-Anexo I-AB'!B135+'DCA-Anexo I-AB'!B152+'DCA-Anexo I-AB'!B172+'DCA-Anexo I-AB'!B169</f>
        <v>11601959.899999999</v>
      </c>
    </row>
    <row r="23" spans="1:2" ht="13.2" customHeight="1">
      <c r="A23" s="3" t="s">
        <v>20</v>
      </c>
      <c r="B23" s="11">
        <f>+'DCA-Anexo I-AB'!B24+'DCA-Anexo I-AB'!B27+'DCA-Anexo I-AB'!B29</f>
        <v>7883059.6399999997</v>
      </c>
    </row>
    <row r="24" spans="1:2" ht="13.2" customHeight="1">
      <c r="A24" s="4" t="s">
        <v>21</v>
      </c>
      <c r="B24" s="12">
        <f>+'DCA-Anexo I-AB'!B25+'DCA-Anexo I-AB'!B26</f>
        <v>7883059.6399999997</v>
      </c>
    </row>
    <row r="25" spans="1:2" ht="26.4" customHeight="1">
      <c r="A25" s="3" t="s">
        <v>22</v>
      </c>
      <c r="B25" s="11">
        <v>7883059.6399999997</v>
      </c>
    </row>
    <row r="26" spans="1:2" ht="26.4" customHeight="1">
      <c r="A26" s="4" t="s">
        <v>23</v>
      </c>
      <c r="B26" s="12"/>
    </row>
    <row r="27" spans="1:2" ht="13.2" customHeight="1">
      <c r="A27" s="3" t="s">
        <v>24</v>
      </c>
      <c r="B27" s="11">
        <f>+'DCA-Anexo I-AB'!B28</f>
        <v>0</v>
      </c>
    </row>
    <row r="28" spans="1:2" ht="26.4" customHeight="1">
      <c r="A28" s="4" t="s">
        <v>25</v>
      </c>
      <c r="B28" s="12"/>
    </row>
    <row r="29" spans="1:2" ht="26.4" customHeight="1">
      <c r="A29" s="3" t="s">
        <v>26</v>
      </c>
      <c r="B29" s="11">
        <f>+'DCA-Anexo I-AB'!B30+'DCA-Anexo I-AB'!B31</f>
        <v>0</v>
      </c>
    </row>
    <row r="30" spans="1:2" ht="26.4" customHeight="1">
      <c r="A30" s="4" t="s">
        <v>27</v>
      </c>
      <c r="B30" s="12"/>
    </row>
    <row r="31" spans="1:2" ht="13.2" customHeight="1">
      <c r="A31" s="3" t="s">
        <v>28</v>
      </c>
      <c r="B31" s="11"/>
    </row>
    <row r="32" spans="1:2" ht="13.2" customHeight="1">
      <c r="A32" s="4" t="s">
        <v>29</v>
      </c>
      <c r="B32" s="12">
        <f>+'DCA-Anexo I-AB'!B33+'DCA-Anexo I-AB'!B39+'DCA-Anexo I-AB'!B45+'DCA-Anexo I-AB'!B51+'DCA-Anexo I-AB'!B57+'DCA-Anexo I-AB'!B63-'DCA-Anexo I-AB'!B69</f>
        <v>3718900.26</v>
      </c>
    </row>
    <row r="33" spans="1:2" ht="13.2" customHeight="1">
      <c r="A33" s="3" t="s">
        <v>30</v>
      </c>
      <c r="B33" s="11">
        <f>+'DCA-Anexo I-AB'!B34+'DCA-Anexo I-AB'!B35+'DCA-Anexo I-AB'!B36+'DCA-Anexo I-AB'!B37+'DCA-Anexo I-AB'!B38</f>
        <v>1647985.07</v>
      </c>
    </row>
    <row r="34" spans="1:2" ht="13.2" customHeight="1">
      <c r="A34" s="4" t="s">
        <v>31</v>
      </c>
      <c r="B34" s="12">
        <v>1647985.07</v>
      </c>
    </row>
    <row r="35" spans="1:2" ht="13.2" customHeight="1">
      <c r="A35" s="3" t="s">
        <v>32</v>
      </c>
      <c r="B35" s="11"/>
    </row>
    <row r="36" spans="1:2" ht="13.2" customHeight="1">
      <c r="A36" s="4" t="s">
        <v>33</v>
      </c>
      <c r="B36" s="12"/>
    </row>
    <row r="37" spans="1:2" ht="13.2" customHeight="1">
      <c r="A37" s="3" t="s">
        <v>34</v>
      </c>
      <c r="B37" s="11"/>
    </row>
    <row r="38" spans="1:2" ht="26.4" customHeight="1">
      <c r="A38" s="4" t="s">
        <v>35</v>
      </c>
      <c r="B38" s="12"/>
    </row>
    <row r="39" spans="1:2" ht="13.2" customHeight="1">
      <c r="A39" s="3" t="s">
        <v>36</v>
      </c>
      <c r="B39" s="11">
        <f>+'DCA-Anexo I-AB'!B40+'DCA-Anexo I-AB'!B41+'DCA-Anexo I-AB'!B42+'DCA-Anexo I-AB'!B43+'DCA-Anexo I-AB'!B44</f>
        <v>0</v>
      </c>
    </row>
    <row r="40" spans="1:2" ht="13.2" customHeight="1">
      <c r="A40" s="4" t="s">
        <v>37</v>
      </c>
      <c r="B40" s="12"/>
    </row>
    <row r="41" spans="1:2" ht="13.2" customHeight="1">
      <c r="A41" s="3" t="s">
        <v>38</v>
      </c>
      <c r="B41" s="11"/>
    </row>
    <row r="42" spans="1:2" ht="13.2" customHeight="1">
      <c r="A42" s="4" t="s">
        <v>39</v>
      </c>
      <c r="B42" s="12"/>
    </row>
    <row r="43" spans="1:2" ht="13.2" customHeight="1">
      <c r="A43" s="3" t="s">
        <v>40</v>
      </c>
      <c r="B43" s="11"/>
    </row>
    <row r="44" spans="1:2" ht="13.2" customHeight="1">
      <c r="A44" s="4" t="s">
        <v>41</v>
      </c>
      <c r="B44" s="12"/>
    </row>
    <row r="45" spans="1:2" ht="13.2" customHeight="1">
      <c r="A45" s="3" t="s">
        <v>42</v>
      </c>
      <c r="B45" s="11">
        <f>+'DCA-Anexo I-AB'!B46+'DCA-Anexo I-AB'!B47+'DCA-Anexo I-AB'!B48+'DCA-Anexo I-AB'!B49+'DCA-Anexo I-AB'!B50</f>
        <v>1904430.74</v>
      </c>
    </row>
    <row r="46" spans="1:2" ht="13.2" customHeight="1">
      <c r="A46" s="4" t="s">
        <v>43</v>
      </c>
      <c r="B46" s="12">
        <v>1904430.74</v>
      </c>
    </row>
    <row r="47" spans="1:2" ht="13.2" customHeight="1">
      <c r="A47" s="3" t="s">
        <v>44</v>
      </c>
      <c r="B47" s="11"/>
    </row>
    <row r="48" spans="1:2" ht="26.4" customHeight="1">
      <c r="A48" s="4" t="s">
        <v>45</v>
      </c>
      <c r="B48" s="12"/>
    </row>
    <row r="49" spans="1:2" ht="26.4" customHeight="1">
      <c r="A49" s="3" t="s">
        <v>46</v>
      </c>
      <c r="B49" s="11"/>
    </row>
    <row r="50" spans="1:2" ht="26.4" customHeight="1">
      <c r="A50" s="4" t="s">
        <v>47</v>
      </c>
      <c r="B50" s="12"/>
    </row>
    <row r="51" spans="1:2" ht="13.2" customHeight="1">
      <c r="A51" s="3" t="s">
        <v>48</v>
      </c>
      <c r="B51" s="11">
        <f>+'DCA-Anexo I-AB'!B52+'DCA-Anexo I-AB'!B53+'DCA-Anexo I-AB'!B54+'DCA-Anexo I-AB'!B55+'DCA-Anexo I-AB'!B56</f>
        <v>0</v>
      </c>
    </row>
    <row r="52" spans="1:2" ht="26.4" customHeight="1">
      <c r="A52" s="4" t="s">
        <v>49</v>
      </c>
      <c r="B52" s="12"/>
    </row>
    <row r="53" spans="1:2" ht="13.2" customHeight="1">
      <c r="A53" s="3" t="s">
        <v>50</v>
      </c>
      <c r="B53" s="11"/>
    </row>
    <row r="54" spans="1:2" ht="26.4" customHeight="1">
      <c r="A54" s="4" t="s">
        <v>51</v>
      </c>
      <c r="B54" s="12"/>
    </row>
    <row r="55" spans="1:2" ht="26.4" customHeight="1">
      <c r="A55" s="3" t="s">
        <v>52</v>
      </c>
      <c r="B55" s="11"/>
    </row>
    <row r="56" spans="1:2" ht="26.4" customHeight="1">
      <c r="A56" s="4" t="s">
        <v>53</v>
      </c>
      <c r="B56" s="12"/>
    </row>
    <row r="57" spans="1:2" ht="13.2" customHeight="1">
      <c r="A57" s="3" t="s">
        <v>54</v>
      </c>
      <c r="B57" s="11">
        <f>+'DCA-Anexo I-AB'!B58+'DCA-Anexo I-AB'!B59+'DCA-Anexo I-AB'!B60+'DCA-Anexo I-AB'!B61+'DCA-Anexo I-AB'!B62</f>
        <v>88962.11</v>
      </c>
    </row>
    <row r="58" spans="1:2" ht="13.2" customHeight="1">
      <c r="A58" s="4" t="s">
        <v>55</v>
      </c>
      <c r="B58" s="12">
        <v>88962.11</v>
      </c>
    </row>
    <row r="59" spans="1:2" ht="13.2" customHeight="1">
      <c r="A59" s="3" t="s">
        <v>56</v>
      </c>
      <c r="B59" s="11"/>
    </row>
    <row r="60" spans="1:2" ht="13.2" customHeight="1">
      <c r="A60" s="4" t="s">
        <v>57</v>
      </c>
      <c r="B60" s="12"/>
    </row>
    <row r="61" spans="1:2" ht="13.2" customHeight="1">
      <c r="A61" s="3" t="s">
        <v>58</v>
      </c>
      <c r="B61" s="11"/>
    </row>
    <row r="62" spans="1:2" ht="13.2" customHeight="1">
      <c r="A62" s="4" t="s">
        <v>59</v>
      </c>
      <c r="B62" s="12"/>
    </row>
    <row r="63" spans="1:2" ht="13.2" customHeight="1">
      <c r="A63" s="3" t="s">
        <v>60</v>
      </c>
      <c r="B63" s="11">
        <f>+'DCA-Anexo I-AB'!B64+'DCA-Anexo I-AB'!B65+'DCA-Anexo I-AB'!B66+'DCA-Anexo I-AB'!B67+'DCA-Anexo I-AB'!B68</f>
        <v>77522.34</v>
      </c>
    </row>
    <row r="64" spans="1:2" ht="13.2" customHeight="1">
      <c r="A64" s="4" t="s">
        <v>61</v>
      </c>
      <c r="B64" s="12">
        <v>77522.34</v>
      </c>
    </row>
    <row r="65" spans="1:2" ht="13.2" customHeight="1">
      <c r="A65" s="3" t="s">
        <v>62</v>
      </c>
      <c r="B65" s="11"/>
    </row>
    <row r="66" spans="1:2" ht="13.2" customHeight="1">
      <c r="A66" s="4" t="s">
        <v>63</v>
      </c>
      <c r="B66" s="12"/>
    </row>
    <row r="67" spans="1:2" ht="13.2" customHeight="1">
      <c r="A67" s="3" t="s">
        <v>64</v>
      </c>
      <c r="B67" s="11"/>
    </row>
    <row r="68" spans="1:2" ht="13.2" customHeight="1">
      <c r="A68" s="4" t="s">
        <v>65</v>
      </c>
      <c r="B68" s="12"/>
    </row>
    <row r="69" spans="1:2" ht="13.2" customHeight="1">
      <c r="A69" s="3" t="s">
        <v>66</v>
      </c>
      <c r="B69" s="11">
        <f>+'DCA-Anexo I-AB'!B70+'DCA-Anexo I-AB'!B71+'DCA-Anexo I-AB'!B72+'DCA-Anexo I-AB'!B73+'DCA-Anexo I-AB'!B74</f>
        <v>0</v>
      </c>
    </row>
    <row r="70" spans="1:2" ht="26.4" customHeight="1">
      <c r="A70" s="4" t="s">
        <v>67</v>
      </c>
      <c r="B70" s="12">
        <v>0</v>
      </c>
    </row>
    <row r="71" spans="1:2" ht="26.4" customHeight="1">
      <c r="A71" s="3" t="s">
        <v>68</v>
      </c>
      <c r="B71" s="11"/>
    </row>
    <row r="72" spans="1:2" ht="26.4" customHeight="1">
      <c r="A72" s="4" t="s">
        <v>69</v>
      </c>
      <c r="B72" s="12"/>
    </row>
    <row r="73" spans="1:2" ht="26.4" customHeight="1">
      <c r="A73" s="3" t="s">
        <v>70</v>
      </c>
      <c r="B73" s="11"/>
    </row>
    <row r="74" spans="1:2" ht="26.4" customHeight="1">
      <c r="A74" s="4" t="s">
        <v>71</v>
      </c>
      <c r="B74" s="12"/>
    </row>
    <row r="75" spans="1:2" ht="13.2" customHeight="1">
      <c r="A75" s="3" t="s">
        <v>72</v>
      </c>
      <c r="B75" s="11">
        <f>+'DCA-Anexo I-AB'!B76+'DCA-Anexo I-AB'!B82+'DCA-Anexo I-AB'!B88+'DCA-Anexo I-AB'!B94+'DCA-Anexo I-AB'!B100+'DCA-Anexo I-AB'!B106+'DCA-Anexo I-AB'!B112-'DCA-Anexo I-AB'!B118</f>
        <v>0</v>
      </c>
    </row>
    <row r="76" spans="1:2" ht="13.2" customHeight="1">
      <c r="A76" s="4" t="s">
        <v>73</v>
      </c>
      <c r="B76" s="12">
        <f>+'DCA-Anexo I-AB'!B77+'DCA-Anexo I-AB'!B78+'DCA-Anexo I-AB'!B79+'DCA-Anexo I-AB'!B80+'DCA-Anexo I-AB'!B81</f>
        <v>0</v>
      </c>
    </row>
    <row r="77" spans="1:2" ht="13.2" customHeight="1">
      <c r="A77" s="3" t="s">
        <v>74</v>
      </c>
      <c r="B77" s="11">
        <v>0</v>
      </c>
    </row>
    <row r="78" spans="1:2" ht="13.2" customHeight="1">
      <c r="A78" s="4" t="s">
        <v>75</v>
      </c>
      <c r="B78" s="12"/>
    </row>
    <row r="79" spans="1:2" ht="13.2" customHeight="1">
      <c r="A79" s="3" t="s">
        <v>76</v>
      </c>
      <c r="B79" s="11"/>
    </row>
    <row r="80" spans="1:2" ht="13.2" customHeight="1">
      <c r="A80" s="4" t="s">
        <v>77</v>
      </c>
      <c r="B80" s="12"/>
    </row>
    <row r="81" spans="1:2" ht="13.2" customHeight="1">
      <c r="A81" s="3" t="s">
        <v>78</v>
      </c>
      <c r="B81" s="11"/>
    </row>
    <row r="82" spans="1:2" ht="13.2" customHeight="1">
      <c r="A82" s="4" t="s">
        <v>79</v>
      </c>
      <c r="B82" s="12">
        <f>+'DCA-Anexo I-AB'!B83+'DCA-Anexo I-AB'!B84+'DCA-Anexo I-AB'!B85+'DCA-Anexo I-AB'!B86+'DCA-Anexo I-AB'!B87</f>
        <v>0</v>
      </c>
    </row>
    <row r="83" spans="1:2" ht="13.2" customHeight="1">
      <c r="A83" s="3" t="s">
        <v>80</v>
      </c>
      <c r="B83" s="11">
        <v>0</v>
      </c>
    </row>
    <row r="84" spans="1:2" ht="13.2" customHeight="1">
      <c r="A84" s="4" t="s">
        <v>81</v>
      </c>
      <c r="B84" s="12"/>
    </row>
    <row r="85" spans="1:2" ht="13.2" customHeight="1">
      <c r="A85" s="3" t="s">
        <v>82</v>
      </c>
      <c r="B85" s="11"/>
    </row>
    <row r="86" spans="1:2" ht="13.2" customHeight="1">
      <c r="A86" s="4" t="s">
        <v>83</v>
      </c>
      <c r="B86" s="12"/>
    </row>
    <row r="87" spans="1:2" ht="26.4" customHeight="1">
      <c r="A87" s="3" t="s">
        <v>84</v>
      </c>
      <c r="B87" s="11"/>
    </row>
    <row r="88" spans="1:2" ht="26.4" customHeight="1">
      <c r="A88" s="4" t="s">
        <v>85</v>
      </c>
      <c r="B88" s="12">
        <f>+'DCA-Anexo I-AB'!B89+'DCA-Anexo I-AB'!B90+'DCA-Anexo I-AB'!B91+'DCA-Anexo I-AB'!B92+'DCA-Anexo I-AB'!B93</f>
        <v>0</v>
      </c>
    </row>
    <row r="89" spans="1:2" ht="26.4" customHeight="1">
      <c r="A89" s="3" t="s">
        <v>86</v>
      </c>
      <c r="B89" s="11">
        <v>0</v>
      </c>
    </row>
    <row r="90" spans="1:2" ht="26.4" customHeight="1">
      <c r="A90" s="4" t="s">
        <v>87</v>
      </c>
      <c r="B90" s="12"/>
    </row>
    <row r="91" spans="1:2" ht="26.4" customHeight="1">
      <c r="A91" s="3" t="s">
        <v>88</v>
      </c>
      <c r="B91" s="11"/>
    </row>
    <row r="92" spans="1:2" ht="26.4" customHeight="1">
      <c r="A92" s="4" t="s">
        <v>89</v>
      </c>
      <c r="B92" s="12"/>
    </row>
    <row r="93" spans="1:2" ht="26.4" customHeight="1">
      <c r="A93" s="3" t="s">
        <v>90</v>
      </c>
      <c r="B93" s="11"/>
    </row>
    <row r="94" spans="1:2" ht="13.2" customHeight="1">
      <c r="A94" s="4" t="s">
        <v>91</v>
      </c>
      <c r="B94" s="12">
        <f>+'DCA-Anexo I-AB'!B95+'DCA-Anexo I-AB'!B96+'DCA-Anexo I-AB'!B97+'DCA-Anexo I-AB'!B98+'DCA-Anexo I-AB'!B99</f>
        <v>0</v>
      </c>
    </row>
    <row r="95" spans="1:2" ht="13.2" customHeight="1">
      <c r="A95" s="3" t="s">
        <v>92</v>
      </c>
      <c r="B95" s="11">
        <v>0</v>
      </c>
    </row>
    <row r="96" spans="1:2" ht="13.2" customHeight="1">
      <c r="A96" s="4" t="s">
        <v>93</v>
      </c>
      <c r="B96" s="12"/>
    </row>
    <row r="97" spans="1:2" ht="26.4" customHeight="1">
      <c r="A97" s="3" t="s">
        <v>94</v>
      </c>
      <c r="B97" s="11"/>
    </row>
    <row r="98" spans="1:2" ht="26.4" customHeight="1">
      <c r="A98" s="4" t="s">
        <v>95</v>
      </c>
      <c r="B98" s="12"/>
    </row>
    <row r="99" spans="1:2" ht="26.4" customHeight="1">
      <c r="A99" s="3" t="s">
        <v>96</v>
      </c>
      <c r="B99" s="11"/>
    </row>
    <row r="100" spans="1:2" ht="26.4" customHeight="1">
      <c r="A100" s="4" t="s">
        <v>97</v>
      </c>
      <c r="B100" s="12">
        <f>+'DCA-Anexo I-AB'!B101+'DCA-Anexo I-AB'!B102+'DCA-Anexo I-AB'!B103+'DCA-Anexo I-AB'!B104+'DCA-Anexo I-AB'!B105</f>
        <v>0</v>
      </c>
    </row>
    <row r="101" spans="1:2" ht="26.4" customHeight="1">
      <c r="A101" s="3" t="s">
        <v>98</v>
      </c>
      <c r="B101" s="11">
        <v>0</v>
      </c>
    </row>
    <row r="102" spans="1:2" ht="26.4" customHeight="1">
      <c r="A102" s="4" t="s">
        <v>99</v>
      </c>
      <c r="B102" s="12"/>
    </row>
    <row r="103" spans="1:2" ht="26.4" customHeight="1">
      <c r="A103" s="3" t="s">
        <v>100</v>
      </c>
      <c r="B103" s="11"/>
    </row>
    <row r="104" spans="1:2" ht="26.4" customHeight="1">
      <c r="A104" s="4" t="s">
        <v>101</v>
      </c>
      <c r="B104" s="12"/>
    </row>
    <row r="105" spans="1:2" ht="26.4" customHeight="1">
      <c r="A105" s="3" t="s">
        <v>102</v>
      </c>
      <c r="B105" s="11"/>
    </row>
    <row r="106" spans="1:2" ht="13.2" customHeight="1">
      <c r="A106" s="4" t="s">
        <v>103</v>
      </c>
      <c r="B106" s="12">
        <f>+'DCA-Anexo I-AB'!B107+'DCA-Anexo I-AB'!B108+'DCA-Anexo I-AB'!B109+'DCA-Anexo I-AB'!B110+'DCA-Anexo I-AB'!B111</f>
        <v>0</v>
      </c>
    </row>
    <row r="107" spans="1:2" ht="26.4" customHeight="1">
      <c r="A107" s="3" t="s">
        <v>104</v>
      </c>
      <c r="B107" s="11">
        <v>0</v>
      </c>
    </row>
    <row r="108" spans="1:2" ht="26.4" customHeight="1">
      <c r="A108" s="4" t="s">
        <v>105</v>
      </c>
      <c r="B108" s="12"/>
    </row>
    <row r="109" spans="1:2" ht="26.4" customHeight="1">
      <c r="A109" s="3" t="s">
        <v>106</v>
      </c>
      <c r="B109" s="11"/>
    </row>
    <row r="110" spans="1:2" ht="26.4" customHeight="1">
      <c r="A110" s="4" t="s">
        <v>107</v>
      </c>
      <c r="B110" s="12"/>
    </row>
    <row r="111" spans="1:2" ht="26.4" customHeight="1">
      <c r="A111" s="3" t="s">
        <v>108</v>
      </c>
      <c r="B111" s="11"/>
    </row>
    <row r="112" spans="1:2" ht="13.2" customHeight="1">
      <c r="A112" s="4" t="s">
        <v>109</v>
      </c>
      <c r="B112" s="12">
        <f>+'DCA-Anexo I-AB'!B113+'DCA-Anexo I-AB'!B114+'DCA-Anexo I-AB'!B115+'DCA-Anexo I-AB'!B116+'DCA-Anexo I-AB'!B117</f>
        <v>0</v>
      </c>
    </row>
    <row r="113" spans="1:2" ht="26.4" customHeight="1">
      <c r="A113" s="3" t="s">
        <v>110</v>
      </c>
      <c r="B113" s="11">
        <v>0</v>
      </c>
    </row>
    <row r="114" spans="1:2" ht="26.4" customHeight="1">
      <c r="A114" s="4" t="s">
        <v>111</v>
      </c>
      <c r="B114" s="12"/>
    </row>
    <row r="115" spans="1:2" ht="26.4" customHeight="1">
      <c r="A115" s="3" t="s">
        <v>112</v>
      </c>
      <c r="B115" s="11"/>
    </row>
    <row r="116" spans="1:2" ht="26.4" customHeight="1">
      <c r="A116" s="4" t="s">
        <v>113</v>
      </c>
      <c r="B116" s="12"/>
    </row>
    <row r="117" spans="1:2" ht="26.4" customHeight="1">
      <c r="A117" s="3" t="s">
        <v>114</v>
      </c>
      <c r="B117" s="11"/>
    </row>
    <row r="118" spans="1:2" ht="26.4" customHeight="1">
      <c r="A118" s="4" t="s">
        <v>115</v>
      </c>
      <c r="B118" s="12">
        <f>+'DCA-Anexo I-AB'!B119+'DCA-Anexo I-AB'!B120+'DCA-Anexo I-AB'!B121+'DCA-Anexo I-AB'!B122+'DCA-Anexo I-AB'!B123</f>
        <v>0</v>
      </c>
    </row>
    <row r="119" spans="1:2" ht="26.4" customHeight="1">
      <c r="A119" s="3" t="s">
        <v>116</v>
      </c>
      <c r="B119" s="11">
        <v>0</v>
      </c>
    </row>
    <row r="120" spans="1:2" ht="26.4" customHeight="1">
      <c r="A120" s="4" t="s">
        <v>117</v>
      </c>
      <c r="B120" s="12"/>
    </row>
    <row r="121" spans="1:2" ht="26.4" customHeight="1">
      <c r="A121" s="3" t="s">
        <v>118</v>
      </c>
      <c r="B121" s="11"/>
    </row>
    <row r="122" spans="1:2" ht="26.4" customHeight="1">
      <c r="A122" s="4" t="s">
        <v>119</v>
      </c>
      <c r="B122" s="12"/>
    </row>
    <row r="123" spans="1:2" ht="26.4" customHeight="1">
      <c r="A123" s="3" t="s">
        <v>120</v>
      </c>
      <c r="B123" s="11"/>
    </row>
    <row r="124" spans="1:2" ht="13.2" customHeight="1">
      <c r="A124" s="4" t="s">
        <v>121</v>
      </c>
      <c r="B124" s="12">
        <f>+'DCA-Anexo I-AB'!B125+'DCA-Anexo I-AB'!B127+'DCA-Anexo I-AB'!B129+'DCA-Anexo I-AB'!B131-'DCA-Anexo I-AB'!B133</f>
        <v>0</v>
      </c>
    </row>
    <row r="125" spans="1:2" ht="13.2" customHeight="1">
      <c r="A125" s="3" t="s">
        <v>122</v>
      </c>
      <c r="B125" s="11">
        <f>+'DCA-Anexo I-AB'!B126</f>
        <v>0</v>
      </c>
    </row>
    <row r="126" spans="1:2" ht="13.2" customHeight="1">
      <c r="A126" s="4" t="s">
        <v>123</v>
      </c>
      <c r="B126" s="12">
        <v>0</v>
      </c>
    </row>
    <row r="127" spans="1:2" ht="13.2" customHeight="1">
      <c r="A127" s="3" t="s">
        <v>124</v>
      </c>
      <c r="B127" s="11">
        <f>+'DCA-Anexo I-AB'!B128</f>
        <v>0</v>
      </c>
    </row>
    <row r="128" spans="1:2" ht="26.4" customHeight="1">
      <c r="A128" s="4" t="s">
        <v>125</v>
      </c>
      <c r="B128" s="12">
        <v>0</v>
      </c>
    </row>
    <row r="129" spans="1:2" ht="13.2" customHeight="1">
      <c r="A129" s="3" t="s">
        <v>126</v>
      </c>
      <c r="B129" s="11">
        <f>+'DCA-Anexo I-AB'!B130</f>
        <v>0</v>
      </c>
    </row>
    <row r="130" spans="1:2" ht="13.2" customHeight="1">
      <c r="A130" s="4" t="s">
        <v>127</v>
      </c>
      <c r="B130" s="12">
        <v>0</v>
      </c>
    </row>
    <row r="131" spans="1:2" ht="26.4" customHeight="1">
      <c r="A131" s="3" t="s">
        <v>128</v>
      </c>
      <c r="B131" s="11">
        <f>+'DCA-Anexo I-AB'!B132</f>
        <v>0</v>
      </c>
    </row>
    <row r="132" spans="1:2" ht="26.4" customHeight="1">
      <c r="A132" s="4" t="s">
        <v>129</v>
      </c>
      <c r="B132" s="12">
        <v>0</v>
      </c>
    </row>
    <row r="133" spans="1:2" ht="26.4" customHeight="1">
      <c r="A133" s="3" t="s">
        <v>130</v>
      </c>
      <c r="B133" s="11">
        <f>+'DCA-Anexo I-AB'!B134</f>
        <v>0</v>
      </c>
    </row>
    <row r="134" spans="1:2" ht="26.4" customHeight="1">
      <c r="A134" s="4" t="s">
        <v>131</v>
      </c>
      <c r="B134" s="12">
        <v>0</v>
      </c>
    </row>
    <row r="135" spans="1:2" ht="13.2" customHeight="1">
      <c r="A135" s="3" t="s">
        <v>132</v>
      </c>
      <c r="B135" s="11">
        <f>+'DCA-Anexo I-AB'!B136+'DCA-Anexo I-AB'!B138+'DCA-Anexo I-AB'!B140+'DCA-Anexo I-AB'!B142+'DCA-Anexo I-AB'!B144+'DCA-Anexo I-AB'!B146+'DCA-Anexo I-AB'!B148-'DCA-Anexo I-AB'!B150</f>
        <v>0</v>
      </c>
    </row>
    <row r="136" spans="1:2" ht="13.2" customHeight="1">
      <c r="A136" s="4" t="s">
        <v>133</v>
      </c>
      <c r="B136" s="12">
        <f>+'DCA-Anexo I-AB'!B137</f>
        <v>0</v>
      </c>
    </row>
    <row r="137" spans="1:2" ht="13.2" customHeight="1">
      <c r="A137" s="3" t="s">
        <v>134</v>
      </c>
      <c r="B137" s="11">
        <v>0</v>
      </c>
    </row>
    <row r="138" spans="1:2" ht="13.2" customHeight="1">
      <c r="A138" s="4" t="s">
        <v>135</v>
      </c>
      <c r="B138" s="12">
        <f>+'DCA-Anexo I-AB'!B139</f>
        <v>0</v>
      </c>
    </row>
    <row r="139" spans="1:2" ht="13.2" customHeight="1">
      <c r="A139" s="3" t="s">
        <v>136</v>
      </c>
      <c r="B139" s="11">
        <v>0</v>
      </c>
    </row>
    <row r="140" spans="1:2" ht="13.2" customHeight="1">
      <c r="A140" s="4" t="s">
        <v>137</v>
      </c>
      <c r="B140" s="12">
        <f>+'DCA-Anexo I-AB'!B141</f>
        <v>0</v>
      </c>
    </row>
    <row r="141" spans="1:2" ht="13.2" customHeight="1">
      <c r="A141" s="3" t="s">
        <v>138</v>
      </c>
      <c r="B141" s="11">
        <v>0</v>
      </c>
    </row>
    <row r="142" spans="1:2" ht="13.2" customHeight="1">
      <c r="A142" s="4" t="s">
        <v>139</v>
      </c>
      <c r="B142" s="12">
        <f>+'DCA-Anexo I-AB'!B143</f>
        <v>0</v>
      </c>
    </row>
    <row r="143" spans="1:2" ht="13.2" customHeight="1">
      <c r="A143" s="3" t="s">
        <v>140</v>
      </c>
      <c r="B143" s="11">
        <v>0</v>
      </c>
    </row>
    <row r="144" spans="1:2" ht="13.2" customHeight="1">
      <c r="A144" s="4" t="s">
        <v>141</v>
      </c>
      <c r="B144" s="12">
        <f>+'DCA-Anexo I-AB'!B145</f>
        <v>0</v>
      </c>
    </row>
    <row r="145" spans="1:2" ht="13.2" customHeight="1">
      <c r="A145" s="3" t="s">
        <v>142</v>
      </c>
      <c r="B145" s="11">
        <v>0</v>
      </c>
    </row>
    <row r="146" spans="1:2" ht="13.2" customHeight="1">
      <c r="A146" s="4" t="s">
        <v>143</v>
      </c>
      <c r="B146" s="12">
        <f>+'DCA-Anexo I-AB'!B147</f>
        <v>0</v>
      </c>
    </row>
    <row r="147" spans="1:2" ht="13.2" customHeight="1">
      <c r="A147" s="3" t="s">
        <v>144</v>
      </c>
      <c r="B147" s="11">
        <v>0</v>
      </c>
    </row>
    <row r="148" spans="1:2" ht="13.2" customHeight="1">
      <c r="A148" s="4" t="s">
        <v>145</v>
      </c>
      <c r="B148" s="12">
        <f>+'DCA-Anexo I-AB'!B149</f>
        <v>0</v>
      </c>
    </row>
    <row r="149" spans="1:2" ht="13.2" customHeight="1">
      <c r="A149" s="3" t="s">
        <v>146</v>
      </c>
      <c r="B149" s="11">
        <v>0</v>
      </c>
    </row>
    <row r="150" spans="1:2" ht="13.2" customHeight="1">
      <c r="A150" s="4" t="s">
        <v>147</v>
      </c>
      <c r="B150" s="12">
        <f>+'DCA-Anexo I-AB'!B151</f>
        <v>0</v>
      </c>
    </row>
    <row r="151" spans="1:2" ht="13.2" customHeight="1">
      <c r="A151" s="3" t="s">
        <v>148</v>
      </c>
      <c r="B151" s="11">
        <v>0</v>
      </c>
    </row>
    <row r="152" spans="1:2" ht="13.2" customHeight="1">
      <c r="A152" s="4" t="s">
        <v>149</v>
      </c>
      <c r="B152" s="12">
        <f>+'DCA-Anexo I-AB'!B153+'DCA-Anexo I-AB'!B159+'DCA-Anexo I-AB'!B161-'DCA-Anexo I-AB'!B163</f>
        <v>0</v>
      </c>
    </row>
    <row r="153" spans="1:2" ht="13.2" customHeight="1">
      <c r="A153" s="3" t="s">
        <v>150</v>
      </c>
      <c r="B153" s="11">
        <f>+'DCA-Anexo I-AB'!B154+'DCA-Anexo I-AB'!B155+'DCA-Anexo I-AB'!B156+'DCA-Anexo I-AB'!B157+'DCA-Anexo I-AB'!B158</f>
        <v>0</v>
      </c>
    </row>
    <row r="154" spans="1:2" ht="13.2" customHeight="1">
      <c r="A154" s="4" t="s">
        <v>151</v>
      </c>
      <c r="B154" s="12">
        <v>0</v>
      </c>
    </row>
    <row r="155" spans="1:2" ht="13.2" customHeight="1">
      <c r="A155" s="3" t="s">
        <v>152</v>
      </c>
      <c r="B155" s="11"/>
    </row>
    <row r="156" spans="1:2" ht="13.2" customHeight="1">
      <c r="A156" s="4" t="s">
        <v>153</v>
      </c>
      <c r="B156" s="12"/>
    </row>
    <row r="157" spans="1:2" ht="26.4" customHeight="1">
      <c r="A157" s="3" t="s">
        <v>154</v>
      </c>
      <c r="B157" s="11"/>
    </row>
    <row r="158" spans="1:2" ht="26.4" customHeight="1">
      <c r="A158" s="4" t="s">
        <v>155</v>
      </c>
      <c r="B158" s="12"/>
    </row>
    <row r="159" spans="1:2" ht="13.2" customHeight="1">
      <c r="A159" s="3" t="s">
        <v>156</v>
      </c>
      <c r="B159" s="11">
        <f>+'DCA-Anexo I-AB'!B160</f>
        <v>0</v>
      </c>
    </row>
    <row r="160" spans="1:2" ht="13.2" customHeight="1">
      <c r="A160" s="4" t="s">
        <v>157</v>
      </c>
      <c r="B160" s="12">
        <v>0</v>
      </c>
    </row>
    <row r="161" spans="1:2" ht="13.2" customHeight="1">
      <c r="A161" s="3" t="s">
        <v>158</v>
      </c>
      <c r="B161" s="11">
        <f>+'DCA-Anexo I-AB'!B162</f>
        <v>0</v>
      </c>
    </row>
    <row r="162" spans="1:2" ht="13.2" customHeight="1">
      <c r="A162" s="4" t="s">
        <v>159</v>
      </c>
      <c r="B162" s="12">
        <v>0</v>
      </c>
    </row>
    <row r="163" spans="1:2" ht="26.4" customHeight="1">
      <c r="A163" s="3" t="s">
        <v>160</v>
      </c>
      <c r="B163" s="11">
        <f>+'DCA-Anexo I-AB'!B164+'DCA-Anexo I-AB'!B165+'DCA-Anexo I-AB'!B166+'DCA-Anexo I-AB'!B167+'DCA-Anexo I-AB'!B168</f>
        <v>0</v>
      </c>
    </row>
    <row r="164" spans="1:2" ht="26.4" customHeight="1">
      <c r="A164" s="4" t="s">
        <v>161</v>
      </c>
      <c r="B164" s="12">
        <v>0</v>
      </c>
    </row>
    <row r="165" spans="1:2" ht="26.4" customHeight="1">
      <c r="A165" s="3" t="s">
        <v>162</v>
      </c>
      <c r="B165" s="11"/>
    </row>
    <row r="166" spans="1:2" ht="26.4" customHeight="1">
      <c r="A166" s="4" t="s">
        <v>163</v>
      </c>
      <c r="B166" s="12"/>
    </row>
    <row r="167" spans="1:2" ht="26.4" customHeight="1">
      <c r="A167" s="3" t="s">
        <v>164</v>
      </c>
      <c r="B167" s="11"/>
    </row>
    <row r="168" spans="1:2" ht="26.4" customHeight="1">
      <c r="A168" s="4" t="s">
        <v>165</v>
      </c>
      <c r="B168" s="12"/>
    </row>
    <row r="169" spans="1:2" ht="13.2" customHeight="1">
      <c r="A169" s="3" t="s">
        <v>166</v>
      </c>
      <c r="B169" s="11">
        <f>+'DCA-Anexo I-AB'!B170</f>
        <v>0</v>
      </c>
    </row>
    <row r="170" spans="1:2" ht="13.2" customHeight="1">
      <c r="A170" s="4" t="s">
        <v>167</v>
      </c>
      <c r="B170" s="12">
        <f>+'DCA-Anexo I-AB'!B171</f>
        <v>0</v>
      </c>
    </row>
    <row r="171" spans="1:2" ht="13.2" customHeight="1">
      <c r="A171" s="3" t="s">
        <v>168</v>
      </c>
      <c r="B171" s="11">
        <v>0</v>
      </c>
    </row>
    <row r="172" spans="1:2" ht="26.4" customHeight="1">
      <c r="A172" s="4" t="s">
        <v>169</v>
      </c>
      <c r="B172" s="12">
        <f>+'DCA-Anexo I-AB'!B173+'DCA-Anexo I-AB'!B179+'DCA-Anexo I-AB'!B185+'DCA-Anexo I-AB'!B191+'DCA-Anexo I-AB'!B197+'DCA-Anexo I-AB'!B203+'DCA-Anexo I-AB'!B209+'DCA-Anexo I-AB'!B215+'DCA-Anexo I-AB'!B221</f>
        <v>0</v>
      </c>
    </row>
    <row r="173" spans="1:2" ht="13.2" customHeight="1">
      <c r="A173" s="3" t="s">
        <v>170</v>
      </c>
      <c r="B173" s="11">
        <f>+'DCA-Anexo I-AB'!B174+'DCA-Anexo I-AB'!B175+'DCA-Anexo I-AB'!B176+'DCA-Anexo I-AB'!B177+'DCA-Anexo I-AB'!B178</f>
        <v>0</v>
      </c>
    </row>
    <row r="174" spans="1:2" ht="13.2" customHeight="1">
      <c r="A174" s="4" t="s">
        <v>171</v>
      </c>
      <c r="B174" s="12">
        <v>0</v>
      </c>
    </row>
    <row r="175" spans="1:2" ht="13.2" customHeight="1">
      <c r="A175" s="3" t="s">
        <v>172</v>
      </c>
      <c r="B175" s="11"/>
    </row>
    <row r="176" spans="1:2" ht="13.2" customHeight="1">
      <c r="A176" s="4" t="s">
        <v>173</v>
      </c>
      <c r="B176" s="12"/>
    </row>
    <row r="177" spans="1:2" ht="13.2" customHeight="1">
      <c r="A177" s="3" t="s">
        <v>174</v>
      </c>
      <c r="B177" s="11"/>
    </row>
    <row r="178" spans="1:2" ht="26.4" customHeight="1">
      <c r="A178" s="4" t="s">
        <v>175</v>
      </c>
      <c r="B178" s="12"/>
    </row>
    <row r="179" spans="1:2" ht="13.2" customHeight="1">
      <c r="A179" s="3" t="s">
        <v>176</v>
      </c>
      <c r="B179" s="11">
        <f>+'DCA-Anexo I-AB'!B180+'DCA-Anexo I-AB'!B181+'DCA-Anexo I-AB'!B182+'DCA-Anexo I-AB'!B183+'DCA-Anexo I-AB'!B184</f>
        <v>0</v>
      </c>
    </row>
    <row r="180" spans="1:2" ht="13.2" customHeight="1">
      <c r="A180" s="4" t="s">
        <v>177</v>
      </c>
      <c r="B180" s="12">
        <v>0</v>
      </c>
    </row>
    <row r="181" spans="1:2" ht="13.2" customHeight="1">
      <c r="A181" s="3" t="s">
        <v>178</v>
      </c>
      <c r="B181" s="11"/>
    </row>
    <row r="182" spans="1:2" ht="13.2" customHeight="1">
      <c r="A182" s="4" t="s">
        <v>179</v>
      </c>
      <c r="B182" s="12"/>
    </row>
    <row r="183" spans="1:2" ht="13.2" customHeight="1">
      <c r="A183" s="3" t="s">
        <v>180</v>
      </c>
      <c r="B183" s="11"/>
    </row>
    <row r="184" spans="1:2" ht="13.2" customHeight="1">
      <c r="A184" s="4" t="s">
        <v>181</v>
      </c>
      <c r="B184" s="12"/>
    </row>
    <row r="185" spans="1:2" ht="13.2" customHeight="1">
      <c r="A185" s="3" t="s">
        <v>182</v>
      </c>
      <c r="B185" s="11">
        <f>+'DCA-Anexo I-AB'!B186+'DCA-Anexo I-AB'!B187+'DCA-Anexo I-AB'!B188+'DCA-Anexo I-AB'!B189+'DCA-Anexo I-AB'!B190</f>
        <v>0</v>
      </c>
    </row>
    <row r="186" spans="1:2" ht="13.2" customHeight="1">
      <c r="A186" s="4" t="s">
        <v>183</v>
      </c>
      <c r="B186" s="12">
        <v>0</v>
      </c>
    </row>
    <row r="187" spans="1:2" ht="13.2" customHeight="1">
      <c r="A187" s="3" t="s">
        <v>184</v>
      </c>
      <c r="B187" s="11"/>
    </row>
    <row r="188" spans="1:2" ht="26.4" customHeight="1">
      <c r="A188" s="4" t="s">
        <v>185</v>
      </c>
      <c r="B188" s="12"/>
    </row>
    <row r="189" spans="1:2" ht="26.4" customHeight="1">
      <c r="A189" s="3" t="s">
        <v>186</v>
      </c>
      <c r="B189" s="11"/>
    </row>
    <row r="190" spans="1:2" ht="26.4" customHeight="1">
      <c r="A190" s="4" t="s">
        <v>187</v>
      </c>
      <c r="B190" s="12"/>
    </row>
    <row r="191" spans="1:2" ht="13.2" customHeight="1">
      <c r="A191" s="3" t="s">
        <v>188</v>
      </c>
      <c r="B191" s="11">
        <f>+'DCA-Anexo I-AB'!B192+'DCA-Anexo I-AB'!B193+'DCA-Anexo I-AB'!B194+'DCA-Anexo I-AB'!B195+'DCA-Anexo I-AB'!B196</f>
        <v>0</v>
      </c>
    </row>
    <row r="192" spans="1:2" ht="13.2" customHeight="1">
      <c r="A192" s="4" t="s">
        <v>189</v>
      </c>
      <c r="B192" s="12">
        <v>0</v>
      </c>
    </row>
    <row r="193" spans="1:2" ht="13.2" customHeight="1">
      <c r="A193" s="3" t="s">
        <v>190</v>
      </c>
      <c r="B193" s="11"/>
    </row>
    <row r="194" spans="1:2" ht="13.2" customHeight="1">
      <c r="A194" s="4" t="s">
        <v>191</v>
      </c>
      <c r="B194" s="12"/>
    </row>
    <row r="195" spans="1:2" ht="13.2" customHeight="1">
      <c r="A195" s="3" t="s">
        <v>192</v>
      </c>
      <c r="B195" s="11"/>
    </row>
    <row r="196" spans="1:2" ht="13.2" customHeight="1">
      <c r="A196" s="4" t="s">
        <v>193</v>
      </c>
      <c r="B196" s="12"/>
    </row>
    <row r="197" spans="1:2" ht="13.2" customHeight="1">
      <c r="A197" s="3" t="s">
        <v>194</v>
      </c>
      <c r="B197" s="11">
        <f>+'DCA-Anexo I-AB'!B198+'DCA-Anexo I-AB'!B199+'DCA-Anexo I-AB'!B200+'DCA-Anexo I-AB'!B201+'DCA-Anexo I-AB'!B202</f>
        <v>0</v>
      </c>
    </row>
    <row r="198" spans="1:2" ht="13.2" customHeight="1">
      <c r="A198" s="4" t="s">
        <v>195</v>
      </c>
      <c r="B198" s="12">
        <v>0</v>
      </c>
    </row>
    <row r="199" spans="1:2" ht="13.2" customHeight="1">
      <c r="A199" s="3" t="s">
        <v>196</v>
      </c>
      <c r="B199" s="11"/>
    </row>
    <row r="200" spans="1:2" ht="13.2" customHeight="1">
      <c r="A200" s="4" t="s">
        <v>197</v>
      </c>
      <c r="B200" s="12"/>
    </row>
    <row r="201" spans="1:2" ht="13.2" customHeight="1">
      <c r="A201" s="3" t="s">
        <v>198</v>
      </c>
      <c r="B201" s="11"/>
    </row>
    <row r="202" spans="1:2" ht="13.2" customHeight="1">
      <c r="A202" s="4" t="s">
        <v>199</v>
      </c>
      <c r="B202" s="12"/>
    </row>
    <row r="203" spans="1:2" ht="13.2" customHeight="1">
      <c r="A203" s="3" t="s">
        <v>200</v>
      </c>
      <c r="B203" s="11">
        <f>+'DCA-Anexo I-AB'!B204+'DCA-Anexo I-AB'!B205+'DCA-Anexo I-AB'!B206+'DCA-Anexo I-AB'!B207+'DCA-Anexo I-AB'!B208</f>
        <v>0</v>
      </c>
    </row>
    <row r="204" spans="1:2" ht="26.4" customHeight="1">
      <c r="A204" s="4" t="s">
        <v>201</v>
      </c>
      <c r="B204" s="12">
        <v>0</v>
      </c>
    </row>
    <row r="205" spans="1:2" ht="26.4" customHeight="1">
      <c r="A205" s="3" t="s">
        <v>202</v>
      </c>
      <c r="B205" s="11"/>
    </row>
    <row r="206" spans="1:2" ht="26.4" customHeight="1">
      <c r="A206" s="4" t="s">
        <v>203</v>
      </c>
      <c r="B206" s="12"/>
    </row>
    <row r="207" spans="1:2" ht="26.4" customHeight="1">
      <c r="A207" s="3" t="s">
        <v>204</v>
      </c>
      <c r="B207" s="11"/>
    </row>
    <row r="208" spans="1:2" ht="26.4" customHeight="1">
      <c r="A208" s="4" t="s">
        <v>205</v>
      </c>
      <c r="B208" s="12"/>
    </row>
    <row r="209" spans="1:2" ht="13.2" customHeight="1">
      <c r="A209" s="3" t="s">
        <v>206</v>
      </c>
      <c r="B209" s="11">
        <f>+'DCA-Anexo I-AB'!B210+'DCA-Anexo I-AB'!B211+'DCA-Anexo I-AB'!B212+'DCA-Anexo I-AB'!B213+'DCA-Anexo I-AB'!B214</f>
        <v>0</v>
      </c>
    </row>
    <row r="210" spans="1:2" ht="13.2" customHeight="1">
      <c r="A210" s="4" t="s">
        <v>207</v>
      </c>
      <c r="B210" s="12">
        <v>0</v>
      </c>
    </row>
    <row r="211" spans="1:2" ht="13.2" customHeight="1">
      <c r="A211" s="3" t="s">
        <v>208</v>
      </c>
      <c r="B211" s="11"/>
    </row>
    <row r="212" spans="1:2" ht="13.2" customHeight="1">
      <c r="A212" s="4" t="s">
        <v>209</v>
      </c>
      <c r="B212" s="12"/>
    </row>
    <row r="213" spans="1:2" ht="13.2" customHeight="1">
      <c r="A213" s="3" t="s">
        <v>210</v>
      </c>
      <c r="B213" s="11"/>
    </row>
    <row r="214" spans="1:2" ht="26.4" customHeight="1">
      <c r="A214" s="4" t="s">
        <v>211</v>
      </c>
      <c r="B214" s="12"/>
    </row>
    <row r="215" spans="1:2" ht="13.2" customHeight="1">
      <c r="A215" s="3" t="s">
        <v>212</v>
      </c>
      <c r="B215" s="11">
        <f>+'DCA-Anexo I-AB'!B216+'DCA-Anexo I-AB'!B217+'DCA-Anexo I-AB'!B218+'DCA-Anexo I-AB'!B219+'DCA-Anexo I-AB'!B220</f>
        <v>0</v>
      </c>
    </row>
    <row r="216" spans="1:2" ht="13.2" customHeight="1">
      <c r="A216" s="4" t="s">
        <v>213</v>
      </c>
      <c r="B216" s="12">
        <v>0</v>
      </c>
    </row>
    <row r="217" spans="1:2" ht="13.2" customHeight="1">
      <c r="A217" s="3" t="s">
        <v>214</v>
      </c>
      <c r="B217" s="11"/>
    </row>
    <row r="218" spans="1:2" ht="13.2" customHeight="1">
      <c r="A218" s="4" t="s">
        <v>215</v>
      </c>
      <c r="B218" s="12"/>
    </row>
    <row r="219" spans="1:2" ht="13.2" customHeight="1">
      <c r="A219" s="3" t="s">
        <v>216</v>
      </c>
      <c r="B219" s="11"/>
    </row>
    <row r="220" spans="1:2" ht="13.2" customHeight="1">
      <c r="A220" s="4" t="s">
        <v>217</v>
      </c>
      <c r="B220" s="12"/>
    </row>
    <row r="221" spans="1:2" ht="13.2" customHeight="1">
      <c r="A221" s="3" t="s">
        <v>218</v>
      </c>
      <c r="B221" s="11">
        <f>+'DCA-Anexo I-AB'!B222+'DCA-Anexo I-AB'!B223+'DCA-Anexo I-AB'!B224+'DCA-Anexo I-AB'!B225+'DCA-Anexo I-AB'!B226</f>
        <v>0</v>
      </c>
    </row>
    <row r="222" spans="1:2" ht="13.2" customHeight="1">
      <c r="A222" s="4" t="s">
        <v>219</v>
      </c>
      <c r="B222" s="12">
        <v>0</v>
      </c>
    </row>
    <row r="223" spans="1:2" ht="13.2" customHeight="1">
      <c r="A223" s="3" t="s">
        <v>220</v>
      </c>
      <c r="B223" s="11"/>
    </row>
    <row r="224" spans="1:2" ht="13.2" customHeight="1">
      <c r="A224" s="4" t="s">
        <v>221</v>
      </c>
      <c r="B224" s="12"/>
    </row>
    <row r="225" spans="1:2" ht="13.2" customHeight="1">
      <c r="A225" s="3" t="s">
        <v>222</v>
      </c>
      <c r="B225" s="11"/>
    </row>
    <row r="226" spans="1:2" ht="13.2" customHeight="1">
      <c r="A226" s="4" t="s">
        <v>223</v>
      </c>
      <c r="B226" s="12"/>
    </row>
    <row r="227" spans="1:2" ht="13.2" customHeight="1">
      <c r="A227" s="3" t="s">
        <v>224</v>
      </c>
      <c r="B227" s="11">
        <f>+'DCA-Anexo I-AB'!B228+'DCA-Anexo I-AB'!B356+'DCA-Anexo I-AB'!B402+'DCA-Anexo I-AB'!B433+'DCA-Anexo I-AB'!B456</f>
        <v>42429305.579999998</v>
      </c>
    </row>
    <row r="228" spans="1:2" ht="13.2" customHeight="1">
      <c r="A228" s="4" t="s">
        <v>225</v>
      </c>
      <c r="B228" s="12">
        <f>+'DCA-Anexo I-AB'!B229+'DCA-Anexo I-AB'!B281+'DCA-Anexo I-AB'!B297+'DCA-Anexo I-AB'!B328+'DCA-Anexo I-AB'!B341+'DCA-Anexo I-AB'!B339</f>
        <v>4174780.17</v>
      </c>
    </row>
    <row r="229" spans="1:2" ht="13.2" customHeight="1">
      <c r="A229" s="3" t="s">
        <v>226</v>
      </c>
      <c r="B229" s="11">
        <f>+'DCA-Anexo I-AB'!B230+'DCA-Anexo I-AB'!B240+'DCA-Anexo I-AB'!B251+'DCA-Anexo I-AB'!B261+'DCA-Anexo I-AB'!B271</f>
        <v>4174780.17</v>
      </c>
    </row>
    <row r="230" spans="1:2" ht="13.2" customHeight="1">
      <c r="A230" s="4" t="s">
        <v>227</v>
      </c>
      <c r="B230" s="12">
        <f>+'DCA-Anexo I-AB'!B231+'DCA-Anexo I-AB'!B232+'DCA-Anexo I-AB'!B233+'DCA-Anexo I-AB'!B234+'DCA-Anexo I-AB'!B235+'DCA-Anexo I-AB'!B236+'DCA-Anexo I-AB'!B238+'DCA-Anexo I-AB'!B237-'DCA-Anexo I-AB'!B239</f>
        <v>4174780.17</v>
      </c>
    </row>
    <row r="231" spans="1:2" ht="13.2" customHeight="1">
      <c r="A231" s="3" t="s">
        <v>228</v>
      </c>
      <c r="B231" s="11"/>
    </row>
    <row r="232" spans="1:2" ht="13.2" customHeight="1">
      <c r="A232" s="4" t="s">
        <v>229</v>
      </c>
      <c r="B232" s="12"/>
    </row>
    <row r="233" spans="1:2" ht="13.2" customHeight="1">
      <c r="A233" s="3" t="s">
        <v>230</v>
      </c>
      <c r="B233" s="11"/>
    </row>
    <row r="234" spans="1:2" ht="13.2" customHeight="1">
      <c r="A234" s="4" t="s">
        <v>231</v>
      </c>
      <c r="B234" s="12">
        <v>2378075.2400000002</v>
      </c>
    </row>
    <row r="235" spans="1:2" ht="13.2" customHeight="1">
      <c r="A235" s="3" t="s">
        <v>232</v>
      </c>
      <c r="B235" s="11">
        <v>1796704.93</v>
      </c>
    </row>
    <row r="236" spans="1:2" ht="13.2" customHeight="1">
      <c r="A236" s="4" t="s">
        <v>233</v>
      </c>
      <c r="B236" s="12"/>
    </row>
    <row r="237" spans="1:2" ht="13.2" customHeight="1">
      <c r="A237" s="3" t="s">
        <v>234</v>
      </c>
      <c r="B237" s="11"/>
    </row>
    <row r="238" spans="1:2" ht="13.2" customHeight="1">
      <c r="A238" s="4" t="s">
        <v>235</v>
      </c>
      <c r="B238" s="12"/>
    </row>
    <row r="239" spans="1:2" ht="13.2" customHeight="1">
      <c r="A239" s="3" t="s">
        <v>236</v>
      </c>
      <c r="B239" s="11"/>
    </row>
    <row r="240" spans="1:2" ht="13.2" customHeight="1">
      <c r="A240" s="4" t="s">
        <v>237</v>
      </c>
      <c r="B240" s="12">
        <f>+'DCA-Anexo I-AB'!B241+'DCA-Anexo I-AB'!B242+'DCA-Anexo I-AB'!B243+'DCA-Anexo I-AB'!B244+'DCA-Anexo I-AB'!B245-'DCA-Anexo I-AB'!B250+'DCA-Anexo I-AB'!B246+'DCA-Anexo I-AB'!B249+'DCA-Anexo I-AB'!B247+'DCA-Anexo I-AB'!B248</f>
        <v>0</v>
      </c>
    </row>
    <row r="241" spans="1:2" ht="13.2" customHeight="1">
      <c r="A241" s="3" t="s">
        <v>238</v>
      </c>
      <c r="B241" s="11"/>
    </row>
    <row r="242" spans="1:2" ht="13.2" customHeight="1">
      <c r="A242" s="4" t="s">
        <v>239</v>
      </c>
      <c r="B242" s="12"/>
    </row>
    <row r="243" spans="1:2" ht="13.2" customHeight="1">
      <c r="A243" s="3" t="s">
        <v>240</v>
      </c>
      <c r="B243" s="11"/>
    </row>
    <row r="244" spans="1:2" ht="13.2" customHeight="1">
      <c r="A244" s="4" t="s">
        <v>241</v>
      </c>
      <c r="B244" s="12"/>
    </row>
    <row r="245" spans="1:2" ht="13.2" customHeight="1">
      <c r="A245" s="3" t="s">
        <v>242</v>
      </c>
      <c r="B245" s="11"/>
    </row>
    <row r="246" spans="1:2" ht="13.2" customHeight="1">
      <c r="A246" s="4" t="s">
        <v>243</v>
      </c>
      <c r="B246" s="12"/>
    </row>
    <row r="247" spans="1:2" ht="13.2" customHeight="1">
      <c r="A247" s="3" t="s">
        <v>244</v>
      </c>
      <c r="B247" s="11"/>
    </row>
    <row r="248" spans="1:2" ht="26.4" customHeight="1">
      <c r="A248" s="4" t="s">
        <v>245</v>
      </c>
      <c r="B248" s="12"/>
    </row>
    <row r="249" spans="1:2" ht="13.2" customHeight="1">
      <c r="A249" s="3" t="s">
        <v>246</v>
      </c>
      <c r="B249" s="11"/>
    </row>
    <row r="250" spans="1:2" ht="13.2" customHeight="1">
      <c r="A250" s="4" t="s">
        <v>247</v>
      </c>
      <c r="B250" s="12"/>
    </row>
    <row r="251" spans="1:2" ht="13.2" customHeight="1">
      <c r="A251" s="3" t="s">
        <v>248</v>
      </c>
      <c r="B251" s="11">
        <f>+'DCA-Anexo I-AB'!B252+'DCA-Anexo I-AB'!B253+'DCA-Anexo I-AB'!B254+'DCA-Anexo I-AB'!B255+'DCA-Anexo I-AB'!B256-'DCA-Anexo I-AB'!B260+'DCA-Anexo I-AB'!B257+'DCA-Anexo I-AB'!B259+'DCA-Anexo I-AB'!B258</f>
        <v>0</v>
      </c>
    </row>
    <row r="252" spans="1:2" ht="13.2" customHeight="1">
      <c r="A252" s="4" t="s">
        <v>249</v>
      </c>
      <c r="B252" s="12"/>
    </row>
    <row r="253" spans="1:2" ht="13.2" customHeight="1">
      <c r="A253" s="3" t="s">
        <v>250</v>
      </c>
      <c r="B253" s="11"/>
    </row>
    <row r="254" spans="1:2" ht="13.2" customHeight="1">
      <c r="A254" s="4" t="s">
        <v>251</v>
      </c>
      <c r="B254" s="12"/>
    </row>
    <row r="255" spans="1:2" ht="13.2" customHeight="1">
      <c r="A255" s="3" t="s">
        <v>252</v>
      </c>
      <c r="B255" s="11"/>
    </row>
    <row r="256" spans="1:2" ht="13.2" customHeight="1">
      <c r="A256" s="4" t="s">
        <v>253</v>
      </c>
      <c r="B256" s="12"/>
    </row>
    <row r="257" spans="1:2" ht="13.2" customHeight="1">
      <c r="A257" s="3" t="s">
        <v>254</v>
      </c>
      <c r="B257" s="11"/>
    </row>
    <row r="258" spans="1:2" ht="13.2" customHeight="1">
      <c r="A258" s="4" t="s">
        <v>255</v>
      </c>
      <c r="B258" s="12"/>
    </row>
    <row r="259" spans="1:2" ht="13.2" customHeight="1">
      <c r="A259" s="3" t="s">
        <v>256</v>
      </c>
      <c r="B259" s="11"/>
    </row>
    <row r="260" spans="1:2" ht="13.2" customHeight="1">
      <c r="A260" s="4" t="s">
        <v>257</v>
      </c>
      <c r="B260" s="12"/>
    </row>
    <row r="261" spans="1:2" ht="13.2" customHeight="1">
      <c r="A261" s="3" t="s">
        <v>258</v>
      </c>
      <c r="B261" s="11">
        <f>+'DCA-Anexo I-AB'!B262+'DCA-Anexo I-AB'!B263+'DCA-Anexo I-AB'!B264+'DCA-Anexo I-AB'!B265+'DCA-Anexo I-AB'!B266-'DCA-Anexo I-AB'!B270+'DCA-Anexo I-AB'!B267+'DCA-Anexo I-AB'!B269+'DCA-Anexo I-AB'!B268</f>
        <v>0</v>
      </c>
    </row>
    <row r="262" spans="1:2" ht="13.2" customHeight="1">
      <c r="A262" s="4" t="s">
        <v>259</v>
      </c>
      <c r="B262" s="12"/>
    </row>
    <row r="263" spans="1:2" ht="13.2" customHeight="1">
      <c r="A263" s="3" t="s">
        <v>260</v>
      </c>
      <c r="B263" s="11"/>
    </row>
    <row r="264" spans="1:2" ht="13.2" customHeight="1">
      <c r="A264" s="4" t="s">
        <v>261</v>
      </c>
      <c r="B264" s="12"/>
    </row>
    <row r="265" spans="1:2" ht="13.2" customHeight="1">
      <c r="A265" s="3" t="s">
        <v>262</v>
      </c>
      <c r="B265" s="11"/>
    </row>
    <row r="266" spans="1:2" ht="13.2" customHeight="1">
      <c r="A266" s="4" t="s">
        <v>263</v>
      </c>
      <c r="B266" s="12"/>
    </row>
    <row r="267" spans="1:2" ht="13.2" customHeight="1">
      <c r="A267" s="3" t="s">
        <v>264</v>
      </c>
      <c r="B267" s="11"/>
    </row>
    <row r="268" spans="1:2" ht="13.2" customHeight="1">
      <c r="A268" s="4" t="s">
        <v>265</v>
      </c>
      <c r="B268" s="12"/>
    </row>
    <row r="269" spans="1:2" ht="13.2" customHeight="1">
      <c r="A269" s="3" t="s">
        <v>266</v>
      </c>
      <c r="B269" s="11"/>
    </row>
    <row r="270" spans="1:2" ht="13.2" customHeight="1">
      <c r="A270" s="4" t="s">
        <v>267</v>
      </c>
      <c r="B270" s="12"/>
    </row>
    <row r="271" spans="1:2" ht="13.2" customHeight="1">
      <c r="A271" s="3" t="s">
        <v>268</v>
      </c>
      <c r="B271" s="11">
        <f>+'DCA-Anexo I-AB'!B272+'DCA-Anexo I-AB'!B273+'DCA-Anexo I-AB'!B274+'DCA-Anexo I-AB'!B275+'DCA-Anexo I-AB'!B276-'DCA-Anexo I-AB'!B280+'DCA-Anexo I-AB'!B277+'DCA-Anexo I-AB'!B279+'DCA-Anexo I-AB'!B278</f>
        <v>0</v>
      </c>
    </row>
    <row r="272" spans="1:2" ht="13.2" customHeight="1">
      <c r="A272" s="4" t="s">
        <v>269</v>
      </c>
      <c r="B272" s="12"/>
    </row>
    <row r="273" spans="1:2" ht="13.2" customHeight="1">
      <c r="A273" s="3" t="s">
        <v>270</v>
      </c>
      <c r="B273" s="11"/>
    </row>
    <row r="274" spans="1:2" ht="13.2" customHeight="1">
      <c r="A274" s="4" t="s">
        <v>271</v>
      </c>
      <c r="B274" s="12"/>
    </row>
    <row r="275" spans="1:2" ht="13.2" customHeight="1">
      <c r="A275" s="3" t="s">
        <v>272</v>
      </c>
      <c r="B275" s="11"/>
    </row>
    <row r="276" spans="1:2" ht="13.2" customHeight="1">
      <c r="A276" s="4" t="s">
        <v>273</v>
      </c>
      <c r="B276" s="12"/>
    </row>
    <row r="277" spans="1:2" ht="13.2" customHeight="1">
      <c r="A277" s="3" t="s">
        <v>274</v>
      </c>
      <c r="B277" s="11"/>
    </row>
    <row r="278" spans="1:2" ht="13.2" customHeight="1">
      <c r="A278" s="4" t="s">
        <v>275</v>
      </c>
      <c r="B278" s="12"/>
    </row>
    <row r="279" spans="1:2" ht="13.2" customHeight="1">
      <c r="A279" s="3" t="s">
        <v>276</v>
      </c>
      <c r="B279" s="11"/>
    </row>
    <row r="280" spans="1:2" ht="13.2" customHeight="1">
      <c r="A280" s="4" t="s">
        <v>277</v>
      </c>
      <c r="B280" s="12"/>
    </row>
    <row r="281" spans="1:2" ht="13.2" customHeight="1">
      <c r="A281" s="3" t="s">
        <v>278</v>
      </c>
      <c r="B281" s="11">
        <f>+'DCA-Anexo I-AB'!B282+'DCA-Anexo I-AB'!B293+'DCA-Anexo I-AB'!B294+'DCA-Anexo I-AB'!B295+'DCA-Anexo I-AB'!B296</f>
        <v>0</v>
      </c>
    </row>
    <row r="282" spans="1:2" ht="26.4" customHeight="1">
      <c r="A282" s="4" t="s">
        <v>279</v>
      </c>
      <c r="B282" s="12">
        <f>+'DCA-Anexo I-AB'!B283+'DCA-Anexo I-AB'!B284+'DCA-Anexo I-AB'!B285+'DCA-Anexo I-AB'!B286+'DCA-Anexo I-AB'!B287+'DCA-Anexo I-AB'!B288+'DCA-Anexo I-AB'!B291-'DCA-Anexo I-AB'!B292+'DCA-Anexo I-AB'!B289+'DCA-Anexo I-AB'!B290</f>
        <v>0</v>
      </c>
    </row>
    <row r="283" spans="1:2" ht="13.2" customHeight="1">
      <c r="A283" s="3" t="s">
        <v>280</v>
      </c>
      <c r="B283" s="11"/>
    </row>
    <row r="284" spans="1:2" ht="13.2" customHeight="1">
      <c r="A284" s="4" t="s">
        <v>281</v>
      </c>
      <c r="B284" s="12"/>
    </row>
    <row r="285" spans="1:2" ht="26.4" customHeight="1">
      <c r="A285" s="3" t="s">
        <v>282</v>
      </c>
      <c r="B285" s="11"/>
    </row>
    <row r="286" spans="1:2" ht="26.4" customHeight="1">
      <c r="A286" s="4" t="s">
        <v>283</v>
      </c>
      <c r="B286" s="12"/>
    </row>
    <row r="287" spans="1:2" ht="26.4" customHeight="1">
      <c r="A287" s="3" t="s">
        <v>284</v>
      </c>
      <c r="B287" s="11"/>
    </row>
    <row r="288" spans="1:2" ht="13.2" customHeight="1">
      <c r="A288" s="4" t="s">
        <v>285</v>
      </c>
      <c r="B288" s="12"/>
    </row>
    <row r="289" spans="1:2" ht="26.4" customHeight="1">
      <c r="A289" s="3" t="s">
        <v>286</v>
      </c>
      <c r="B289" s="11"/>
    </row>
    <row r="290" spans="1:2" ht="13.2" customHeight="1">
      <c r="A290" s="4" t="s">
        <v>287</v>
      </c>
      <c r="B290" s="12"/>
    </row>
    <row r="291" spans="1:2" ht="13.2" customHeight="1">
      <c r="A291" s="3" t="s">
        <v>288</v>
      </c>
      <c r="B291" s="11"/>
    </row>
    <row r="292" spans="1:2" ht="26.4" customHeight="1">
      <c r="A292" s="4" t="s">
        <v>289</v>
      </c>
      <c r="B292" s="12"/>
    </row>
    <row r="293" spans="1:2" ht="13.2" customHeight="1">
      <c r="A293" s="3" t="s">
        <v>290</v>
      </c>
      <c r="B293" s="11"/>
    </row>
    <row r="294" spans="1:2" ht="26.4" customHeight="1">
      <c r="A294" s="4" t="s">
        <v>291</v>
      </c>
      <c r="B294" s="12"/>
    </row>
    <row r="295" spans="1:2" ht="26.4" customHeight="1">
      <c r="A295" s="3" t="s">
        <v>292</v>
      </c>
      <c r="B295" s="11"/>
    </row>
    <row r="296" spans="1:2" ht="26.4" customHeight="1">
      <c r="A296" s="4" t="s">
        <v>293</v>
      </c>
      <c r="B296" s="12"/>
    </row>
    <row r="297" spans="1:2" ht="13.2" customHeight="1">
      <c r="A297" s="3" t="s">
        <v>294</v>
      </c>
      <c r="B297" s="11">
        <f>+'DCA-Anexo I-AB'!B298</f>
        <v>0</v>
      </c>
    </row>
    <row r="298" spans="1:2" ht="26.4" customHeight="1">
      <c r="A298" s="4" t="s">
        <v>295</v>
      </c>
      <c r="B298" s="12">
        <f>+'DCA-Anexo I-AB'!B299+'DCA-Anexo I-AB'!B300+'DCA-Anexo I-AB'!B301+'DCA-Anexo I-AB'!B302+'DCA-Anexo I-AB'!B303+'DCA-Anexo I-AB'!B304+'DCA-Anexo I-AB'!B305+'DCA-Anexo I-AB'!B306+'DCA-Anexo I-AB'!B307+'DCA-Anexo I-AB'!B308+'DCA-Anexo I-AB'!B309+'DCA-Anexo I-AB'!B310+'DCA-Anexo I-AB'!B311+'DCA-Anexo I-AB'!B312+'DCA-Anexo I-AB'!B313+'DCA-Anexo I-AB'!B314+'DCA-Anexo I-AB'!B315+'DCA-Anexo I-AB'!B316+'DCA-Anexo I-AB'!B317+'DCA-Anexo I-AB'!B318+'DCA-Anexo I-AB'!B319-'DCA-Anexo I-AB'!B320</f>
        <v>0</v>
      </c>
    </row>
    <row r="299" spans="1:2" ht="13.2" customHeight="1">
      <c r="A299" s="3" t="s">
        <v>296</v>
      </c>
      <c r="B299" s="11"/>
    </row>
    <row r="300" spans="1:2" ht="13.2" customHeight="1">
      <c r="A300" s="4" t="s">
        <v>297</v>
      </c>
      <c r="B300" s="12"/>
    </row>
    <row r="301" spans="1:2" ht="13.2" customHeight="1">
      <c r="A301" s="3" t="s">
        <v>298</v>
      </c>
      <c r="B301" s="11"/>
    </row>
    <row r="302" spans="1:2" ht="13.2" customHeight="1">
      <c r="A302" s="4" t="s">
        <v>299</v>
      </c>
      <c r="B302" s="12"/>
    </row>
    <row r="303" spans="1:2" ht="26.4" customHeight="1">
      <c r="A303" s="3" t="s">
        <v>300</v>
      </c>
      <c r="B303" s="11"/>
    </row>
    <row r="304" spans="1:2" ht="26.4" customHeight="1">
      <c r="A304" s="4" t="s">
        <v>301</v>
      </c>
      <c r="B304" s="12"/>
    </row>
    <row r="305" spans="1:2" ht="26.4" customHeight="1">
      <c r="A305" s="3" t="s">
        <v>302</v>
      </c>
      <c r="B305" s="11"/>
    </row>
    <row r="306" spans="1:2" ht="26.4" customHeight="1">
      <c r="A306" s="4" t="s">
        <v>303</v>
      </c>
      <c r="B306" s="12"/>
    </row>
    <row r="307" spans="1:2" ht="26.4" customHeight="1">
      <c r="A307" s="3" t="s">
        <v>304</v>
      </c>
      <c r="B307" s="11"/>
    </row>
    <row r="308" spans="1:2" ht="26.4" customHeight="1">
      <c r="A308" s="4" t="s">
        <v>305</v>
      </c>
      <c r="B308" s="12"/>
    </row>
    <row r="309" spans="1:2" ht="26.4" customHeight="1">
      <c r="A309" s="3" t="s">
        <v>306</v>
      </c>
      <c r="B309" s="11"/>
    </row>
    <row r="310" spans="1:2" ht="26.4" customHeight="1">
      <c r="A310" s="4" t="s">
        <v>307</v>
      </c>
      <c r="B310" s="12"/>
    </row>
    <row r="311" spans="1:2" ht="26.4" customHeight="1">
      <c r="A311" s="3" t="s">
        <v>308</v>
      </c>
      <c r="B311" s="11"/>
    </row>
    <row r="312" spans="1:2" ht="26.4" customHeight="1">
      <c r="A312" s="4" t="s">
        <v>309</v>
      </c>
      <c r="B312" s="12"/>
    </row>
    <row r="313" spans="1:2" ht="26.4" customHeight="1">
      <c r="A313" s="3" t="s">
        <v>310</v>
      </c>
      <c r="B313" s="11"/>
    </row>
    <row r="314" spans="1:2" ht="26.4" customHeight="1">
      <c r="A314" s="4" t="s">
        <v>311</v>
      </c>
      <c r="B314" s="12"/>
    </row>
    <row r="315" spans="1:2" ht="26.4" customHeight="1">
      <c r="A315" s="3" t="s">
        <v>312</v>
      </c>
      <c r="B315" s="11"/>
    </row>
    <row r="316" spans="1:2" ht="26.4" customHeight="1">
      <c r="A316" s="4" t="s">
        <v>313</v>
      </c>
      <c r="B316" s="12"/>
    </row>
    <row r="317" spans="1:2" ht="26.4" customHeight="1">
      <c r="A317" s="3" t="s">
        <v>314</v>
      </c>
      <c r="B317" s="11"/>
    </row>
    <row r="318" spans="1:2" ht="13.2" customHeight="1">
      <c r="A318" s="4" t="s">
        <v>315</v>
      </c>
      <c r="B318" s="12"/>
    </row>
    <row r="319" spans="1:2" ht="26.4" customHeight="1">
      <c r="A319" s="3" t="s">
        <v>316</v>
      </c>
      <c r="B319" s="11"/>
    </row>
    <row r="320" spans="1:2" ht="26.4" customHeight="1">
      <c r="A320" s="4" t="s">
        <v>317</v>
      </c>
      <c r="B320" s="12">
        <f>+'DCA-Anexo I-AB'!B321+'DCA-Anexo I-AB'!B322+'DCA-Anexo I-AB'!B323+'DCA-Anexo I-AB'!B324+'DCA-Anexo I-AB'!B325+'DCA-Anexo I-AB'!B326+'DCA-Anexo I-AB'!B327</f>
        <v>0</v>
      </c>
    </row>
    <row r="321" spans="1:2" ht="26.4" customHeight="1">
      <c r="A321" s="3" t="s">
        <v>318</v>
      </c>
      <c r="B321" s="11"/>
    </row>
    <row r="322" spans="1:2" ht="26.4" customHeight="1">
      <c r="A322" s="4" t="s">
        <v>319</v>
      </c>
      <c r="B322" s="12"/>
    </row>
    <row r="323" spans="1:2" ht="26.4" customHeight="1">
      <c r="A323" s="3" t="s">
        <v>320</v>
      </c>
      <c r="B323" s="11"/>
    </row>
    <row r="324" spans="1:2" ht="26.4" customHeight="1">
      <c r="A324" s="4" t="s">
        <v>321</v>
      </c>
      <c r="B324" s="12"/>
    </row>
    <row r="325" spans="1:2" ht="26.4" customHeight="1">
      <c r="A325" s="3" t="s">
        <v>322</v>
      </c>
      <c r="B325" s="11"/>
    </row>
    <row r="326" spans="1:2" ht="26.4" customHeight="1">
      <c r="A326" s="4" t="s">
        <v>323</v>
      </c>
      <c r="B326" s="12"/>
    </row>
    <row r="327" spans="1:2" ht="26.4" customHeight="1">
      <c r="A327" s="3" t="s">
        <v>324</v>
      </c>
      <c r="B327" s="11"/>
    </row>
    <row r="328" spans="1:2" ht="13.2" customHeight="1">
      <c r="A328" s="4" t="s">
        <v>325</v>
      </c>
      <c r="B328" s="12">
        <f>+'DCA-Anexo I-AB'!B329</f>
        <v>0</v>
      </c>
    </row>
    <row r="329" spans="1:2" ht="13.2" customHeight="1">
      <c r="A329" s="3" t="s">
        <v>326</v>
      </c>
      <c r="B329" s="11">
        <f>+'DCA-Anexo I-AB'!B330+'DCA-Anexo I-AB'!B331+'DCA-Anexo I-AB'!B332+'DCA-Anexo I-AB'!B333+'DCA-Anexo I-AB'!B334+'DCA-Anexo I-AB'!B335+'DCA-Anexo I-AB'!B336+'DCA-Anexo I-AB'!B337-'DCA-Anexo I-AB'!B338</f>
        <v>0</v>
      </c>
    </row>
    <row r="330" spans="1:2" ht="13.2" customHeight="1">
      <c r="A330" s="4" t="s">
        <v>327</v>
      </c>
      <c r="B330" s="12"/>
    </row>
    <row r="331" spans="1:2" ht="13.2" customHeight="1">
      <c r="A331" s="3" t="s">
        <v>328</v>
      </c>
      <c r="B331" s="11"/>
    </row>
    <row r="332" spans="1:2" ht="13.2" customHeight="1">
      <c r="A332" s="4" t="s">
        <v>329</v>
      </c>
      <c r="B332" s="12"/>
    </row>
    <row r="333" spans="1:2" ht="13.2" customHeight="1">
      <c r="A333" s="3" t="s">
        <v>330</v>
      </c>
      <c r="B333" s="11"/>
    </row>
    <row r="334" spans="1:2" ht="13.2" customHeight="1">
      <c r="A334" s="4" t="s">
        <v>331</v>
      </c>
      <c r="B334" s="12"/>
    </row>
    <row r="335" spans="1:2" ht="13.2" customHeight="1">
      <c r="A335" s="3" t="s">
        <v>332</v>
      </c>
      <c r="B335" s="11"/>
    </row>
    <row r="336" spans="1:2" ht="13.2" customHeight="1">
      <c r="A336" s="4" t="s">
        <v>333</v>
      </c>
      <c r="B336" s="12"/>
    </row>
    <row r="337" spans="1:2" ht="13.2" customHeight="1">
      <c r="A337" s="3" t="s">
        <v>334</v>
      </c>
      <c r="B337" s="11"/>
    </row>
    <row r="338" spans="1:2" ht="13.2" customHeight="1">
      <c r="A338" s="4" t="s">
        <v>335</v>
      </c>
      <c r="B338" s="12"/>
    </row>
    <row r="339" spans="1:2" ht="13.2" customHeight="1">
      <c r="A339" s="3" t="s">
        <v>336</v>
      </c>
      <c r="B339" s="11">
        <f>+'DCA-Anexo I-AB'!B340</f>
        <v>0</v>
      </c>
    </row>
    <row r="340" spans="1:2" ht="13.2" customHeight="1">
      <c r="A340" s="4" t="s">
        <v>337</v>
      </c>
      <c r="B340" s="12"/>
    </row>
    <row r="341" spans="1:2" ht="26.4" customHeight="1">
      <c r="A341" s="3" t="s">
        <v>338</v>
      </c>
      <c r="B341" s="11">
        <f>+'DCA-Anexo I-AB'!B342+'DCA-Anexo I-AB'!B352+'DCA-Anexo I-AB'!B353+'DCA-Anexo I-AB'!B354+'DCA-Anexo I-AB'!B355</f>
        <v>0</v>
      </c>
    </row>
    <row r="342" spans="1:2" ht="26.4" customHeight="1">
      <c r="A342" s="4" t="s">
        <v>339</v>
      </c>
      <c r="B342" s="12">
        <f>+'DCA-Anexo I-AB'!B343+'DCA-Anexo I-AB'!B344+'DCA-Anexo I-AB'!B345+'DCA-Anexo I-AB'!B346+'DCA-Anexo I-AB'!B347+'DCA-Anexo I-AB'!B348+'DCA-Anexo I-AB'!B349+'DCA-Anexo I-AB'!B350+'DCA-Anexo I-AB'!B351</f>
        <v>0</v>
      </c>
    </row>
    <row r="343" spans="1:2" ht="13.2" customHeight="1">
      <c r="A343" s="3" t="s">
        <v>340</v>
      </c>
      <c r="B343" s="11"/>
    </row>
    <row r="344" spans="1:2" ht="13.2" customHeight="1">
      <c r="A344" s="4" t="s">
        <v>341</v>
      </c>
      <c r="B344" s="12"/>
    </row>
    <row r="345" spans="1:2" ht="13.2" customHeight="1">
      <c r="A345" s="3" t="s">
        <v>342</v>
      </c>
      <c r="B345" s="11"/>
    </row>
    <row r="346" spans="1:2" ht="13.2" customHeight="1">
      <c r="A346" s="4" t="s">
        <v>343</v>
      </c>
      <c r="B346" s="12"/>
    </row>
    <row r="347" spans="1:2" ht="13.2" customHeight="1">
      <c r="A347" s="3" t="s">
        <v>344</v>
      </c>
      <c r="B347" s="11"/>
    </row>
    <row r="348" spans="1:2" ht="13.2" customHeight="1">
      <c r="A348" s="4" t="s">
        <v>345</v>
      </c>
      <c r="B348" s="12"/>
    </row>
    <row r="349" spans="1:2" ht="13.2" customHeight="1">
      <c r="A349" s="3" t="s">
        <v>346</v>
      </c>
      <c r="B349" s="11"/>
    </row>
    <row r="350" spans="1:2" ht="13.2" customHeight="1">
      <c r="A350" s="4" t="s">
        <v>347</v>
      </c>
      <c r="B350" s="12"/>
    </row>
    <row r="351" spans="1:2" ht="13.2" customHeight="1">
      <c r="A351" s="3" t="s">
        <v>348</v>
      </c>
      <c r="B351" s="11"/>
    </row>
    <row r="352" spans="1:2" ht="26.4" customHeight="1">
      <c r="A352" s="4" t="s">
        <v>349</v>
      </c>
      <c r="B352" s="12"/>
    </row>
    <row r="353" spans="1:2" ht="26.4" customHeight="1">
      <c r="A353" s="3" t="s">
        <v>350</v>
      </c>
      <c r="B353" s="11"/>
    </row>
    <row r="354" spans="1:2" ht="26.4" customHeight="1">
      <c r="A354" s="4" t="s">
        <v>351</v>
      </c>
      <c r="B354" s="12"/>
    </row>
    <row r="355" spans="1:2" ht="26.4" customHeight="1">
      <c r="A355" s="3" t="s">
        <v>352</v>
      </c>
      <c r="B355" s="11"/>
    </row>
    <row r="356" spans="1:2" ht="13.2" customHeight="1">
      <c r="A356" s="4" t="s">
        <v>353</v>
      </c>
      <c r="B356" s="12">
        <f>+'DCA-Anexo I-AB'!B357+'DCA-Anexo I-AB'!B373+'DCA-Anexo I-AB'!B375+'DCA-Anexo I-AB'!B377-'DCA-Anexo I-AB'!B379-'DCA-Anexo I-AB'!B383</f>
        <v>1311372.7</v>
      </c>
    </row>
    <row r="357" spans="1:2" ht="13.2" customHeight="1">
      <c r="A357" s="3" t="s">
        <v>354</v>
      </c>
      <c r="B357" s="11">
        <f>+'DCA-Anexo I-AB'!B358+'DCA-Anexo I-AB'!B361+'DCA-Anexo I-AB'!B364+'DCA-Anexo I-AB'!B367+'DCA-Anexo I-AB'!B370</f>
        <v>1311372.7</v>
      </c>
    </row>
    <row r="358" spans="1:2" ht="13.2" customHeight="1">
      <c r="A358" s="4" t="s">
        <v>355</v>
      </c>
      <c r="B358" s="12">
        <f>+'DCA-Anexo I-AB'!B359+'DCA-Anexo I-AB'!B360</f>
        <v>1311372.7</v>
      </c>
    </row>
    <row r="359" spans="1:2" ht="26.4" customHeight="1">
      <c r="A359" s="3" t="s">
        <v>356</v>
      </c>
      <c r="B359" s="11">
        <v>1311372.7</v>
      </c>
    </row>
    <row r="360" spans="1:2" ht="13.2" customHeight="1">
      <c r="A360" s="4" t="s">
        <v>357</v>
      </c>
      <c r="B360" s="12"/>
    </row>
    <row r="361" spans="1:2" ht="13.2" customHeight="1">
      <c r="A361" s="3" t="s">
        <v>358</v>
      </c>
      <c r="B361" s="11">
        <f>+'DCA-Anexo I-AB'!B362+'DCA-Anexo I-AB'!B363</f>
        <v>0</v>
      </c>
    </row>
    <row r="362" spans="1:2" ht="26.4" customHeight="1">
      <c r="A362" s="4" t="s">
        <v>359</v>
      </c>
      <c r="B362" s="12"/>
    </row>
    <row r="363" spans="1:2" ht="13.2" customHeight="1">
      <c r="A363" s="3" t="s">
        <v>360</v>
      </c>
      <c r="B363" s="11"/>
    </row>
    <row r="364" spans="1:2" ht="13.2" customHeight="1">
      <c r="A364" s="4" t="s">
        <v>361</v>
      </c>
      <c r="B364" s="12">
        <f>+'DCA-Anexo I-AB'!B365+'DCA-Anexo I-AB'!B366</f>
        <v>0</v>
      </c>
    </row>
    <row r="365" spans="1:2" ht="26.4" customHeight="1">
      <c r="A365" s="3" t="s">
        <v>362</v>
      </c>
      <c r="B365" s="11"/>
    </row>
    <row r="366" spans="1:2" ht="13.2" customHeight="1">
      <c r="A366" s="4" t="s">
        <v>363</v>
      </c>
      <c r="B366" s="12"/>
    </row>
    <row r="367" spans="1:2" ht="13.2" customHeight="1">
      <c r="A367" s="3" t="s">
        <v>364</v>
      </c>
      <c r="B367" s="11">
        <f>+'DCA-Anexo I-AB'!B368+'DCA-Anexo I-AB'!B369</f>
        <v>0</v>
      </c>
    </row>
    <row r="368" spans="1:2" ht="26.4" customHeight="1">
      <c r="A368" s="4" t="s">
        <v>365</v>
      </c>
      <c r="B368" s="12"/>
    </row>
    <row r="369" spans="1:2" ht="13.2" customHeight="1">
      <c r="A369" s="3" t="s">
        <v>366</v>
      </c>
      <c r="B369" s="11"/>
    </row>
    <row r="370" spans="1:2" ht="13.2" customHeight="1">
      <c r="A370" s="4" t="s">
        <v>367</v>
      </c>
      <c r="B370" s="12">
        <f>+'DCA-Anexo I-AB'!B371+'DCA-Anexo I-AB'!B372</f>
        <v>0</v>
      </c>
    </row>
    <row r="371" spans="1:2" ht="26.4" customHeight="1">
      <c r="A371" s="3" t="s">
        <v>368</v>
      </c>
      <c r="B371" s="11"/>
    </row>
    <row r="372" spans="1:2" ht="13.2" customHeight="1">
      <c r="A372" s="4" t="s">
        <v>369</v>
      </c>
      <c r="B372" s="12"/>
    </row>
    <row r="373" spans="1:2" ht="13.2" customHeight="1">
      <c r="A373" s="3" t="s">
        <v>370</v>
      </c>
      <c r="B373" s="11">
        <f>+'DCA-Anexo I-AB'!B374</f>
        <v>0</v>
      </c>
    </row>
    <row r="374" spans="1:2" ht="13.2" customHeight="1">
      <c r="A374" s="4" t="s">
        <v>371</v>
      </c>
      <c r="B374" s="12"/>
    </row>
    <row r="375" spans="1:2" ht="13.2" customHeight="1">
      <c r="A375" s="3" t="s">
        <v>372</v>
      </c>
      <c r="B375" s="11">
        <f>+'DCA-Anexo I-AB'!B376</f>
        <v>0</v>
      </c>
    </row>
    <row r="376" spans="1:2" ht="13.2" customHeight="1">
      <c r="A376" s="4" t="s">
        <v>373</v>
      </c>
      <c r="B376" s="12"/>
    </row>
    <row r="377" spans="1:2" ht="13.2" customHeight="1">
      <c r="A377" s="3" t="s">
        <v>374</v>
      </c>
      <c r="B377" s="11">
        <f>+'DCA-Anexo I-AB'!B378</f>
        <v>0</v>
      </c>
    </row>
    <row r="378" spans="1:2" ht="13.2" customHeight="1">
      <c r="A378" s="4" t="s">
        <v>375</v>
      </c>
      <c r="B378" s="12"/>
    </row>
    <row r="379" spans="1:2" ht="13.2" customHeight="1">
      <c r="A379" s="3" t="s">
        <v>376</v>
      </c>
      <c r="B379" s="11">
        <f>+'DCA-Anexo I-AB'!B380</f>
        <v>0</v>
      </c>
    </row>
    <row r="380" spans="1:2" ht="26.4" customHeight="1">
      <c r="A380" s="4" t="s">
        <v>377</v>
      </c>
      <c r="B380" s="12">
        <f>+'DCA-Anexo I-AB'!B381+'DCA-Anexo I-AB'!B382</f>
        <v>0</v>
      </c>
    </row>
    <row r="381" spans="1:2" ht="26.4" customHeight="1">
      <c r="A381" s="3" t="s">
        <v>378</v>
      </c>
      <c r="B381" s="11"/>
    </row>
    <row r="382" spans="1:2" ht="13.2" customHeight="1">
      <c r="A382" s="4" t="s">
        <v>379</v>
      </c>
      <c r="B382" s="12"/>
    </row>
    <row r="383" spans="1:2" ht="13.2" customHeight="1">
      <c r="A383" s="3" t="s">
        <v>380</v>
      </c>
      <c r="B383" s="11">
        <f>+'DCA-Anexo I-AB'!B384+'DCA-Anexo I-AB'!B390+'DCA-Anexo I-AB'!B393+'DCA-Anexo I-AB'!B396+'DCA-Anexo I-AB'!B399</f>
        <v>0</v>
      </c>
    </row>
    <row r="384" spans="1:2" ht="26.4" customHeight="1">
      <c r="A384" s="4" t="s">
        <v>381</v>
      </c>
      <c r="B384" s="12">
        <f>+'DCA-Anexo I-AB'!B385+'DCA-Anexo I-AB'!B386+'DCA-Anexo I-AB'!B387+'DCA-Anexo I-AB'!B388+'DCA-Anexo I-AB'!B389</f>
        <v>0</v>
      </c>
    </row>
    <row r="385" spans="1:2" ht="26.4" customHeight="1">
      <c r="A385" s="3" t="s">
        <v>382</v>
      </c>
      <c r="B385" s="11"/>
    </row>
    <row r="386" spans="1:2" ht="26.4" customHeight="1">
      <c r="A386" s="4" t="s">
        <v>383</v>
      </c>
      <c r="B386" s="12"/>
    </row>
    <row r="387" spans="1:2" ht="26.4" customHeight="1">
      <c r="A387" s="3" t="s">
        <v>384</v>
      </c>
      <c r="B387" s="11"/>
    </row>
    <row r="388" spans="1:2" ht="26.4" customHeight="1">
      <c r="A388" s="4" t="s">
        <v>385</v>
      </c>
      <c r="B388" s="12"/>
    </row>
    <row r="389" spans="1:2" ht="26.4" customHeight="1">
      <c r="A389" s="3" t="s">
        <v>386</v>
      </c>
      <c r="B389" s="11"/>
    </row>
    <row r="390" spans="1:2" ht="26.4" customHeight="1">
      <c r="A390" s="4" t="s">
        <v>387</v>
      </c>
      <c r="B390" s="12">
        <f>+'DCA-Anexo I-AB'!B391+'DCA-Anexo I-AB'!B392</f>
        <v>0</v>
      </c>
    </row>
    <row r="391" spans="1:2" ht="26.4" customHeight="1">
      <c r="A391" s="3" t="s">
        <v>388</v>
      </c>
      <c r="B391" s="11"/>
    </row>
    <row r="392" spans="1:2" ht="26.4" customHeight="1">
      <c r="A392" s="4" t="s">
        <v>389</v>
      </c>
      <c r="B392" s="12"/>
    </row>
    <row r="393" spans="1:2" ht="26.4" customHeight="1">
      <c r="A393" s="3" t="s">
        <v>390</v>
      </c>
      <c r="B393" s="11">
        <f>+'DCA-Anexo I-AB'!B394+'DCA-Anexo I-AB'!B395</f>
        <v>0</v>
      </c>
    </row>
    <row r="394" spans="1:2" ht="26.4" customHeight="1">
      <c r="A394" s="4" t="s">
        <v>391</v>
      </c>
      <c r="B394" s="12"/>
    </row>
    <row r="395" spans="1:2" ht="26.4" customHeight="1">
      <c r="A395" s="3" t="s">
        <v>392</v>
      </c>
      <c r="B395" s="11"/>
    </row>
    <row r="396" spans="1:2" ht="26.4" customHeight="1">
      <c r="A396" s="4" t="s">
        <v>393</v>
      </c>
      <c r="B396" s="12">
        <f>+'DCA-Anexo I-AB'!B397+'DCA-Anexo I-AB'!B398</f>
        <v>0</v>
      </c>
    </row>
    <row r="397" spans="1:2" ht="26.4" customHeight="1">
      <c r="A397" s="3" t="s">
        <v>394</v>
      </c>
      <c r="B397" s="11"/>
    </row>
    <row r="398" spans="1:2" ht="26.4" customHeight="1">
      <c r="A398" s="4" t="s">
        <v>395</v>
      </c>
      <c r="B398" s="12"/>
    </row>
    <row r="399" spans="1:2" ht="26.4" customHeight="1">
      <c r="A399" s="3" t="s">
        <v>396</v>
      </c>
      <c r="B399" s="11">
        <f>+'DCA-Anexo I-AB'!B400+'DCA-Anexo I-AB'!B401</f>
        <v>0</v>
      </c>
    </row>
    <row r="400" spans="1:2" ht="26.4" customHeight="1">
      <c r="A400" s="4" t="s">
        <v>397</v>
      </c>
      <c r="B400" s="12"/>
    </row>
    <row r="401" spans="1:2" ht="26.4" customHeight="1">
      <c r="A401" s="3" t="s">
        <v>398</v>
      </c>
      <c r="B401" s="11"/>
    </row>
    <row r="402" spans="1:2" ht="13.2" customHeight="1">
      <c r="A402" s="4" t="s">
        <v>399</v>
      </c>
      <c r="B402" s="12">
        <f>+'DCA-Anexo I-AB'!B403+'DCA-Anexo I-AB'!B405-'DCA-Anexo I-AB'!B413-'DCA-Anexo I-AB'!B427-'DCA-Anexo I-AB'!B407</f>
        <v>36943152.710000001</v>
      </c>
    </row>
    <row r="403" spans="1:2" ht="13.2" customHeight="1">
      <c r="A403" s="3" t="s">
        <v>400</v>
      </c>
      <c r="B403" s="11">
        <f>+'DCA-Anexo I-AB'!B404</f>
        <v>17402353.489999998</v>
      </c>
    </row>
    <row r="404" spans="1:2" ht="13.2" customHeight="1">
      <c r="A404" s="4" t="s">
        <v>401</v>
      </c>
      <c r="B404" s="12">
        <v>17402353.489999998</v>
      </c>
    </row>
    <row r="405" spans="1:2" ht="13.2" customHeight="1">
      <c r="A405" s="3" t="s">
        <v>402</v>
      </c>
      <c r="B405" s="11">
        <f>+'DCA-Anexo I-AB'!B406</f>
        <v>27084763.43</v>
      </c>
    </row>
    <row r="406" spans="1:2" ht="13.2" customHeight="1">
      <c r="A406" s="4" t="s">
        <v>403</v>
      </c>
      <c r="B406" s="12">
        <v>27084763.43</v>
      </c>
    </row>
    <row r="407" spans="1:2" ht="13.2" customHeight="1">
      <c r="A407" s="3" t="s">
        <v>404</v>
      </c>
      <c r="B407" s="11">
        <f>+'DCA-Anexo I-AB'!B408+'DCA-Anexo I-AB'!B409+'DCA-Anexo I-AB'!B410+'DCA-Anexo I-AB'!B411+'DCA-Anexo I-AB'!B412</f>
        <v>0</v>
      </c>
    </row>
    <row r="408" spans="1:2" ht="26.4" customHeight="1">
      <c r="A408" s="4" t="s">
        <v>405</v>
      </c>
      <c r="B408" s="12">
        <v>0</v>
      </c>
    </row>
    <row r="409" spans="1:2" ht="26.4" customHeight="1">
      <c r="A409" s="3" t="s">
        <v>406</v>
      </c>
      <c r="B409" s="11"/>
    </row>
    <row r="410" spans="1:2" ht="26.4" customHeight="1">
      <c r="A410" s="4" t="s">
        <v>407</v>
      </c>
      <c r="B410" s="12"/>
    </row>
    <row r="411" spans="1:2" ht="26.4" customHeight="1">
      <c r="A411" s="3" t="s">
        <v>408</v>
      </c>
      <c r="B411" s="11"/>
    </row>
    <row r="412" spans="1:2" ht="26.4" customHeight="1">
      <c r="A412" s="4" t="s">
        <v>409</v>
      </c>
      <c r="B412" s="12"/>
    </row>
    <row r="413" spans="1:2" ht="13.2" customHeight="1">
      <c r="A413" s="3" t="s">
        <v>410</v>
      </c>
      <c r="B413" s="11">
        <f>+'DCA-Anexo I-AB'!B414</f>
        <v>7543964.209999999</v>
      </c>
    </row>
    <row r="414" spans="1:2" ht="26.4" customHeight="1">
      <c r="A414" s="4" t="s">
        <v>411</v>
      </c>
      <c r="B414" s="12">
        <f>+'DCA-Anexo I-AB'!B415+'DCA-Anexo I-AB'!B416+'DCA-Anexo I-AB'!B417+'DCA-Anexo I-AB'!B418+'DCA-Anexo I-AB'!B419+'DCA-Anexo I-AB'!B420+'DCA-Anexo I-AB'!B421+'DCA-Anexo I-AB'!B422+'DCA-Anexo I-AB'!B423+'DCA-Anexo I-AB'!B424+'DCA-Anexo I-AB'!B425+'DCA-Anexo I-AB'!B426</f>
        <v>7543964.209999999</v>
      </c>
    </row>
    <row r="415" spans="1:2" ht="13.2" customHeight="1">
      <c r="A415" s="3" t="s">
        <v>412</v>
      </c>
      <c r="B415" s="11">
        <v>5479218.0199999996</v>
      </c>
    </row>
    <row r="416" spans="1:2" ht="13.2" customHeight="1">
      <c r="A416" s="4" t="s">
        <v>413</v>
      </c>
      <c r="B416" s="12">
        <v>2064746.19</v>
      </c>
    </row>
    <row r="417" spans="1:2" ht="13.2" customHeight="1">
      <c r="A417" s="3" t="s">
        <v>414</v>
      </c>
      <c r="B417" s="11">
        <v>0</v>
      </c>
    </row>
    <row r="418" spans="1:2" ht="13.2" customHeight="1">
      <c r="A418" s="4" t="s">
        <v>415</v>
      </c>
      <c r="B418" s="12">
        <v>0</v>
      </c>
    </row>
    <row r="419" spans="1:2" ht="13.2" customHeight="1">
      <c r="A419" s="3" t="s">
        <v>416</v>
      </c>
      <c r="B419" s="11">
        <v>0</v>
      </c>
    </row>
    <row r="420" spans="1:2" ht="13.2" customHeight="1">
      <c r="A420" s="4" t="s">
        <v>417</v>
      </c>
      <c r="B420" s="12">
        <v>0</v>
      </c>
    </row>
    <row r="421" spans="1:2" ht="26.4" customHeight="1">
      <c r="A421" s="3" t="s">
        <v>418</v>
      </c>
      <c r="B421" s="11">
        <v>0</v>
      </c>
    </row>
    <row r="422" spans="1:2" ht="26.4" customHeight="1">
      <c r="A422" s="4" t="s">
        <v>419</v>
      </c>
      <c r="B422" s="12">
        <v>0</v>
      </c>
    </row>
    <row r="423" spans="1:2" ht="26.4" customHeight="1">
      <c r="A423" s="3" t="s">
        <v>420</v>
      </c>
      <c r="B423" s="11">
        <v>0</v>
      </c>
    </row>
    <row r="424" spans="1:2" ht="26.4" customHeight="1">
      <c r="A424" s="4" t="s">
        <v>421</v>
      </c>
      <c r="B424" s="12">
        <v>0</v>
      </c>
    </row>
    <row r="425" spans="1:2" ht="26.4" customHeight="1">
      <c r="A425" s="3" t="s">
        <v>422</v>
      </c>
      <c r="B425" s="11">
        <v>0</v>
      </c>
    </row>
    <row r="426" spans="1:2" ht="26.4" customHeight="1">
      <c r="A426" s="4" t="s">
        <v>423</v>
      </c>
      <c r="B426" s="12">
        <v>0</v>
      </c>
    </row>
    <row r="427" spans="1:2" ht="13.2" customHeight="1">
      <c r="A427" s="3" t="s">
        <v>424</v>
      </c>
      <c r="B427" s="11">
        <f>+'DCA-Anexo I-AB'!B428</f>
        <v>0</v>
      </c>
    </row>
    <row r="428" spans="1:2" ht="26.4" customHeight="1">
      <c r="A428" s="4" t="s">
        <v>425</v>
      </c>
      <c r="B428" s="12">
        <f>+'DCA-Anexo I-AB'!B429+'DCA-Anexo I-AB'!B430+'DCA-Anexo I-AB'!B431+'DCA-Anexo I-AB'!B432</f>
        <v>0</v>
      </c>
    </row>
    <row r="429" spans="1:2" ht="26.4" customHeight="1">
      <c r="A429" s="3" t="s">
        <v>426</v>
      </c>
      <c r="B429" s="11">
        <v>0</v>
      </c>
    </row>
    <row r="430" spans="1:2" ht="26.4" customHeight="1">
      <c r="A430" s="4" t="s">
        <v>427</v>
      </c>
      <c r="B430" s="12">
        <v>0</v>
      </c>
    </row>
    <row r="431" spans="1:2" ht="26.4" customHeight="1">
      <c r="A431" s="3" t="s">
        <v>428</v>
      </c>
      <c r="B431" s="11">
        <v>0</v>
      </c>
    </row>
    <row r="432" spans="1:2" ht="26.4" customHeight="1">
      <c r="A432" s="4" t="s">
        <v>429</v>
      </c>
      <c r="B432" s="12">
        <v>0</v>
      </c>
    </row>
    <row r="433" spans="1:2" ht="13.2" customHeight="1">
      <c r="A433" s="3" t="s">
        <v>430</v>
      </c>
      <c r="B433" s="11">
        <f>+'DCA-Anexo I-AB'!B434+'DCA-Anexo I-AB'!B436+'DCA-Anexo I-AB'!B438-'DCA-Anexo I-AB'!B442-'DCA-Anexo I-AB'!B449+'DCA-Anexo I-AB'!B440</f>
        <v>0</v>
      </c>
    </row>
    <row r="434" spans="1:2" ht="13.2" customHeight="1">
      <c r="A434" s="4" t="s">
        <v>431</v>
      </c>
      <c r="B434" s="12">
        <f>+'DCA-Anexo I-AB'!B435</f>
        <v>0</v>
      </c>
    </row>
    <row r="435" spans="1:2" ht="13.2" customHeight="1">
      <c r="A435" s="3" t="s">
        <v>432</v>
      </c>
      <c r="B435" s="11">
        <v>0</v>
      </c>
    </row>
    <row r="436" spans="1:2" ht="13.2" customHeight="1">
      <c r="A436" s="4" t="s">
        <v>433</v>
      </c>
      <c r="B436" s="12">
        <f>+'DCA-Anexo I-AB'!B437</f>
        <v>0</v>
      </c>
    </row>
    <row r="437" spans="1:2" ht="26.4" customHeight="1">
      <c r="A437" s="3" t="s">
        <v>434</v>
      </c>
      <c r="B437" s="11">
        <v>0</v>
      </c>
    </row>
    <row r="438" spans="1:2" ht="13.2" customHeight="1">
      <c r="A438" s="4" t="s">
        <v>435</v>
      </c>
      <c r="B438" s="12">
        <f>+'DCA-Anexo I-AB'!B439</f>
        <v>0</v>
      </c>
    </row>
    <row r="439" spans="1:2" ht="13.2" customHeight="1">
      <c r="A439" s="3" t="s">
        <v>436</v>
      </c>
      <c r="B439" s="11">
        <v>0</v>
      </c>
    </row>
    <row r="440" spans="1:2" ht="13.2" customHeight="1">
      <c r="A440" s="4" t="s">
        <v>437</v>
      </c>
      <c r="B440" s="12">
        <f>+'DCA-Anexo I-AB'!B441</f>
        <v>0</v>
      </c>
    </row>
    <row r="441" spans="1:2" ht="13.2" customHeight="1">
      <c r="A441" s="3" t="s">
        <v>438</v>
      </c>
      <c r="B441" s="11">
        <v>0</v>
      </c>
    </row>
    <row r="442" spans="1:2" ht="13.2" customHeight="1">
      <c r="A442" s="4" t="s">
        <v>439</v>
      </c>
      <c r="B442" s="12">
        <f>+'DCA-Anexo I-AB'!B443</f>
        <v>0</v>
      </c>
    </row>
    <row r="443" spans="1:2" ht="13.2" customHeight="1">
      <c r="A443" s="3" t="s">
        <v>440</v>
      </c>
      <c r="B443" s="11">
        <f>+'DCA-Anexo I-AB'!B444+'DCA-Anexo I-AB'!B445+'DCA-Anexo I-AB'!B446+'DCA-Anexo I-AB'!B448+'DCA-Anexo I-AB'!B447</f>
        <v>0</v>
      </c>
    </row>
    <row r="444" spans="1:2" ht="13.2" customHeight="1">
      <c r="A444" s="4" t="s">
        <v>441</v>
      </c>
      <c r="B444" s="12">
        <v>0</v>
      </c>
    </row>
    <row r="445" spans="1:2" ht="26.4" customHeight="1">
      <c r="A445" s="3" t="s">
        <v>442</v>
      </c>
      <c r="B445" s="20">
        <v>0</v>
      </c>
    </row>
    <row r="446" spans="1:2" ht="26.4" customHeight="1">
      <c r="A446" s="4" t="s">
        <v>443</v>
      </c>
      <c r="B446" s="12">
        <v>0</v>
      </c>
    </row>
    <row r="447" spans="1:2" ht="26.4" customHeight="1">
      <c r="A447" s="3" t="s">
        <v>444</v>
      </c>
      <c r="B447" s="20">
        <v>0</v>
      </c>
    </row>
    <row r="448" spans="1:2" ht="13.2" customHeight="1">
      <c r="A448" s="4" t="s">
        <v>445</v>
      </c>
      <c r="B448" s="12">
        <v>0</v>
      </c>
    </row>
    <row r="449" spans="1:2" ht="13.2" customHeight="1">
      <c r="A449" s="3" t="s">
        <v>446</v>
      </c>
      <c r="B449" s="11">
        <f>+'DCA-Anexo I-AB'!B450</f>
        <v>0</v>
      </c>
    </row>
    <row r="450" spans="1:2" ht="26.4" customHeight="1">
      <c r="A450" s="4" t="s">
        <v>447</v>
      </c>
      <c r="B450" s="12">
        <f>+'DCA-Anexo I-AB'!B451+'DCA-Anexo I-AB'!B452+'DCA-Anexo I-AB'!B453+'DCA-Anexo I-AB'!B455+'DCA-Anexo I-AB'!B454</f>
        <v>0</v>
      </c>
    </row>
    <row r="451" spans="1:2" ht="26.4" customHeight="1">
      <c r="A451" s="3" t="s">
        <v>448</v>
      </c>
      <c r="B451" s="11">
        <v>0</v>
      </c>
    </row>
    <row r="452" spans="1:2" ht="26.4" customHeight="1">
      <c r="A452" s="4" t="s">
        <v>449</v>
      </c>
      <c r="B452" s="12">
        <v>0</v>
      </c>
    </row>
    <row r="453" spans="1:2" ht="26.4" customHeight="1">
      <c r="A453" s="3" t="s">
        <v>450</v>
      </c>
      <c r="B453" s="20">
        <v>0</v>
      </c>
    </row>
    <row r="454" spans="1:2" ht="26.4" customHeight="1">
      <c r="A454" s="4" t="s">
        <v>451</v>
      </c>
      <c r="B454" s="12">
        <v>0</v>
      </c>
    </row>
    <row r="455" spans="1:2" ht="26.4" customHeight="1">
      <c r="A455" s="3" t="s">
        <v>452</v>
      </c>
      <c r="B455" s="20">
        <v>0</v>
      </c>
    </row>
    <row r="456" spans="1:2" ht="13.2" customHeight="1">
      <c r="A456" s="4" t="s">
        <v>453</v>
      </c>
      <c r="B456" s="12">
        <f>+'DCA-Anexo I-AB'!B459+'DCA-Anexo I-AB'!B457-'DCA-Anexo I-AB'!B461</f>
        <v>0</v>
      </c>
    </row>
    <row r="457" spans="1:2" ht="13.2" customHeight="1">
      <c r="A457" s="3" t="s">
        <v>454</v>
      </c>
      <c r="B457" s="11">
        <f>+'DCA-Anexo I-AB'!B458</f>
        <v>0</v>
      </c>
    </row>
    <row r="458" spans="1:2" ht="26.4" customHeight="1">
      <c r="A458" s="4" t="s">
        <v>455</v>
      </c>
      <c r="B458" s="12">
        <v>0</v>
      </c>
    </row>
    <row r="459" spans="1:2" ht="13.2" customHeight="1">
      <c r="A459" s="3" t="s">
        <v>456</v>
      </c>
      <c r="B459" s="11">
        <f>+'DCA-Anexo I-AB'!B460</f>
        <v>0</v>
      </c>
    </row>
    <row r="460" spans="1:2" ht="13.2" customHeight="1">
      <c r="A460" s="4" t="s">
        <v>457</v>
      </c>
      <c r="B460" s="12"/>
    </row>
    <row r="461" spans="1:2" ht="13.2" customHeight="1">
      <c r="A461" s="3" t="s">
        <v>458</v>
      </c>
      <c r="B461" s="11">
        <f>+'DCA-Anexo I-AB'!B462</f>
        <v>0</v>
      </c>
    </row>
    <row r="462" spans="1:2" ht="13.2" customHeight="1">
      <c r="A462" s="4" t="s">
        <v>459</v>
      </c>
      <c r="B462" s="12">
        <f>+'DCA-Anexo I-AB'!B463+'DCA-Anexo I-AB'!B464</f>
        <v>0</v>
      </c>
    </row>
    <row r="463" spans="1:2" ht="26.4" customHeight="1">
      <c r="A463" s="3" t="s">
        <v>460</v>
      </c>
      <c r="B463" s="11">
        <v>0</v>
      </c>
    </row>
    <row r="464" spans="1:2" ht="13.2" customHeight="1">
      <c r="A464" s="4" t="s">
        <v>461</v>
      </c>
      <c r="B464" s="12">
        <v>0</v>
      </c>
    </row>
    <row r="465" spans="1:2" ht="13.2" customHeight="1">
      <c r="A465" s="3" t="s">
        <v>462</v>
      </c>
      <c r="B465" s="5"/>
    </row>
    <row r="466" spans="1:2" ht="13.2" customHeight="1">
      <c r="A466" s="4" t="s">
        <v>463</v>
      </c>
      <c r="B466" s="6"/>
    </row>
    <row r="467" spans="1:2" ht="13.2" customHeight="1">
      <c r="A467" s="3" t="s">
        <v>464</v>
      </c>
      <c r="B467" s="11">
        <f>+'DCA-Anexo I-AB'!B468+'DCA-Anexo I-AB'!B650+'DCA-Anexo I-AB'!B846</f>
        <v>54031265.480000004</v>
      </c>
    </row>
    <row r="468" spans="1:2" ht="13.2" customHeight="1">
      <c r="A468" s="4" t="s">
        <v>465</v>
      </c>
      <c r="B468" s="12">
        <f>+'DCA-Anexo I-AB'!B469+'DCA-Anexo I-AB'!B489+'DCA-Anexo I-AB'!B522+'DCA-Anexo I-AB'!B531+'DCA-Anexo I-AB'!B544+'DCA-Anexo I-AB'!B566+'DCA-Anexo I-AB'!B603</f>
        <v>14890409.9</v>
      </c>
    </row>
    <row r="469" spans="1:2" ht="26.4" customHeight="1">
      <c r="A469" s="3" t="s">
        <v>466</v>
      </c>
      <c r="B469" s="11">
        <f>+'DCA-Anexo I-AB'!B470+'DCA-Anexo I-AB'!B472+'DCA-Anexo I-AB'!B478+'DCA-Anexo I-AB'!B480+'DCA-Anexo I-AB'!B486</f>
        <v>1890718.57</v>
      </c>
    </row>
    <row r="470" spans="1:2" ht="13.2" customHeight="1">
      <c r="A470" s="4" t="s">
        <v>467</v>
      </c>
      <c r="B470" s="12">
        <f>+'DCA-Anexo I-AB'!B471</f>
        <v>62786.62</v>
      </c>
    </row>
    <row r="471" spans="1:2" ht="13.2" customHeight="1">
      <c r="A471" s="3" t="s">
        <v>468</v>
      </c>
      <c r="B471" s="11">
        <v>62786.62</v>
      </c>
    </row>
    <row r="472" spans="1:2" ht="13.2" customHeight="1">
      <c r="A472" s="4" t="s">
        <v>469</v>
      </c>
      <c r="B472" s="12">
        <f>+'DCA-Anexo I-AB'!B473+'DCA-Anexo I-AB'!B474+'DCA-Anexo I-AB'!B475+'DCA-Anexo I-AB'!B476+'DCA-Anexo I-AB'!B477</f>
        <v>0</v>
      </c>
    </row>
    <row r="473" spans="1:2" ht="13.2" customHeight="1">
      <c r="A473" s="3" t="s">
        <v>470</v>
      </c>
      <c r="B473" s="11">
        <v>0</v>
      </c>
    </row>
    <row r="474" spans="1:2" ht="13.2" customHeight="1">
      <c r="A474" s="4" t="s">
        <v>471</v>
      </c>
      <c r="B474" s="12"/>
    </row>
    <row r="475" spans="1:2" ht="26.4" customHeight="1">
      <c r="A475" s="3" t="s">
        <v>472</v>
      </c>
      <c r="B475" s="11"/>
    </row>
    <row r="476" spans="1:2" ht="26.4" customHeight="1">
      <c r="A476" s="4" t="s">
        <v>473</v>
      </c>
      <c r="B476" s="12"/>
    </row>
    <row r="477" spans="1:2" ht="26.4" customHeight="1">
      <c r="A477" s="3" t="s">
        <v>474</v>
      </c>
      <c r="B477" s="11"/>
    </row>
    <row r="478" spans="1:2" ht="13.2" customHeight="1">
      <c r="A478" s="4" t="s">
        <v>475</v>
      </c>
      <c r="B478" s="12">
        <f>+'DCA-Anexo I-AB'!B479</f>
        <v>0</v>
      </c>
    </row>
    <row r="479" spans="1:2" ht="13.2" customHeight="1">
      <c r="A479" s="3" t="s">
        <v>476</v>
      </c>
      <c r="B479" s="11">
        <v>0</v>
      </c>
    </row>
    <row r="480" spans="1:2" ht="13.2" customHeight="1">
      <c r="A480" s="4" t="s">
        <v>477</v>
      </c>
      <c r="B480" s="12">
        <f>+'DCA-Anexo I-AB'!B481+'DCA-Anexo I-AB'!B482+'DCA-Anexo I-AB'!B483+'DCA-Anexo I-AB'!B484+'DCA-Anexo I-AB'!B485</f>
        <v>1827931.95</v>
      </c>
    </row>
    <row r="481" spans="1:2" ht="13.2" customHeight="1">
      <c r="A481" s="3" t="s">
        <v>478</v>
      </c>
      <c r="B481" s="11">
        <v>1827931.95</v>
      </c>
    </row>
    <row r="482" spans="1:2" ht="13.2" customHeight="1">
      <c r="A482" s="4" t="s">
        <v>479</v>
      </c>
      <c r="B482" s="12"/>
    </row>
    <row r="483" spans="1:2" ht="13.2" customHeight="1">
      <c r="A483" s="3" t="s">
        <v>480</v>
      </c>
      <c r="B483" s="11"/>
    </row>
    <row r="484" spans="1:2" ht="13.2" customHeight="1">
      <c r="A484" s="4" t="s">
        <v>481</v>
      </c>
      <c r="B484" s="12"/>
    </row>
    <row r="485" spans="1:2" ht="13.2" customHeight="1">
      <c r="A485" s="3" t="s">
        <v>482</v>
      </c>
      <c r="B485" s="11"/>
    </row>
    <row r="486" spans="1:2" ht="26.4" customHeight="1">
      <c r="A486" s="4" t="s">
        <v>483</v>
      </c>
      <c r="B486" s="12">
        <f>+'DCA-Anexo I-AB'!B487+'DCA-Anexo I-AB'!B488</f>
        <v>0</v>
      </c>
    </row>
    <row r="487" spans="1:2" ht="26.4" customHeight="1">
      <c r="A487" s="3" t="s">
        <v>484</v>
      </c>
      <c r="B487" s="11">
        <v>0</v>
      </c>
    </row>
    <row r="488" spans="1:2" ht="26.4" customHeight="1">
      <c r="A488" s="4" t="s">
        <v>485</v>
      </c>
      <c r="B488" s="12">
        <v>0</v>
      </c>
    </row>
    <row r="489" spans="1:2" ht="13.2" customHeight="1">
      <c r="A489" s="3" t="s">
        <v>486</v>
      </c>
      <c r="B489" s="11">
        <f>+'DCA-Anexo I-AB'!B490+'DCA-Anexo I-AB'!B496+'DCA-Anexo I-AB'!B498+'DCA-Anexo I-AB'!B504+'DCA-Anexo I-AB'!B506+'DCA-Anexo I-AB'!B512-'DCA-Anexo I-AB'!B514-'DCA-Anexo I-AB'!B520</f>
        <v>957174.02</v>
      </c>
    </row>
    <row r="490" spans="1:2" ht="13.2" customHeight="1">
      <c r="A490" s="4" t="s">
        <v>487</v>
      </c>
      <c r="B490" s="12">
        <f>+'DCA-Anexo I-AB'!B491+'DCA-Anexo I-AB'!B493+'DCA-Anexo I-AB'!B494+'DCA-Anexo I-AB'!B495+'DCA-Anexo I-AB'!B492</f>
        <v>0</v>
      </c>
    </row>
    <row r="491" spans="1:2" ht="13.2" customHeight="1">
      <c r="A491" s="3" t="s">
        <v>488</v>
      </c>
      <c r="B491" s="11">
        <v>0</v>
      </c>
    </row>
    <row r="492" spans="1:2" ht="13.2" customHeight="1">
      <c r="A492" s="4" t="s">
        <v>489</v>
      </c>
      <c r="B492" s="12"/>
    </row>
    <row r="493" spans="1:2" ht="26.4" customHeight="1">
      <c r="A493" s="3" t="s">
        <v>490</v>
      </c>
      <c r="B493" s="11"/>
    </row>
    <row r="494" spans="1:2" ht="26.4" customHeight="1">
      <c r="A494" s="4" t="s">
        <v>491</v>
      </c>
      <c r="B494" s="12"/>
    </row>
    <row r="495" spans="1:2" ht="26.4" customHeight="1">
      <c r="A495" s="3" t="s">
        <v>492</v>
      </c>
      <c r="B495" s="11"/>
    </row>
    <row r="496" spans="1:2" ht="13.2" customHeight="1">
      <c r="A496" s="4" t="s">
        <v>493</v>
      </c>
      <c r="B496" s="12">
        <f>+'DCA-Anexo I-AB'!B497</f>
        <v>0</v>
      </c>
    </row>
    <row r="497" spans="1:2" ht="13.2" customHeight="1">
      <c r="A497" s="3" t="s">
        <v>494</v>
      </c>
      <c r="B497" s="11">
        <v>0</v>
      </c>
    </row>
    <row r="498" spans="1:2" ht="13.2" customHeight="1">
      <c r="A498" s="4" t="s">
        <v>495</v>
      </c>
      <c r="B498" s="12">
        <f>+'DCA-Anexo I-AB'!B499+'DCA-Anexo I-AB'!B500+'DCA-Anexo I-AB'!B501+'DCA-Anexo I-AB'!B502+'DCA-Anexo I-AB'!B503</f>
        <v>957174.02</v>
      </c>
    </row>
    <row r="499" spans="1:2" ht="13.2" customHeight="1">
      <c r="A499" s="3" t="s">
        <v>496</v>
      </c>
      <c r="B499" s="11">
        <v>957174.02</v>
      </c>
    </row>
    <row r="500" spans="1:2" ht="13.2" customHeight="1">
      <c r="A500" s="4" t="s">
        <v>497</v>
      </c>
      <c r="B500" s="12"/>
    </row>
    <row r="501" spans="1:2" ht="26.4" customHeight="1">
      <c r="A501" s="3" t="s">
        <v>498</v>
      </c>
      <c r="B501" s="11"/>
    </row>
    <row r="502" spans="1:2" ht="26.4" customHeight="1">
      <c r="A502" s="4" t="s">
        <v>499</v>
      </c>
      <c r="B502" s="12"/>
    </row>
    <row r="503" spans="1:2" ht="26.4" customHeight="1">
      <c r="A503" s="3" t="s">
        <v>500</v>
      </c>
      <c r="B503" s="11"/>
    </row>
    <row r="504" spans="1:2" ht="13.2" customHeight="1">
      <c r="A504" s="4" t="s">
        <v>501</v>
      </c>
      <c r="B504" s="12">
        <f>+'DCA-Anexo I-AB'!B505</f>
        <v>0</v>
      </c>
    </row>
    <row r="505" spans="1:2" ht="13.2" customHeight="1">
      <c r="A505" s="3" t="s">
        <v>502</v>
      </c>
      <c r="B505" s="11">
        <v>0</v>
      </c>
    </row>
    <row r="506" spans="1:2" ht="26.4" customHeight="1">
      <c r="A506" s="4" t="s">
        <v>503</v>
      </c>
      <c r="B506" s="12">
        <f>+'DCA-Anexo I-AB'!B507+'DCA-Anexo I-AB'!B509+'DCA-Anexo I-AB'!B510+'DCA-Anexo I-AB'!B511+'DCA-Anexo I-AB'!B508</f>
        <v>0</v>
      </c>
    </row>
    <row r="507" spans="1:2" ht="26.4" customHeight="1">
      <c r="A507" s="3" t="s">
        <v>504</v>
      </c>
      <c r="B507" s="11"/>
    </row>
    <row r="508" spans="1:2" ht="26.4" customHeight="1">
      <c r="A508" s="4" t="s">
        <v>505</v>
      </c>
      <c r="B508" s="12"/>
    </row>
    <row r="509" spans="1:2" ht="26.4" customHeight="1">
      <c r="A509" s="3" t="s">
        <v>506</v>
      </c>
      <c r="B509" s="11"/>
    </row>
    <row r="510" spans="1:2" ht="26.4" customHeight="1">
      <c r="A510" s="4" t="s">
        <v>507</v>
      </c>
      <c r="B510" s="12"/>
    </row>
    <row r="511" spans="1:2" ht="26.4" customHeight="1">
      <c r="A511" s="3" t="s">
        <v>508</v>
      </c>
      <c r="B511" s="11"/>
    </row>
    <row r="512" spans="1:2" ht="26.4" customHeight="1">
      <c r="A512" s="4" t="s">
        <v>509</v>
      </c>
      <c r="B512" s="12">
        <f>+'DCA-Anexo I-AB'!B513</f>
        <v>0</v>
      </c>
    </row>
    <row r="513" spans="1:2" ht="26.4" customHeight="1">
      <c r="A513" s="3" t="s">
        <v>510</v>
      </c>
      <c r="B513" s="11"/>
    </row>
    <row r="514" spans="1:2" ht="13.2" customHeight="1">
      <c r="A514" s="4" t="s">
        <v>511</v>
      </c>
      <c r="B514" s="12">
        <f>+'DCA-Anexo I-AB'!B515+'DCA-Anexo I-AB'!B517+'DCA-Anexo I-AB'!B518+'DCA-Anexo I-AB'!B519+'DCA-Anexo I-AB'!B516</f>
        <v>0</v>
      </c>
    </row>
    <row r="515" spans="1:2" ht="26.4" customHeight="1">
      <c r="A515" s="3" t="s">
        <v>512</v>
      </c>
      <c r="B515" s="11">
        <v>0</v>
      </c>
    </row>
    <row r="516" spans="1:2" ht="26.4" customHeight="1">
      <c r="A516" s="4" t="s">
        <v>513</v>
      </c>
      <c r="B516" s="12"/>
    </row>
    <row r="517" spans="1:2" ht="26.4" customHeight="1">
      <c r="A517" s="3" t="s">
        <v>514</v>
      </c>
      <c r="B517" s="11"/>
    </row>
    <row r="518" spans="1:2" ht="26.4" customHeight="1">
      <c r="A518" s="4" t="s">
        <v>515</v>
      </c>
      <c r="B518" s="12"/>
    </row>
    <row r="519" spans="1:2" ht="26.4" customHeight="1">
      <c r="A519" s="3" t="s">
        <v>516</v>
      </c>
      <c r="B519" s="11"/>
    </row>
    <row r="520" spans="1:2" ht="13.2" customHeight="1">
      <c r="A520" s="4" t="s">
        <v>517</v>
      </c>
      <c r="B520" s="12">
        <f>+'DCA-Anexo I-AB'!B521</f>
        <v>0</v>
      </c>
    </row>
    <row r="521" spans="1:2" ht="13.2" customHeight="1">
      <c r="A521" s="3" t="s">
        <v>518</v>
      </c>
      <c r="B521" s="11">
        <v>0</v>
      </c>
    </row>
    <row r="522" spans="1:2" ht="13.2" customHeight="1">
      <c r="A522" s="4" t="s">
        <v>519</v>
      </c>
      <c r="B522" s="12">
        <f>+'DCA-Anexo I-AB'!B523+'DCA-Anexo I-AB'!B529</f>
        <v>8742780.4900000002</v>
      </c>
    </row>
    <row r="523" spans="1:2" ht="13.2" customHeight="1">
      <c r="A523" s="3" t="s">
        <v>520</v>
      </c>
      <c r="B523" s="11">
        <f>+'DCA-Anexo I-AB'!B524+'DCA-Anexo I-AB'!B525+'DCA-Anexo I-AB'!B526+'DCA-Anexo I-AB'!B527+'DCA-Anexo I-AB'!B528</f>
        <v>8742780.4900000002</v>
      </c>
    </row>
    <row r="524" spans="1:2" ht="26.4" customHeight="1">
      <c r="A524" s="4" t="s">
        <v>521</v>
      </c>
      <c r="B524" s="12">
        <v>8742780.4900000002</v>
      </c>
    </row>
    <row r="525" spans="1:2" ht="26.4" customHeight="1">
      <c r="A525" s="3" t="s">
        <v>522</v>
      </c>
      <c r="B525" s="11"/>
    </row>
    <row r="526" spans="1:2" ht="26.4" customHeight="1">
      <c r="A526" s="4" t="s">
        <v>523</v>
      </c>
      <c r="B526" s="12"/>
    </row>
    <row r="527" spans="1:2" ht="26.4" customHeight="1">
      <c r="A527" s="3" t="s">
        <v>524</v>
      </c>
      <c r="B527" s="11"/>
    </row>
    <row r="528" spans="1:2" ht="26.4" customHeight="1">
      <c r="A528" s="4" t="s">
        <v>525</v>
      </c>
      <c r="B528" s="12"/>
    </row>
    <row r="529" spans="1:2" ht="26.4" customHeight="1">
      <c r="A529" s="3" t="s">
        <v>526</v>
      </c>
      <c r="B529" s="11">
        <f>+'DCA-Anexo I-AB'!B530</f>
        <v>0</v>
      </c>
    </row>
    <row r="530" spans="1:2" ht="26.4" customHeight="1">
      <c r="A530" s="4" t="s">
        <v>527</v>
      </c>
      <c r="B530" s="12">
        <v>0</v>
      </c>
    </row>
    <row r="531" spans="1:2" ht="13.2" customHeight="1">
      <c r="A531" s="3" t="s">
        <v>528</v>
      </c>
      <c r="B531" s="11">
        <f>+'DCA-Anexo I-AB'!B532+'DCA-Anexo I-AB'!B536+'DCA-Anexo I-AB'!B540</f>
        <v>121619.84</v>
      </c>
    </row>
    <row r="532" spans="1:2" ht="13.2" customHeight="1">
      <c r="A532" s="4" t="s">
        <v>529</v>
      </c>
      <c r="B532" s="12">
        <f>+'DCA-Anexo I-AB'!B533+'DCA-Anexo I-AB'!B534+'DCA-Anexo I-AB'!B535</f>
        <v>121619.84</v>
      </c>
    </row>
    <row r="533" spans="1:2" ht="26.4" customHeight="1">
      <c r="A533" s="3" t="s">
        <v>530</v>
      </c>
      <c r="B533" s="11">
        <v>0</v>
      </c>
    </row>
    <row r="534" spans="1:2" ht="26.4" customHeight="1">
      <c r="A534" s="4" t="s">
        <v>531</v>
      </c>
      <c r="B534" s="12">
        <v>0</v>
      </c>
    </row>
    <row r="535" spans="1:2" ht="26.4" customHeight="1">
      <c r="A535" s="3" t="s">
        <v>532</v>
      </c>
      <c r="B535" s="11">
        <v>121619.84</v>
      </c>
    </row>
    <row r="536" spans="1:2" ht="13.2" customHeight="1">
      <c r="A536" s="4" t="s">
        <v>533</v>
      </c>
      <c r="B536" s="12">
        <f>+'DCA-Anexo I-AB'!B537+'DCA-Anexo I-AB'!B538+'DCA-Anexo I-AB'!B539</f>
        <v>0</v>
      </c>
    </row>
    <row r="537" spans="1:2" ht="26.4" customHeight="1">
      <c r="A537" s="3" t="s">
        <v>534</v>
      </c>
      <c r="B537" s="11"/>
    </row>
    <row r="538" spans="1:2" ht="26.4" customHeight="1">
      <c r="A538" s="4" t="s">
        <v>535</v>
      </c>
      <c r="B538" s="12"/>
    </row>
    <row r="539" spans="1:2" ht="26.4" customHeight="1">
      <c r="A539" s="3" t="s">
        <v>536</v>
      </c>
      <c r="B539" s="11"/>
    </row>
    <row r="540" spans="1:2" ht="13.2" customHeight="1">
      <c r="A540" s="4" t="s">
        <v>537</v>
      </c>
      <c r="B540" s="12">
        <f>+'DCA-Anexo I-AB'!B541+'DCA-Anexo I-AB'!B542+'DCA-Anexo I-AB'!B543</f>
        <v>0</v>
      </c>
    </row>
    <row r="541" spans="1:2" ht="26.4" customHeight="1">
      <c r="A541" s="3" t="s">
        <v>538</v>
      </c>
      <c r="B541" s="11"/>
    </row>
    <row r="542" spans="1:2" ht="26.4" customHeight="1">
      <c r="A542" s="4" t="s">
        <v>539</v>
      </c>
      <c r="B542" s="12"/>
    </row>
    <row r="543" spans="1:2" ht="26.4" customHeight="1">
      <c r="A543" s="3" t="s">
        <v>540</v>
      </c>
      <c r="B543" s="11"/>
    </row>
    <row r="544" spans="1:2" ht="13.2" customHeight="1">
      <c r="A544" s="4" t="s">
        <v>541</v>
      </c>
      <c r="B544" s="12">
        <f>+'DCA-Anexo I-AB'!B545+'DCA-Anexo I-AB'!B549+'DCA-Anexo I-AB'!B554+'DCA-Anexo I-AB'!B559+'DCA-Anexo I-AB'!B561</f>
        <v>0</v>
      </c>
    </row>
    <row r="545" spans="1:2" ht="13.2" customHeight="1">
      <c r="A545" s="3" t="s">
        <v>542</v>
      </c>
      <c r="B545" s="11">
        <f>+'DCA-Anexo I-AB'!B546+'DCA-Anexo I-AB'!B547+'DCA-Anexo I-AB'!B548</f>
        <v>0</v>
      </c>
    </row>
    <row r="546" spans="1:2" ht="26.4" customHeight="1">
      <c r="A546" s="4" t="s">
        <v>543</v>
      </c>
      <c r="B546" s="12"/>
    </row>
    <row r="547" spans="1:2" ht="26.4" customHeight="1">
      <c r="A547" s="3" t="s">
        <v>544</v>
      </c>
      <c r="B547" s="11"/>
    </row>
    <row r="548" spans="1:2" ht="26.4" customHeight="1">
      <c r="A548" s="4" t="s">
        <v>545</v>
      </c>
      <c r="B548" s="12"/>
    </row>
    <row r="549" spans="1:2" ht="13.2" customHeight="1">
      <c r="A549" s="3" t="s">
        <v>546</v>
      </c>
      <c r="B549" s="11">
        <f>+'DCA-Anexo I-AB'!B550+'DCA-Anexo I-AB'!B551+'DCA-Anexo I-AB'!B552+'DCA-Anexo I-AB'!B553</f>
        <v>0</v>
      </c>
    </row>
    <row r="550" spans="1:2" ht="13.2" customHeight="1">
      <c r="A550" s="4" t="s">
        <v>547</v>
      </c>
      <c r="B550" s="12">
        <v>0</v>
      </c>
    </row>
    <row r="551" spans="1:2" ht="13.2" customHeight="1">
      <c r="A551" s="3" t="s">
        <v>548</v>
      </c>
      <c r="B551" s="11"/>
    </row>
    <row r="552" spans="1:2" ht="13.2" customHeight="1">
      <c r="A552" s="4" t="s">
        <v>549</v>
      </c>
      <c r="B552" s="12"/>
    </row>
    <row r="553" spans="1:2" ht="26.4" customHeight="1">
      <c r="A553" s="3" t="s">
        <v>550</v>
      </c>
      <c r="B553" s="11"/>
    </row>
    <row r="554" spans="1:2" ht="13.2" customHeight="1">
      <c r="A554" s="4" t="s">
        <v>551</v>
      </c>
      <c r="B554" s="12">
        <f>+'DCA-Anexo I-AB'!B555+'DCA-Anexo I-AB'!B556+'DCA-Anexo I-AB'!B557+'DCA-Anexo I-AB'!B558</f>
        <v>0</v>
      </c>
    </row>
    <row r="555" spans="1:2" ht="26.4" customHeight="1">
      <c r="A555" s="3" t="s">
        <v>552</v>
      </c>
      <c r="B555" s="11"/>
    </row>
    <row r="556" spans="1:2" ht="26.4" customHeight="1">
      <c r="A556" s="4" t="s">
        <v>553</v>
      </c>
      <c r="B556" s="12"/>
    </row>
    <row r="557" spans="1:2" ht="26.4" customHeight="1">
      <c r="A557" s="3" t="s">
        <v>554</v>
      </c>
      <c r="B557" s="11"/>
    </row>
    <row r="558" spans="1:2" ht="26.4" customHeight="1">
      <c r="A558" s="4" t="s">
        <v>555</v>
      </c>
      <c r="B558" s="12"/>
    </row>
    <row r="559" spans="1:2" ht="26.4" customHeight="1">
      <c r="A559" s="3" t="s">
        <v>556</v>
      </c>
      <c r="B559" s="11">
        <f>+'DCA-Anexo I-AB'!B560</f>
        <v>0</v>
      </c>
    </row>
    <row r="560" spans="1:2" ht="26.4" customHeight="1">
      <c r="A560" s="4" t="s">
        <v>557</v>
      </c>
      <c r="B560" s="12"/>
    </row>
    <row r="561" spans="1:2" ht="13.2" customHeight="1">
      <c r="A561" s="3" t="s">
        <v>558</v>
      </c>
      <c r="B561" s="11">
        <f>+'DCA-Anexo I-AB'!B562+'DCA-Anexo I-AB'!B563+'DCA-Anexo I-AB'!B564+'DCA-Anexo I-AB'!B565</f>
        <v>0</v>
      </c>
    </row>
    <row r="562" spans="1:2" ht="13.2" customHeight="1">
      <c r="A562" s="4" t="s">
        <v>559</v>
      </c>
      <c r="B562" s="12">
        <v>0</v>
      </c>
    </row>
    <row r="563" spans="1:2" ht="13.2" customHeight="1">
      <c r="A563" s="3" t="s">
        <v>560</v>
      </c>
      <c r="B563" s="11"/>
    </row>
    <row r="564" spans="1:2" ht="13.2" customHeight="1">
      <c r="A564" s="4" t="s">
        <v>561</v>
      </c>
      <c r="B564" s="12"/>
    </row>
    <row r="565" spans="1:2" ht="26.4" customHeight="1">
      <c r="A565" s="3" t="s">
        <v>562</v>
      </c>
      <c r="B565" s="11"/>
    </row>
    <row r="566" spans="1:2" ht="13.2" customHeight="1">
      <c r="A566" s="4" t="s">
        <v>563</v>
      </c>
      <c r="B566" s="12">
        <f>+'DCA-Anexo I-AB'!B567+'DCA-Anexo I-AB'!B571+'DCA-Anexo I-AB'!B577+'DCA-Anexo I-AB'!B583+'DCA-Anexo I-AB'!B589+'DCA-Anexo I-AB'!B591+'DCA-Anexo I-AB'!B597+'DCA-Anexo I-AB'!B569</f>
        <v>0</v>
      </c>
    </row>
    <row r="567" spans="1:2" ht="13.2" customHeight="1">
      <c r="A567" s="3" t="s">
        <v>564</v>
      </c>
      <c r="B567" s="11">
        <f>+'DCA-Anexo I-AB'!B568</f>
        <v>0</v>
      </c>
    </row>
    <row r="568" spans="1:2" ht="26.4" customHeight="1">
      <c r="A568" s="4" t="s">
        <v>565</v>
      </c>
      <c r="B568" s="12">
        <v>0</v>
      </c>
    </row>
    <row r="569" spans="1:2" ht="13.2" customHeight="1">
      <c r="A569" s="3" t="s">
        <v>566</v>
      </c>
      <c r="B569" s="11">
        <f>+'DCA-Anexo I-AB'!B570</f>
        <v>0</v>
      </c>
    </row>
    <row r="570" spans="1:2" ht="26.4" customHeight="1">
      <c r="A570" s="4" t="s">
        <v>567</v>
      </c>
      <c r="B570" s="12"/>
    </row>
    <row r="571" spans="1:2" ht="13.2" customHeight="1">
      <c r="A571" s="3" t="s">
        <v>568</v>
      </c>
      <c r="B571" s="11">
        <f>+'DCA-Anexo I-AB'!B572+'DCA-Anexo I-AB'!B573+'DCA-Anexo I-AB'!B574+'DCA-Anexo I-AB'!B575+'DCA-Anexo I-AB'!B576</f>
        <v>0</v>
      </c>
    </row>
    <row r="572" spans="1:2" ht="26.4" customHeight="1">
      <c r="A572" s="4" t="s">
        <v>569</v>
      </c>
      <c r="B572" s="12"/>
    </row>
    <row r="573" spans="1:2" ht="26.4" customHeight="1">
      <c r="A573" s="3" t="s">
        <v>570</v>
      </c>
      <c r="B573" s="11"/>
    </row>
    <row r="574" spans="1:2" ht="26.4" customHeight="1">
      <c r="A574" s="4" t="s">
        <v>571</v>
      </c>
      <c r="B574" s="12"/>
    </row>
    <row r="575" spans="1:2" ht="26.4" customHeight="1">
      <c r="A575" s="3" t="s">
        <v>572</v>
      </c>
      <c r="B575" s="11"/>
    </row>
    <row r="576" spans="1:2" ht="26.4" customHeight="1">
      <c r="A576" s="4" t="s">
        <v>573</v>
      </c>
      <c r="B576" s="12"/>
    </row>
    <row r="577" spans="1:2" ht="13.2" customHeight="1">
      <c r="A577" s="3" t="s">
        <v>574</v>
      </c>
      <c r="B577" s="11">
        <f>+'DCA-Anexo I-AB'!B578+'DCA-Anexo I-AB'!B579+'DCA-Anexo I-AB'!B580+'DCA-Anexo I-AB'!B581+'DCA-Anexo I-AB'!B582</f>
        <v>0</v>
      </c>
    </row>
    <row r="578" spans="1:2" ht="26.4" customHeight="1">
      <c r="A578" s="4" t="s">
        <v>575</v>
      </c>
      <c r="B578" s="12"/>
    </row>
    <row r="579" spans="1:2" ht="26.4" customHeight="1">
      <c r="A579" s="3" t="s">
        <v>576</v>
      </c>
      <c r="B579" s="11"/>
    </row>
    <row r="580" spans="1:2" ht="26.4" customHeight="1">
      <c r="A580" s="4" t="s">
        <v>577</v>
      </c>
      <c r="B580" s="12"/>
    </row>
    <row r="581" spans="1:2" ht="26.4" customHeight="1">
      <c r="A581" s="3" t="s">
        <v>578</v>
      </c>
      <c r="B581" s="11"/>
    </row>
    <row r="582" spans="1:2" ht="26.4" customHeight="1">
      <c r="A582" s="4" t="s">
        <v>579</v>
      </c>
      <c r="B582" s="12"/>
    </row>
    <row r="583" spans="1:2" ht="13.2" customHeight="1">
      <c r="A583" s="3" t="s">
        <v>580</v>
      </c>
      <c r="B583" s="11">
        <f>+'DCA-Anexo I-AB'!B584+'DCA-Anexo I-AB'!B586+'DCA-Anexo I-AB'!B587+'DCA-Anexo I-AB'!B588+'DCA-Anexo I-AB'!B585</f>
        <v>0</v>
      </c>
    </row>
    <row r="584" spans="1:2" ht="26.4" customHeight="1">
      <c r="A584" s="4" t="s">
        <v>581</v>
      </c>
      <c r="B584" s="12"/>
    </row>
    <row r="585" spans="1:2" ht="26.4" customHeight="1">
      <c r="A585" s="3" t="s">
        <v>582</v>
      </c>
      <c r="B585" s="11"/>
    </row>
    <row r="586" spans="1:2" ht="26.4" customHeight="1">
      <c r="A586" s="4" t="s">
        <v>583</v>
      </c>
      <c r="B586" s="12"/>
    </row>
    <row r="587" spans="1:2" ht="26.4" customHeight="1">
      <c r="A587" s="3" t="s">
        <v>584</v>
      </c>
      <c r="B587" s="11"/>
    </row>
    <row r="588" spans="1:2" ht="26.4" customHeight="1">
      <c r="A588" s="4" t="s">
        <v>585</v>
      </c>
      <c r="B588" s="12"/>
    </row>
    <row r="589" spans="1:2" ht="26.4" customHeight="1">
      <c r="A589" s="3" t="s">
        <v>586</v>
      </c>
      <c r="B589" s="11">
        <f>+'DCA-Anexo I-AB'!B590</f>
        <v>0</v>
      </c>
    </row>
    <row r="590" spans="1:2" ht="26.4" customHeight="1">
      <c r="A590" s="4" t="s">
        <v>587</v>
      </c>
      <c r="B590" s="12"/>
    </row>
    <row r="591" spans="1:2" ht="26.4" customHeight="1">
      <c r="A591" s="3" t="s">
        <v>588</v>
      </c>
      <c r="B591" s="11">
        <f>+'DCA-Anexo I-AB'!B592+'DCA-Anexo I-AB'!B593+'DCA-Anexo I-AB'!B594+'DCA-Anexo I-AB'!B595+'DCA-Anexo I-AB'!B596</f>
        <v>0</v>
      </c>
    </row>
    <row r="592" spans="1:2" ht="26.4" customHeight="1">
      <c r="A592" s="4" t="s">
        <v>589</v>
      </c>
      <c r="B592" s="12"/>
    </row>
    <row r="593" spans="1:2" ht="26.4" customHeight="1">
      <c r="A593" s="3" t="s">
        <v>590</v>
      </c>
      <c r="B593" s="11"/>
    </row>
    <row r="594" spans="1:2" ht="26.4" customHeight="1">
      <c r="A594" s="4" t="s">
        <v>591</v>
      </c>
      <c r="B594" s="12"/>
    </row>
    <row r="595" spans="1:2" ht="26.4" customHeight="1">
      <c r="A595" s="3" t="s">
        <v>592</v>
      </c>
      <c r="B595" s="11"/>
    </row>
    <row r="596" spans="1:2" ht="26.4" customHeight="1">
      <c r="A596" s="4" t="s">
        <v>593</v>
      </c>
      <c r="B596" s="12"/>
    </row>
    <row r="597" spans="1:2" ht="13.2" customHeight="1">
      <c r="A597" s="3" t="s">
        <v>594</v>
      </c>
      <c r="B597" s="11">
        <f>+'DCA-Anexo I-AB'!B598+'DCA-Anexo I-AB'!B599+'DCA-Anexo I-AB'!B600+'DCA-Anexo I-AB'!B601+'DCA-Anexo I-AB'!B602</f>
        <v>0</v>
      </c>
    </row>
    <row r="598" spans="1:2" ht="13.2" customHeight="1">
      <c r="A598" s="4" t="s">
        <v>595</v>
      </c>
      <c r="B598" s="12"/>
    </row>
    <row r="599" spans="1:2" ht="13.2" customHeight="1">
      <c r="A599" s="3" t="s">
        <v>596</v>
      </c>
      <c r="B599" s="11"/>
    </row>
    <row r="600" spans="1:2" ht="13.2" customHeight="1">
      <c r="A600" s="4" t="s">
        <v>597</v>
      </c>
      <c r="B600" s="12"/>
    </row>
    <row r="601" spans="1:2" ht="13.2" customHeight="1">
      <c r="A601" s="3" t="s">
        <v>598</v>
      </c>
      <c r="B601" s="11"/>
    </row>
    <row r="602" spans="1:2" ht="26.4" customHeight="1">
      <c r="A602" s="4" t="s">
        <v>599</v>
      </c>
      <c r="B602" s="12"/>
    </row>
    <row r="603" spans="1:2" ht="26.4" customHeight="1">
      <c r="A603" s="3" t="s">
        <v>600</v>
      </c>
      <c r="B603" s="11">
        <f>+'DCA-Anexo I-AB'!B604+'DCA-Anexo I-AB'!B610+'DCA-Anexo I-AB'!B616+'DCA-Anexo I-AB'!B622+'DCA-Anexo I-AB'!B628+'DCA-Anexo I-AB'!B634+'DCA-Anexo I-AB'!B636+'DCA-Anexo I-AB'!B638+'DCA-Anexo I-AB'!B644</f>
        <v>3178116.98</v>
      </c>
    </row>
    <row r="604" spans="1:2" ht="13.2" customHeight="1">
      <c r="A604" s="4" t="s">
        <v>601</v>
      </c>
      <c r="B604" s="12">
        <f>+'DCA-Anexo I-AB'!B605+'DCA-Anexo I-AB'!B606+'DCA-Anexo I-AB'!B607+'DCA-Anexo I-AB'!B608+'DCA-Anexo I-AB'!B609</f>
        <v>0</v>
      </c>
    </row>
    <row r="605" spans="1:2" ht="13.2" customHeight="1">
      <c r="A605" s="3" t="s">
        <v>602</v>
      </c>
      <c r="B605" s="11">
        <v>0</v>
      </c>
    </row>
    <row r="606" spans="1:2" ht="13.2" customHeight="1">
      <c r="A606" s="4" t="s">
        <v>603</v>
      </c>
      <c r="B606" s="12"/>
    </row>
    <row r="607" spans="1:2" ht="13.2" customHeight="1">
      <c r="A607" s="3" t="s">
        <v>604</v>
      </c>
      <c r="B607" s="11"/>
    </row>
    <row r="608" spans="1:2" ht="13.2" customHeight="1">
      <c r="A608" s="4" t="s">
        <v>605</v>
      </c>
      <c r="B608" s="12"/>
    </row>
    <row r="609" spans="1:2" ht="13.2" customHeight="1">
      <c r="A609" s="3" t="s">
        <v>606</v>
      </c>
      <c r="B609" s="11"/>
    </row>
    <row r="610" spans="1:2" ht="13.2" customHeight="1">
      <c r="A610" s="4" t="s">
        <v>607</v>
      </c>
      <c r="B610" s="12">
        <f>+'DCA-Anexo I-AB'!B611+'DCA-Anexo I-AB'!B612+'DCA-Anexo I-AB'!B613+'DCA-Anexo I-AB'!B614+'DCA-Anexo I-AB'!B615</f>
        <v>0</v>
      </c>
    </row>
    <row r="611" spans="1:2" ht="13.2" customHeight="1">
      <c r="A611" s="3" t="s">
        <v>608</v>
      </c>
      <c r="B611" s="11">
        <v>0</v>
      </c>
    </row>
    <row r="612" spans="1:2" ht="13.2" customHeight="1">
      <c r="A612" s="4" t="s">
        <v>609</v>
      </c>
      <c r="B612" s="12"/>
    </row>
    <row r="613" spans="1:2" ht="26.4" customHeight="1">
      <c r="A613" s="3" t="s">
        <v>610</v>
      </c>
      <c r="B613" s="11"/>
    </row>
    <row r="614" spans="1:2" ht="26.4" customHeight="1">
      <c r="A614" s="4" t="s">
        <v>611</v>
      </c>
      <c r="B614" s="12"/>
    </row>
    <row r="615" spans="1:2" ht="26.4" customHeight="1">
      <c r="A615" s="3" t="s">
        <v>612</v>
      </c>
      <c r="B615" s="11"/>
    </row>
    <row r="616" spans="1:2" ht="13.2" customHeight="1">
      <c r="A616" s="4" t="s">
        <v>613</v>
      </c>
      <c r="B616" s="12">
        <f>+'DCA-Anexo I-AB'!B617+'DCA-Anexo I-AB'!B618+'DCA-Anexo I-AB'!B619+'DCA-Anexo I-AB'!B620+'DCA-Anexo I-AB'!B621</f>
        <v>0</v>
      </c>
    </row>
    <row r="617" spans="1:2" ht="13.2" customHeight="1">
      <c r="A617" s="3" t="s">
        <v>614</v>
      </c>
      <c r="B617" s="11">
        <v>0</v>
      </c>
    </row>
    <row r="618" spans="1:2" ht="13.2" customHeight="1">
      <c r="A618" s="4" t="s">
        <v>615</v>
      </c>
      <c r="B618" s="12"/>
    </row>
    <row r="619" spans="1:2" ht="26.4" customHeight="1">
      <c r="A619" s="3" t="s">
        <v>616</v>
      </c>
      <c r="B619" s="11"/>
    </row>
    <row r="620" spans="1:2" ht="26.4" customHeight="1">
      <c r="A620" s="4" t="s">
        <v>617</v>
      </c>
      <c r="B620" s="12"/>
    </row>
    <row r="621" spans="1:2" ht="26.4" customHeight="1">
      <c r="A621" s="3" t="s">
        <v>618</v>
      </c>
      <c r="B621" s="11"/>
    </row>
    <row r="622" spans="1:2" ht="13.2" customHeight="1">
      <c r="A622" s="4" t="s">
        <v>619</v>
      </c>
      <c r="B622" s="12">
        <f>+'DCA-Anexo I-AB'!B623+'DCA-Anexo I-AB'!B624+'DCA-Anexo I-AB'!B625+'DCA-Anexo I-AB'!B626+'DCA-Anexo I-AB'!B627</f>
        <v>0</v>
      </c>
    </row>
    <row r="623" spans="1:2" ht="26.4" customHeight="1">
      <c r="A623" s="3" t="s">
        <v>620</v>
      </c>
      <c r="B623" s="11">
        <v>0</v>
      </c>
    </row>
    <row r="624" spans="1:2" ht="26.4" customHeight="1">
      <c r="A624" s="4" t="s">
        <v>621</v>
      </c>
      <c r="B624" s="12"/>
    </row>
    <row r="625" spans="1:2" ht="26.4" customHeight="1">
      <c r="A625" s="3" t="s">
        <v>622</v>
      </c>
      <c r="B625" s="11"/>
    </row>
    <row r="626" spans="1:2" ht="26.4" customHeight="1">
      <c r="A626" s="4" t="s">
        <v>623</v>
      </c>
      <c r="B626" s="12"/>
    </row>
    <row r="627" spans="1:2" ht="26.4" customHeight="1">
      <c r="A627" s="3" t="s">
        <v>624</v>
      </c>
      <c r="B627" s="11"/>
    </row>
    <row r="628" spans="1:2" ht="13.2" customHeight="1">
      <c r="A628" s="4" t="s">
        <v>625</v>
      </c>
      <c r="B628" s="12">
        <f>+'DCA-Anexo I-AB'!B629+'DCA-Anexo I-AB'!B630+'DCA-Anexo I-AB'!B631+'DCA-Anexo I-AB'!B632+'DCA-Anexo I-AB'!B633</f>
        <v>0</v>
      </c>
    </row>
    <row r="629" spans="1:2" ht="26.4" customHeight="1">
      <c r="A629" s="3" t="s">
        <v>626</v>
      </c>
      <c r="B629" s="11">
        <v>0</v>
      </c>
    </row>
    <row r="630" spans="1:2" ht="26.4" customHeight="1">
      <c r="A630" s="4" t="s">
        <v>627</v>
      </c>
      <c r="B630" s="12"/>
    </row>
    <row r="631" spans="1:2" ht="26.4" customHeight="1">
      <c r="A631" s="3" t="s">
        <v>628</v>
      </c>
      <c r="B631" s="11"/>
    </row>
    <row r="632" spans="1:2" ht="26.4" customHeight="1">
      <c r="A632" s="4" t="s">
        <v>629</v>
      </c>
      <c r="B632" s="12"/>
    </row>
    <row r="633" spans="1:2" ht="26.4" customHeight="1">
      <c r="A633" s="3" t="s">
        <v>630</v>
      </c>
      <c r="B633" s="11"/>
    </row>
    <row r="634" spans="1:2" ht="13.2" customHeight="1">
      <c r="A634" s="4" t="s">
        <v>631</v>
      </c>
      <c r="B634" s="12">
        <f>+'DCA-Anexo I-AB'!B635</f>
        <v>0</v>
      </c>
    </row>
    <row r="635" spans="1:2" ht="26.4" customHeight="1">
      <c r="A635" s="3" t="s">
        <v>632</v>
      </c>
      <c r="B635" s="11">
        <v>0</v>
      </c>
    </row>
    <row r="636" spans="1:2" ht="26.4" customHeight="1">
      <c r="A636" s="4" t="s">
        <v>633</v>
      </c>
      <c r="B636" s="12">
        <f>+'DCA-Anexo I-AB'!B637</f>
        <v>0</v>
      </c>
    </row>
    <row r="637" spans="1:2" ht="26.4" customHeight="1">
      <c r="A637" s="3" t="s">
        <v>634</v>
      </c>
      <c r="B637" s="11">
        <v>0</v>
      </c>
    </row>
    <row r="638" spans="1:2" ht="13.2" customHeight="1">
      <c r="A638" s="4" t="s">
        <v>635</v>
      </c>
      <c r="B638" s="12">
        <f>+'DCA-Anexo I-AB'!B639+'DCA-Anexo I-AB'!B640+'DCA-Anexo I-AB'!B641+'DCA-Anexo I-AB'!B642+'DCA-Anexo I-AB'!B643</f>
        <v>3006961.02</v>
      </c>
    </row>
    <row r="639" spans="1:2" ht="13.2" customHeight="1">
      <c r="A639" s="3" t="s">
        <v>636</v>
      </c>
      <c r="B639" s="11">
        <v>1661524.67</v>
      </c>
    </row>
    <row r="640" spans="1:2" ht="13.2" customHeight="1">
      <c r="A640" s="4" t="s">
        <v>637</v>
      </c>
      <c r="B640" s="12">
        <v>1345436.35</v>
      </c>
    </row>
    <row r="641" spans="1:2" ht="13.2" customHeight="1">
      <c r="A641" s="3" t="s">
        <v>638</v>
      </c>
      <c r="B641" s="11">
        <v>0</v>
      </c>
    </row>
    <row r="642" spans="1:2" ht="13.2" customHeight="1">
      <c r="A642" s="4" t="s">
        <v>639</v>
      </c>
      <c r="B642" s="12">
        <v>0</v>
      </c>
    </row>
    <row r="643" spans="1:2" ht="13.2" customHeight="1">
      <c r="A643" s="3" t="s">
        <v>640</v>
      </c>
      <c r="B643" s="11">
        <v>0</v>
      </c>
    </row>
    <row r="644" spans="1:2" ht="13.2" customHeight="1">
      <c r="A644" s="4" t="s">
        <v>641</v>
      </c>
      <c r="B644" s="12">
        <f>+'DCA-Anexo I-AB'!B645+'DCA-Anexo I-AB'!B646+'DCA-Anexo I-AB'!B647+'DCA-Anexo I-AB'!B648+'DCA-Anexo I-AB'!B649</f>
        <v>171155.96</v>
      </c>
    </row>
    <row r="645" spans="1:2" ht="13.2" customHeight="1">
      <c r="A645" s="3" t="s">
        <v>642</v>
      </c>
      <c r="B645" s="11">
        <v>171155.96</v>
      </c>
    </row>
    <row r="646" spans="1:2" ht="13.2" customHeight="1">
      <c r="A646" s="4" t="s">
        <v>643</v>
      </c>
      <c r="B646" s="12">
        <v>0</v>
      </c>
    </row>
    <row r="647" spans="1:2" ht="13.2" customHeight="1">
      <c r="A647" s="3" t="s">
        <v>644</v>
      </c>
      <c r="B647" s="11">
        <v>0</v>
      </c>
    </row>
    <row r="648" spans="1:2" ht="26.4" customHeight="1">
      <c r="A648" s="4" t="s">
        <v>645</v>
      </c>
      <c r="B648" s="12">
        <v>0</v>
      </c>
    </row>
    <row r="649" spans="1:2" ht="26.4" customHeight="1">
      <c r="A649" s="3" t="s">
        <v>646</v>
      </c>
      <c r="B649" s="11">
        <v>0</v>
      </c>
    </row>
    <row r="650" spans="1:2" ht="13.2" customHeight="1">
      <c r="A650" s="4" t="s">
        <v>647</v>
      </c>
      <c r="B650" s="12">
        <f>+'DCA-Anexo I-AB'!B651+'DCA-Anexo I-AB'!B671+'DCA-Anexo I-AB'!B703+'DCA-Anexo I-AB'!B712+'DCA-Anexo I-AB'!B725+'DCA-Anexo I-AB'!B747+'DCA-Anexo I-AB'!B794+'DCA-Anexo I-AB'!B833</f>
        <v>33473092.129999999</v>
      </c>
    </row>
    <row r="651" spans="1:2" ht="26.4" customHeight="1">
      <c r="A651" s="3" t="s">
        <v>648</v>
      </c>
      <c r="B651" s="11">
        <f>+'DCA-Anexo I-AB'!B652+'DCA-Anexo I-AB'!B654+'DCA-Anexo I-AB'!B660+'DCA-Anexo I-AB'!B662+'DCA-Anexo I-AB'!B668</f>
        <v>23145005.899999999</v>
      </c>
    </row>
    <row r="652" spans="1:2" ht="13.2" customHeight="1">
      <c r="A652" s="4" t="s">
        <v>649</v>
      </c>
      <c r="B652" s="12">
        <f>+'DCA-Anexo I-AB'!B653</f>
        <v>0</v>
      </c>
    </row>
    <row r="653" spans="1:2" ht="13.2" customHeight="1">
      <c r="A653" s="3" t="s">
        <v>650</v>
      </c>
      <c r="B653" s="11">
        <v>0</v>
      </c>
    </row>
    <row r="654" spans="1:2" ht="13.2" customHeight="1">
      <c r="A654" s="4" t="s">
        <v>651</v>
      </c>
      <c r="B654" s="12">
        <f>+'DCA-Anexo I-AB'!B655+'DCA-Anexo I-AB'!B656+'DCA-Anexo I-AB'!B657+'DCA-Anexo I-AB'!B658+'DCA-Anexo I-AB'!B659</f>
        <v>0</v>
      </c>
    </row>
    <row r="655" spans="1:2" ht="13.2" customHeight="1">
      <c r="A655" s="3" t="s">
        <v>652</v>
      </c>
      <c r="B655" s="11">
        <v>0</v>
      </c>
    </row>
    <row r="656" spans="1:2" ht="13.2" customHeight="1">
      <c r="A656" s="4" t="s">
        <v>653</v>
      </c>
      <c r="B656" s="12">
        <v>0</v>
      </c>
    </row>
    <row r="657" spans="1:2" ht="26.4" customHeight="1">
      <c r="A657" s="3" t="s">
        <v>654</v>
      </c>
      <c r="B657" s="11">
        <v>0</v>
      </c>
    </row>
    <row r="658" spans="1:2" ht="26.4" customHeight="1">
      <c r="A658" s="4" t="s">
        <v>655</v>
      </c>
      <c r="B658" s="12">
        <v>0</v>
      </c>
    </row>
    <row r="659" spans="1:2" ht="26.4" customHeight="1">
      <c r="A659" s="3" t="s">
        <v>656</v>
      </c>
      <c r="B659" s="11">
        <v>0</v>
      </c>
    </row>
    <row r="660" spans="1:2" ht="13.2" customHeight="1">
      <c r="A660" s="4" t="s">
        <v>657</v>
      </c>
      <c r="B660" s="12">
        <f>+'DCA-Anexo I-AB'!B661</f>
        <v>0</v>
      </c>
    </row>
    <row r="661" spans="1:2" ht="13.2" customHeight="1">
      <c r="A661" s="3" t="s">
        <v>658</v>
      </c>
      <c r="B661" s="11">
        <v>0</v>
      </c>
    </row>
    <row r="662" spans="1:2" ht="13.2" customHeight="1">
      <c r="A662" s="4" t="s">
        <v>659</v>
      </c>
      <c r="B662" s="12">
        <f>+'DCA-Anexo I-AB'!B663+'DCA-Anexo I-AB'!B664+'DCA-Anexo I-AB'!B665+'DCA-Anexo I-AB'!B666+'DCA-Anexo I-AB'!B667</f>
        <v>23145005.899999999</v>
      </c>
    </row>
    <row r="663" spans="1:2" ht="13.2" customHeight="1">
      <c r="A663" s="3" t="s">
        <v>660</v>
      </c>
      <c r="B663" s="11">
        <v>0</v>
      </c>
    </row>
    <row r="664" spans="1:2" ht="13.2" customHeight="1">
      <c r="A664" s="4" t="s">
        <v>661</v>
      </c>
      <c r="B664" s="12">
        <v>0</v>
      </c>
    </row>
    <row r="665" spans="1:2" ht="13.2" customHeight="1">
      <c r="A665" s="3" t="s">
        <v>662</v>
      </c>
      <c r="B665" s="11">
        <v>23145005.899999999</v>
      </c>
    </row>
    <row r="666" spans="1:2" ht="13.2" customHeight="1">
      <c r="A666" s="4" t="s">
        <v>663</v>
      </c>
      <c r="B666" s="12">
        <v>0</v>
      </c>
    </row>
    <row r="667" spans="1:2" ht="13.2" customHeight="1">
      <c r="A667" s="3" t="s">
        <v>664</v>
      </c>
      <c r="B667" s="11">
        <v>0</v>
      </c>
    </row>
    <row r="668" spans="1:2" ht="26.4" customHeight="1">
      <c r="A668" s="4" t="s">
        <v>665</v>
      </c>
      <c r="B668" s="12">
        <f>+'DCA-Anexo I-AB'!B669+'DCA-Anexo I-AB'!B670</f>
        <v>0</v>
      </c>
    </row>
    <row r="669" spans="1:2" ht="26.4" customHeight="1">
      <c r="A669" s="3" t="s">
        <v>666</v>
      </c>
      <c r="B669" s="11">
        <v>0</v>
      </c>
    </row>
    <row r="670" spans="1:2" ht="26.4" customHeight="1">
      <c r="A670" s="4" t="s">
        <v>667</v>
      </c>
      <c r="B670" s="12">
        <v>0</v>
      </c>
    </row>
    <row r="671" spans="1:2" ht="13.2" customHeight="1">
      <c r="A671" s="3" t="s">
        <v>668</v>
      </c>
      <c r="B671" s="11">
        <f>+'DCA-Anexo I-AB'!B672+'DCA-Anexo I-AB'!B678+'DCA-Anexo I-AB'!B680+'DCA-Anexo I-AB'!B685+'DCA-Anexo I-AB'!B687+'DCA-Anexo I-AB'!B693-'DCA-Anexo I-AB'!B695-'DCA-Anexo I-AB'!B701</f>
        <v>7570287.46</v>
      </c>
    </row>
    <row r="672" spans="1:2" ht="13.2" customHeight="1">
      <c r="A672" s="4" t="s">
        <v>669</v>
      </c>
      <c r="B672" s="12">
        <f>+'DCA-Anexo I-AB'!B673+'DCA-Anexo I-AB'!B675+'DCA-Anexo I-AB'!B676+'DCA-Anexo I-AB'!B677+'DCA-Anexo I-AB'!B674</f>
        <v>0</v>
      </c>
    </row>
    <row r="673" spans="1:2" ht="13.2" customHeight="1">
      <c r="A673" s="3" t="s">
        <v>670</v>
      </c>
      <c r="B673" s="11">
        <v>0</v>
      </c>
    </row>
    <row r="674" spans="1:2" ht="13.2" customHeight="1">
      <c r="A674" s="4" t="s">
        <v>671</v>
      </c>
      <c r="B674" s="12">
        <v>0</v>
      </c>
    </row>
    <row r="675" spans="1:2" ht="26.4" customHeight="1">
      <c r="A675" s="3" t="s">
        <v>672</v>
      </c>
      <c r="B675" s="11">
        <v>0</v>
      </c>
    </row>
    <row r="676" spans="1:2" ht="26.4" customHeight="1">
      <c r="A676" s="4" t="s">
        <v>673</v>
      </c>
      <c r="B676" s="12">
        <v>0</v>
      </c>
    </row>
    <row r="677" spans="1:2" ht="26.4" customHeight="1">
      <c r="A677" s="3" t="s">
        <v>674</v>
      </c>
      <c r="B677" s="11">
        <v>0</v>
      </c>
    </row>
    <row r="678" spans="1:2" ht="13.2" customHeight="1">
      <c r="A678" s="4" t="s">
        <v>675</v>
      </c>
      <c r="B678" s="12">
        <f>+'DCA-Anexo I-AB'!B679</f>
        <v>0</v>
      </c>
    </row>
    <row r="679" spans="1:2" ht="13.2" customHeight="1">
      <c r="A679" s="3" t="s">
        <v>676</v>
      </c>
      <c r="B679" s="11">
        <v>0</v>
      </c>
    </row>
    <row r="680" spans="1:2" ht="13.2" customHeight="1">
      <c r="A680" s="4" t="s">
        <v>677</v>
      </c>
      <c r="B680" s="12">
        <f>+'DCA-Anexo I-AB'!B681+'DCA-Anexo I-AB'!B682+'DCA-Anexo I-AB'!B683+'DCA-Anexo I-AB'!B684</f>
        <v>7570287.46</v>
      </c>
    </row>
    <row r="681" spans="1:2" ht="26.4" customHeight="1">
      <c r="A681" s="3" t="s">
        <v>678</v>
      </c>
      <c r="B681" s="11">
        <v>7570287.46</v>
      </c>
    </row>
    <row r="682" spans="1:2" ht="26.4" customHeight="1">
      <c r="A682" s="4" t="s">
        <v>679</v>
      </c>
      <c r="B682" s="12">
        <v>0</v>
      </c>
    </row>
    <row r="683" spans="1:2" ht="26.4" customHeight="1">
      <c r="A683" s="3" t="s">
        <v>680</v>
      </c>
      <c r="B683" s="11">
        <v>0</v>
      </c>
    </row>
    <row r="684" spans="1:2" ht="26.4" customHeight="1">
      <c r="A684" s="4" t="s">
        <v>681</v>
      </c>
      <c r="B684" s="12">
        <v>0</v>
      </c>
    </row>
    <row r="685" spans="1:2" ht="13.2" customHeight="1">
      <c r="A685" s="3" t="s">
        <v>682</v>
      </c>
      <c r="B685" s="11">
        <f>+'DCA-Anexo I-AB'!B686</f>
        <v>0</v>
      </c>
    </row>
    <row r="686" spans="1:2" ht="13.2" customHeight="1">
      <c r="A686" s="4" t="s">
        <v>683</v>
      </c>
      <c r="B686" s="12">
        <v>0</v>
      </c>
    </row>
    <row r="687" spans="1:2" ht="26.4" customHeight="1">
      <c r="A687" s="3" t="s">
        <v>684</v>
      </c>
      <c r="B687" s="11">
        <f>+'DCA-Anexo I-AB'!B688+'DCA-Anexo I-AB'!B690+'DCA-Anexo I-AB'!B691+'DCA-Anexo I-AB'!B692+'DCA-Anexo I-AB'!B689</f>
        <v>0</v>
      </c>
    </row>
    <row r="688" spans="1:2" ht="26.4" customHeight="1">
      <c r="A688" s="4" t="s">
        <v>685</v>
      </c>
      <c r="B688" s="12">
        <v>0</v>
      </c>
    </row>
    <row r="689" spans="1:2" ht="26.4" customHeight="1">
      <c r="A689" s="3" t="s">
        <v>686</v>
      </c>
      <c r="B689" s="11">
        <v>0</v>
      </c>
    </row>
    <row r="690" spans="1:2" ht="26.4" customHeight="1">
      <c r="A690" s="4" t="s">
        <v>687</v>
      </c>
      <c r="B690" s="12">
        <v>0</v>
      </c>
    </row>
    <row r="691" spans="1:2" ht="26.4" customHeight="1">
      <c r="A691" s="3" t="s">
        <v>688</v>
      </c>
      <c r="B691" s="11">
        <v>0</v>
      </c>
    </row>
    <row r="692" spans="1:2" ht="26.4" customHeight="1">
      <c r="A692" s="4" t="s">
        <v>689</v>
      </c>
      <c r="B692" s="12">
        <v>0</v>
      </c>
    </row>
    <row r="693" spans="1:2" ht="26.4" customHeight="1">
      <c r="A693" s="3" t="s">
        <v>690</v>
      </c>
      <c r="B693" s="11">
        <f>+'DCA-Anexo I-AB'!B694</f>
        <v>0</v>
      </c>
    </row>
    <row r="694" spans="1:2" ht="26.4" customHeight="1">
      <c r="A694" s="4" t="s">
        <v>691</v>
      </c>
      <c r="B694" s="12">
        <v>0</v>
      </c>
    </row>
    <row r="695" spans="1:2" ht="13.2" customHeight="1">
      <c r="A695" s="3" t="s">
        <v>692</v>
      </c>
      <c r="B695" s="11">
        <f>+'DCA-Anexo I-AB'!B696+'DCA-Anexo I-AB'!B698+'DCA-Anexo I-AB'!B699+'DCA-Anexo I-AB'!B700+'DCA-Anexo I-AB'!B697</f>
        <v>0</v>
      </c>
    </row>
    <row r="696" spans="1:2" ht="26.4" customHeight="1">
      <c r="A696" s="4" t="s">
        <v>693</v>
      </c>
      <c r="B696" s="12">
        <v>0</v>
      </c>
    </row>
    <row r="697" spans="1:2" ht="26.4" customHeight="1">
      <c r="A697" s="3" t="s">
        <v>694</v>
      </c>
      <c r="B697" s="11">
        <v>0</v>
      </c>
    </row>
    <row r="698" spans="1:2" ht="26.4" customHeight="1">
      <c r="A698" s="4" t="s">
        <v>695</v>
      </c>
      <c r="B698" s="12">
        <v>0</v>
      </c>
    </row>
    <row r="699" spans="1:2" ht="26.4" customHeight="1">
      <c r="A699" s="3" t="s">
        <v>696</v>
      </c>
      <c r="B699" s="11">
        <v>0</v>
      </c>
    </row>
    <row r="700" spans="1:2" ht="26.4" customHeight="1">
      <c r="A700" s="4" t="s">
        <v>697</v>
      </c>
      <c r="B700" s="12">
        <v>0</v>
      </c>
    </row>
    <row r="701" spans="1:2" ht="13.2" customHeight="1">
      <c r="A701" s="3" t="s">
        <v>698</v>
      </c>
      <c r="B701" s="11">
        <f>+'DCA-Anexo I-AB'!B702</f>
        <v>0</v>
      </c>
    </row>
    <row r="702" spans="1:2" ht="26.4" customHeight="1">
      <c r="A702" s="4" t="s">
        <v>699</v>
      </c>
      <c r="B702" s="12">
        <v>0</v>
      </c>
    </row>
    <row r="703" spans="1:2" ht="13.2" customHeight="1">
      <c r="A703" s="3" t="s">
        <v>700</v>
      </c>
      <c r="B703" s="11">
        <f>+'DCA-Anexo I-AB'!B704+'DCA-Anexo I-AB'!B710</f>
        <v>2757798.77</v>
      </c>
    </row>
    <row r="704" spans="1:2" ht="13.2" customHeight="1">
      <c r="A704" s="4" t="s">
        <v>701</v>
      </c>
      <c r="B704" s="12">
        <f>+'DCA-Anexo I-AB'!B705+'DCA-Anexo I-AB'!B706+'DCA-Anexo I-AB'!B707+'DCA-Anexo I-AB'!B708+'DCA-Anexo I-AB'!B709</f>
        <v>2757798.77</v>
      </c>
    </row>
    <row r="705" spans="1:2" ht="26.4" customHeight="1">
      <c r="A705" s="3" t="s">
        <v>702</v>
      </c>
      <c r="B705" s="11">
        <v>2757798.77</v>
      </c>
    </row>
    <row r="706" spans="1:2" ht="26.4" customHeight="1">
      <c r="A706" s="4" t="s">
        <v>703</v>
      </c>
      <c r="B706" s="12">
        <v>0</v>
      </c>
    </row>
    <row r="707" spans="1:2" ht="26.4" customHeight="1">
      <c r="A707" s="3" t="s">
        <v>704</v>
      </c>
      <c r="B707" s="11">
        <v>0</v>
      </c>
    </row>
    <row r="708" spans="1:2" ht="26.4" customHeight="1">
      <c r="A708" s="4" t="s">
        <v>705</v>
      </c>
      <c r="B708" s="12">
        <v>0</v>
      </c>
    </row>
    <row r="709" spans="1:2" ht="26.4" customHeight="1">
      <c r="A709" s="3" t="s">
        <v>706</v>
      </c>
      <c r="B709" s="11">
        <v>0</v>
      </c>
    </row>
    <row r="710" spans="1:2" ht="26.4" customHeight="1">
      <c r="A710" s="4" t="s">
        <v>707</v>
      </c>
      <c r="B710" s="12">
        <f>+'DCA-Anexo I-AB'!B711</f>
        <v>0</v>
      </c>
    </row>
    <row r="711" spans="1:2" ht="26.4" customHeight="1">
      <c r="A711" s="3" t="s">
        <v>708</v>
      </c>
      <c r="B711" s="11">
        <v>0</v>
      </c>
    </row>
    <row r="712" spans="1:2" ht="13.2" customHeight="1">
      <c r="A712" s="4" t="s">
        <v>709</v>
      </c>
      <c r="B712" s="12">
        <f>+'DCA-Anexo I-AB'!B713+'DCA-Anexo I-AB'!B717+'DCA-Anexo I-AB'!B721</f>
        <v>0</v>
      </c>
    </row>
    <row r="713" spans="1:2" ht="13.2" customHeight="1">
      <c r="A713" s="3" t="s">
        <v>710</v>
      </c>
      <c r="B713" s="11">
        <f>+'DCA-Anexo I-AB'!B714+'DCA-Anexo I-AB'!B715+'DCA-Anexo I-AB'!B716</f>
        <v>0</v>
      </c>
    </row>
    <row r="714" spans="1:2" ht="26.4" customHeight="1">
      <c r="A714" s="4" t="s">
        <v>711</v>
      </c>
      <c r="B714" s="12">
        <v>0</v>
      </c>
    </row>
    <row r="715" spans="1:2" ht="26.4" customHeight="1">
      <c r="A715" s="3" t="s">
        <v>712</v>
      </c>
      <c r="B715" s="11">
        <v>0</v>
      </c>
    </row>
    <row r="716" spans="1:2" ht="26.4" customHeight="1">
      <c r="A716" s="4" t="s">
        <v>713</v>
      </c>
      <c r="B716" s="12">
        <v>0</v>
      </c>
    </row>
    <row r="717" spans="1:2" ht="13.2" customHeight="1">
      <c r="A717" s="3" t="s">
        <v>714</v>
      </c>
      <c r="B717" s="11">
        <f>+'DCA-Anexo I-AB'!B718+'DCA-Anexo I-AB'!B719+'DCA-Anexo I-AB'!B720</f>
        <v>0</v>
      </c>
    </row>
    <row r="718" spans="1:2" ht="26.4" customHeight="1">
      <c r="A718" s="4" t="s">
        <v>715</v>
      </c>
      <c r="B718" s="12">
        <v>0</v>
      </c>
    </row>
    <row r="719" spans="1:2" ht="26.4" customHeight="1">
      <c r="A719" s="3" t="s">
        <v>716</v>
      </c>
      <c r="B719" s="11">
        <v>0</v>
      </c>
    </row>
    <row r="720" spans="1:2" ht="26.4" customHeight="1">
      <c r="A720" s="4" t="s">
        <v>717</v>
      </c>
      <c r="B720" s="12">
        <v>0</v>
      </c>
    </row>
    <row r="721" spans="1:2" ht="13.2" customHeight="1">
      <c r="A721" s="3" t="s">
        <v>718</v>
      </c>
      <c r="B721" s="11">
        <f>+'DCA-Anexo I-AB'!B722+'DCA-Anexo I-AB'!B723+'DCA-Anexo I-AB'!B724</f>
        <v>0</v>
      </c>
    </row>
    <row r="722" spans="1:2" ht="26.4" customHeight="1">
      <c r="A722" s="4" t="s">
        <v>719</v>
      </c>
      <c r="B722" s="12">
        <v>0</v>
      </c>
    </row>
    <row r="723" spans="1:2" ht="26.4" customHeight="1">
      <c r="A723" s="3" t="s">
        <v>720</v>
      </c>
      <c r="B723" s="11">
        <v>0</v>
      </c>
    </row>
    <row r="724" spans="1:2" ht="26.4" customHeight="1">
      <c r="A724" s="4" t="s">
        <v>721</v>
      </c>
      <c r="B724" s="12">
        <v>0</v>
      </c>
    </row>
    <row r="725" spans="1:2" ht="13.2" customHeight="1">
      <c r="A725" s="3" t="s">
        <v>722</v>
      </c>
      <c r="B725" s="11">
        <f>+'DCA-Anexo I-AB'!B726+'DCA-Anexo I-AB'!B730+'DCA-Anexo I-AB'!B735+'DCA-Anexo I-AB'!B740+'DCA-Anexo I-AB'!B742</f>
        <v>0</v>
      </c>
    </row>
    <row r="726" spans="1:2" ht="13.2" customHeight="1">
      <c r="A726" s="4" t="s">
        <v>723</v>
      </c>
      <c r="B726" s="12">
        <f>+'DCA-Anexo I-AB'!B727+'DCA-Anexo I-AB'!B728+'DCA-Anexo I-AB'!B729</f>
        <v>0</v>
      </c>
    </row>
    <row r="727" spans="1:2" ht="26.4" customHeight="1">
      <c r="A727" s="3" t="s">
        <v>724</v>
      </c>
      <c r="B727" s="11">
        <v>0</v>
      </c>
    </row>
    <row r="728" spans="1:2" ht="26.4" customHeight="1">
      <c r="A728" s="4" t="s">
        <v>725</v>
      </c>
      <c r="B728" s="12">
        <v>0</v>
      </c>
    </row>
    <row r="729" spans="1:2" ht="26.4" customHeight="1">
      <c r="A729" s="3" t="s">
        <v>726</v>
      </c>
      <c r="B729" s="11">
        <v>0</v>
      </c>
    </row>
    <row r="730" spans="1:2" ht="13.2" customHeight="1">
      <c r="A730" s="4" t="s">
        <v>727</v>
      </c>
      <c r="B730" s="12">
        <f>+'DCA-Anexo I-AB'!B731+'DCA-Anexo I-AB'!B732+'DCA-Anexo I-AB'!B733+'DCA-Anexo I-AB'!B734</f>
        <v>0</v>
      </c>
    </row>
    <row r="731" spans="1:2" ht="13.2" customHeight="1">
      <c r="A731" s="3" t="s">
        <v>728</v>
      </c>
      <c r="B731" s="11">
        <v>0</v>
      </c>
    </row>
    <row r="732" spans="1:2" ht="13.2" customHeight="1">
      <c r="A732" s="4" t="s">
        <v>729</v>
      </c>
      <c r="B732" s="12">
        <v>0</v>
      </c>
    </row>
    <row r="733" spans="1:2" ht="13.2" customHeight="1">
      <c r="A733" s="3" t="s">
        <v>730</v>
      </c>
      <c r="B733" s="11">
        <v>0</v>
      </c>
    </row>
    <row r="734" spans="1:2" ht="26.4" customHeight="1">
      <c r="A734" s="4" t="s">
        <v>731</v>
      </c>
      <c r="B734" s="12">
        <v>0</v>
      </c>
    </row>
    <row r="735" spans="1:2" ht="13.2" customHeight="1">
      <c r="A735" s="3" t="s">
        <v>732</v>
      </c>
      <c r="B735" s="11">
        <f>+'DCA-Anexo I-AB'!B736+'DCA-Anexo I-AB'!B737+'DCA-Anexo I-AB'!B738+'DCA-Anexo I-AB'!B739</f>
        <v>0</v>
      </c>
    </row>
    <row r="736" spans="1:2" ht="26.4" customHeight="1">
      <c r="A736" s="4" t="s">
        <v>733</v>
      </c>
      <c r="B736" s="12">
        <v>0</v>
      </c>
    </row>
    <row r="737" spans="1:2" ht="26.4" customHeight="1">
      <c r="A737" s="3" t="s">
        <v>734</v>
      </c>
      <c r="B737" s="11">
        <v>0</v>
      </c>
    </row>
    <row r="738" spans="1:2" ht="26.4" customHeight="1">
      <c r="A738" s="4" t="s">
        <v>735</v>
      </c>
      <c r="B738" s="12">
        <v>0</v>
      </c>
    </row>
    <row r="739" spans="1:2" ht="26.4" customHeight="1">
      <c r="A739" s="3" t="s">
        <v>736</v>
      </c>
      <c r="B739" s="11">
        <v>0</v>
      </c>
    </row>
    <row r="740" spans="1:2" ht="26.4" customHeight="1">
      <c r="A740" s="4" t="s">
        <v>737</v>
      </c>
      <c r="B740" s="12">
        <f>+'DCA-Anexo I-AB'!B741</f>
        <v>0</v>
      </c>
    </row>
    <row r="741" spans="1:2" ht="26.4" customHeight="1">
      <c r="A741" s="3" t="s">
        <v>738</v>
      </c>
      <c r="B741" s="11">
        <v>0</v>
      </c>
    </row>
    <row r="742" spans="1:2" ht="13.2" customHeight="1">
      <c r="A742" s="4" t="s">
        <v>739</v>
      </c>
      <c r="B742" s="12">
        <f>+'DCA-Anexo I-AB'!B743+'DCA-Anexo I-AB'!B744+'DCA-Anexo I-AB'!B745+'DCA-Anexo I-AB'!B746</f>
        <v>0</v>
      </c>
    </row>
    <row r="743" spans="1:2" ht="13.2" customHeight="1">
      <c r="A743" s="3" t="s">
        <v>740</v>
      </c>
      <c r="B743" s="11">
        <v>0</v>
      </c>
    </row>
    <row r="744" spans="1:2" ht="13.2" customHeight="1">
      <c r="A744" s="4" t="s">
        <v>741</v>
      </c>
      <c r="B744" s="12">
        <v>0</v>
      </c>
    </row>
    <row r="745" spans="1:2" ht="13.2" customHeight="1">
      <c r="A745" s="3" t="s">
        <v>742</v>
      </c>
      <c r="B745" s="11">
        <v>0</v>
      </c>
    </row>
    <row r="746" spans="1:2" ht="26.4" customHeight="1">
      <c r="A746" s="4" t="s">
        <v>743</v>
      </c>
      <c r="B746" s="12">
        <v>0</v>
      </c>
    </row>
    <row r="747" spans="1:2" ht="13.2" customHeight="1">
      <c r="A747" s="3" t="s">
        <v>744</v>
      </c>
      <c r="B747" s="11">
        <f>+'DCA-Anexo I-AB'!B748+'DCA-Anexo I-AB'!B750+'DCA-Anexo I-AB'!B762+'DCA-Anexo I-AB'!B768+'DCA-Anexo I-AB'!B774+'DCA-Anexo I-AB'!B780+'DCA-Anexo I-AB'!B782+'DCA-Anexo I-AB'!B788</f>
        <v>0</v>
      </c>
    </row>
    <row r="748" spans="1:2" ht="13.2" customHeight="1">
      <c r="A748" s="4" t="s">
        <v>745</v>
      </c>
      <c r="B748" s="12">
        <f>+'DCA-Anexo I-AB'!B749</f>
        <v>0</v>
      </c>
    </row>
    <row r="749" spans="1:2" ht="26.4" customHeight="1">
      <c r="A749" s="3" t="s">
        <v>746</v>
      </c>
      <c r="B749" s="11">
        <v>0</v>
      </c>
    </row>
    <row r="750" spans="1:2" ht="13.2" customHeight="1">
      <c r="A750" s="4" t="s">
        <v>747</v>
      </c>
      <c r="B750" s="12">
        <f>+'DCA-Anexo I-AB'!B751+'DCA-Anexo I-AB'!B758</f>
        <v>0</v>
      </c>
    </row>
    <row r="751" spans="1:2" ht="26.4" customHeight="1">
      <c r="A751" s="3" t="s">
        <v>748</v>
      </c>
      <c r="B751" s="11">
        <f>+'DCA-Anexo I-AB'!B752+'DCA-Anexo I-AB'!B753+'DCA-Anexo I-AB'!B754+'DCA-Anexo I-AB'!B755+'DCA-Anexo I-AB'!B756+'DCA-Anexo I-AB'!B757</f>
        <v>0</v>
      </c>
    </row>
    <row r="752" spans="1:2" ht="26.4" customHeight="1">
      <c r="A752" s="4" t="s">
        <v>749</v>
      </c>
      <c r="B752" s="12">
        <v>0</v>
      </c>
    </row>
    <row r="753" spans="1:2" ht="26.4" customHeight="1">
      <c r="A753" s="3" t="s">
        <v>750</v>
      </c>
      <c r="B753" s="11">
        <v>0</v>
      </c>
    </row>
    <row r="754" spans="1:2" ht="26.4" customHeight="1">
      <c r="A754" s="4" t="s">
        <v>751</v>
      </c>
      <c r="B754" s="12">
        <v>0</v>
      </c>
    </row>
    <row r="755" spans="1:2" ht="26.4" customHeight="1">
      <c r="A755" s="3" t="s">
        <v>752</v>
      </c>
      <c r="B755" s="11">
        <v>0</v>
      </c>
    </row>
    <row r="756" spans="1:2" ht="13.2" customHeight="1">
      <c r="A756" s="4" t="s">
        <v>753</v>
      </c>
      <c r="B756" s="12">
        <v>0</v>
      </c>
    </row>
    <row r="757" spans="1:2" ht="13.2" customHeight="1">
      <c r="A757" s="3" t="s">
        <v>754</v>
      </c>
      <c r="B757" s="11">
        <v>0</v>
      </c>
    </row>
    <row r="758" spans="1:2" ht="26.4" customHeight="1">
      <c r="A758" s="4" t="s">
        <v>755</v>
      </c>
      <c r="B758" s="12">
        <f>-'DCA-Anexo I-AB'!B759-'DCA-Anexo I-AB'!B760+'DCA-Anexo I-AB'!B761</f>
        <v>0</v>
      </c>
    </row>
    <row r="759" spans="1:2" ht="26.4" customHeight="1">
      <c r="A759" s="3" t="s">
        <v>756</v>
      </c>
      <c r="B759" s="11">
        <v>0</v>
      </c>
    </row>
    <row r="760" spans="1:2" ht="26.4" customHeight="1">
      <c r="A760" s="4" t="s">
        <v>757</v>
      </c>
      <c r="B760" s="12">
        <v>0</v>
      </c>
    </row>
    <row r="761" spans="1:2" ht="26.4" customHeight="1">
      <c r="A761" s="3" t="s">
        <v>758</v>
      </c>
      <c r="B761" s="11">
        <v>0</v>
      </c>
    </row>
    <row r="762" spans="1:2" ht="13.2" customHeight="1">
      <c r="A762" s="4" t="s">
        <v>759</v>
      </c>
      <c r="B762" s="12">
        <f>+'DCA-Anexo I-AB'!B763+'DCA-Anexo I-AB'!B764+'DCA-Anexo I-AB'!B765+'DCA-Anexo I-AB'!B766+'DCA-Anexo I-AB'!B767</f>
        <v>0</v>
      </c>
    </row>
    <row r="763" spans="1:2" ht="26.4" customHeight="1">
      <c r="A763" s="3" t="s">
        <v>760</v>
      </c>
      <c r="B763" s="11">
        <v>0</v>
      </c>
    </row>
    <row r="764" spans="1:2" ht="26.4" customHeight="1">
      <c r="A764" s="4" t="s">
        <v>761</v>
      </c>
      <c r="B764" s="12">
        <v>0</v>
      </c>
    </row>
    <row r="765" spans="1:2" ht="26.4" customHeight="1">
      <c r="A765" s="3" t="s">
        <v>762</v>
      </c>
      <c r="B765" s="11">
        <v>0</v>
      </c>
    </row>
    <row r="766" spans="1:2" ht="26.4" customHeight="1">
      <c r="A766" s="4" t="s">
        <v>763</v>
      </c>
      <c r="B766" s="12">
        <v>0</v>
      </c>
    </row>
    <row r="767" spans="1:2" ht="26.4" customHeight="1">
      <c r="A767" s="3" t="s">
        <v>764</v>
      </c>
      <c r="B767" s="11">
        <v>0</v>
      </c>
    </row>
    <row r="768" spans="1:2" ht="13.2" customHeight="1">
      <c r="A768" s="4" t="s">
        <v>765</v>
      </c>
      <c r="B768" s="12">
        <f>+'DCA-Anexo I-AB'!B769+'DCA-Anexo I-AB'!B770+'DCA-Anexo I-AB'!B771+'DCA-Anexo I-AB'!B772+'DCA-Anexo I-AB'!B773</f>
        <v>0</v>
      </c>
    </row>
    <row r="769" spans="1:2" ht="26.4" customHeight="1">
      <c r="A769" s="3" t="s">
        <v>766</v>
      </c>
      <c r="B769" s="11">
        <v>0</v>
      </c>
    </row>
    <row r="770" spans="1:2" ht="26.4" customHeight="1">
      <c r="A770" s="4" t="s">
        <v>767</v>
      </c>
      <c r="B770" s="12">
        <v>0</v>
      </c>
    </row>
    <row r="771" spans="1:2" ht="26.4" customHeight="1">
      <c r="A771" s="3" t="s">
        <v>768</v>
      </c>
      <c r="B771" s="11">
        <v>0</v>
      </c>
    </row>
    <row r="772" spans="1:2" ht="26.4" customHeight="1">
      <c r="A772" s="4" t="s">
        <v>769</v>
      </c>
      <c r="B772" s="12">
        <v>0</v>
      </c>
    </row>
    <row r="773" spans="1:2" ht="26.4" customHeight="1">
      <c r="A773" s="3" t="s">
        <v>770</v>
      </c>
      <c r="B773" s="11">
        <v>0</v>
      </c>
    </row>
    <row r="774" spans="1:2" ht="13.2" customHeight="1">
      <c r="A774" s="4" t="s">
        <v>771</v>
      </c>
      <c r="B774" s="12">
        <f>+'DCA-Anexo I-AB'!B777+'DCA-Anexo I-AB'!B778+'DCA-Anexo I-AB'!B779+'DCA-Anexo I-AB'!B775+'DCA-Anexo I-AB'!B776</f>
        <v>0</v>
      </c>
    </row>
    <row r="775" spans="1:2" ht="26.4" customHeight="1">
      <c r="A775" s="3" t="s">
        <v>772</v>
      </c>
      <c r="B775" s="11">
        <v>0</v>
      </c>
    </row>
    <row r="776" spans="1:2" ht="26.4" customHeight="1">
      <c r="A776" s="4" t="s">
        <v>773</v>
      </c>
      <c r="B776" s="12">
        <v>0</v>
      </c>
    </row>
    <row r="777" spans="1:2" ht="26.4" customHeight="1">
      <c r="A777" s="3" t="s">
        <v>774</v>
      </c>
      <c r="B777" s="11">
        <v>0</v>
      </c>
    </row>
    <row r="778" spans="1:2" ht="26.4" customHeight="1">
      <c r="A778" s="4" t="s">
        <v>775</v>
      </c>
      <c r="B778" s="12">
        <v>0</v>
      </c>
    </row>
    <row r="779" spans="1:2" ht="26.4" customHeight="1">
      <c r="A779" s="3" t="s">
        <v>776</v>
      </c>
      <c r="B779" s="11">
        <v>0</v>
      </c>
    </row>
    <row r="780" spans="1:2" ht="26.4" customHeight="1">
      <c r="A780" s="4" t="s">
        <v>777</v>
      </c>
      <c r="B780" s="12">
        <f>+'DCA-Anexo I-AB'!B781</f>
        <v>0</v>
      </c>
    </row>
    <row r="781" spans="1:2" ht="26.4" customHeight="1">
      <c r="A781" s="3" t="s">
        <v>778</v>
      </c>
      <c r="B781" s="11">
        <v>0</v>
      </c>
    </row>
    <row r="782" spans="1:2" ht="26.4" customHeight="1">
      <c r="A782" s="4" t="s">
        <v>779</v>
      </c>
      <c r="B782" s="12">
        <f>+'DCA-Anexo I-AB'!B783+'DCA-Anexo I-AB'!B784+'DCA-Anexo I-AB'!B785+'DCA-Anexo I-AB'!B786+'DCA-Anexo I-AB'!B787</f>
        <v>0</v>
      </c>
    </row>
    <row r="783" spans="1:2" ht="26.4" customHeight="1">
      <c r="A783" s="3" t="s">
        <v>780</v>
      </c>
      <c r="B783" s="11">
        <v>0</v>
      </c>
    </row>
    <row r="784" spans="1:2" ht="26.4" customHeight="1">
      <c r="A784" s="4" t="s">
        <v>781</v>
      </c>
      <c r="B784" s="12">
        <v>0</v>
      </c>
    </row>
    <row r="785" spans="1:2" ht="26.4" customHeight="1">
      <c r="A785" s="3" t="s">
        <v>782</v>
      </c>
      <c r="B785" s="11">
        <v>0</v>
      </c>
    </row>
    <row r="786" spans="1:2" ht="26.4" customHeight="1">
      <c r="A786" s="4" t="s">
        <v>783</v>
      </c>
      <c r="B786" s="12">
        <v>0</v>
      </c>
    </row>
    <row r="787" spans="1:2" ht="26.4" customHeight="1">
      <c r="A787" s="3" t="s">
        <v>784</v>
      </c>
      <c r="B787" s="11">
        <v>0</v>
      </c>
    </row>
    <row r="788" spans="1:2" ht="13.2" customHeight="1">
      <c r="A788" s="4" t="s">
        <v>785</v>
      </c>
      <c r="B788" s="12">
        <f>+'DCA-Anexo I-AB'!B789+'DCA-Anexo I-AB'!B790+'DCA-Anexo I-AB'!B791+'DCA-Anexo I-AB'!B792+'DCA-Anexo I-AB'!B793</f>
        <v>0</v>
      </c>
    </row>
    <row r="789" spans="1:2" ht="13.2" customHeight="1">
      <c r="A789" s="3" t="s">
        <v>786</v>
      </c>
      <c r="B789" s="11">
        <v>0</v>
      </c>
    </row>
    <row r="790" spans="1:2" ht="13.2" customHeight="1">
      <c r="A790" s="4" t="s">
        <v>787</v>
      </c>
      <c r="B790" s="12">
        <v>0</v>
      </c>
    </row>
    <row r="791" spans="1:2" ht="13.2" customHeight="1">
      <c r="A791" s="3" t="s">
        <v>788</v>
      </c>
      <c r="B791" s="11">
        <v>0</v>
      </c>
    </row>
    <row r="792" spans="1:2" ht="13.2" customHeight="1">
      <c r="A792" s="4" t="s">
        <v>789</v>
      </c>
      <c r="B792" s="12">
        <v>0</v>
      </c>
    </row>
    <row r="793" spans="1:2" ht="26.4" customHeight="1">
      <c r="A793" s="3" t="s">
        <v>790</v>
      </c>
      <c r="B793" s="11">
        <v>0</v>
      </c>
    </row>
    <row r="794" spans="1:2" ht="13.2" customHeight="1">
      <c r="A794" s="4" t="s">
        <v>791</v>
      </c>
      <c r="B794" s="12">
        <f>+'DCA-Anexo I-AB'!B795+'DCA-Anexo I-AB'!B801+'DCA-Anexo I-AB'!B807+'DCA-Anexo I-AB'!B813+'DCA-Anexo I-AB'!B819+'DCA-Anexo I-AB'!B821+'DCA-Anexo I-AB'!B827</f>
        <v>0</v>
      </c>
    </row>
    <row r="795" spans="1:2" ht="13.2" customHeight="1">
      <c r="A795" s="3" t="s">
        <v>792</v>
      </c>
      <c r="B795" s="11">
        <f>+'DCA-Anexo I-AB'!B796+'DCA-Anexo I-AB'!B797+'DCA-Anexo I-AB'!B798+'DCA-Anexo I-AB'!B799+'DCA-Anexo I-AB'!B800</f>
        <v>0</v>
      </c>
    </row>
    <row r="796" spans="1:2" ht="26.4" customHeight="1">
      <c r="A796" s="4" t="s">
        <v>793</v>
      </c>
      <c r="B796" s="12">
        <v>0</v>
      </c>
    </row>
    <row r="797" spans="1:2" ht="13.2" customHeight="1">
      <c r="A797" s="3" t="s">
        <v>794</v>
      </c>
      <c r="B797" s="11">
        <v>0</v>
      </c>
    </row>
    <row r="798" spans="1:2" ht="26.4" customHeight="1">
      <c r="A798" s="4" t="s">
        <v>795</v>
      </c>
      <c r="B798" s="12">
        <v>0</v>
      </c>
    </row>
    <row r="799" spans="1:2" ht="26.4" customHeight="1">
      <c r="A799" s="3" t="s">
        <v>796</v>
      </c>
      <c r="B799" s="11">
        <v>0</v>
      </c>
    </row>
    <row r="800" spans="1:2" ht="26.4" customHeight="1">
      <c r="A800" s="4" t="s">
        <v>797</v>
      </c>
      <c r="B800" s="12">
        <v>0</v>
      </c>
    </row>
    <row r="801" spans="1:2" ht="13.2" customHeight="1">
      <c r="A801" s="3" t="s">
        <v>798</v>
      </c>
      <c r="B801" s="11">
        <f>+'DCA-Anexo I-AB'!B802+'DCA-Anexo I-AB'!B803+'DCA-Anexo I-AB'!B804+'DCA-Anexo I-AB'!B805+'DCA-Anexo I-AB'!B806</f>
        <v>0</v>
      </c>
    </row>
    <row r="802" spans="1:2" ht="26.4" customHeight="1">
      <c r="A802" s="4" t="s">
        <v>799</v>
      </c>
      <c r="B802" s="12">
        <v>0</v>
      </c>
    </row>
    <row r="803" spans="1:2" ht="26.4" customHeight="1">
      <c r="A803" s="3" t="s">
        <v>800</v>
      </c>
      <c r="B803" s="11">
        <v>0</v>
      </c>
    </row>
    <row r="804" spans="1:2" ht="26.4" customHeight="1">
      <c r="A804" s="4" t="s">
        <v>801</v>
      </c>
      <c r="B804" s="12">
        <v>0</v>
      </c>
    </row>
    <row r="805" spans="1:2" ht="26.4" customHeight="1">
      <c r="A805" s="3" t="s">
        <v>802</v>
      </c>
      <c r="B805" s="11">
        <v>0</v>
      </c>
    </row>
    <row r="806" spans="1:2" ht="26.4" customHeight="1">
      <c r="A806" s="4" t="s">
        <v>803</v>
      </c>
      <c r="B806" s="12">
        <v>0</v>
      </c>
    </row>
    <row r="807" spans="1:2" ht="13.2" customHeight="1">
      <c r="A807" s="3" t="s">
        <v>804</v>
      </c>
      <c r="B807" s="11">
        <f>+'DCA-Anexo I-AB'!B808+'DCA-Anexo I-AB'!B809+'DCA-Anexo I-AB'!B810+'DCA-Anexo I-AB'!B811+'DCA-Anexo I-AB'!B812</f>
        <v>0</v>
      </c>
    </row>
    <row r="808" spans="1:2" ht="26.4" customHeight="1">
      <c r="A808" s="4" t="s">
        <v>805</v>
      </c>
      <c r="B808" s="12">
        <v>0</v>
      </c>
    </row>
    <row r="809" spans="1:2" ht="26.4" customHeight="1">
      <c r="A809" s="3" t="s">
        <v>806</v>
      </c>
      <c r="B809" s="11">
        <v>0</v>
      </c>
    </row>
    <row r="810" spans="1:2" ht="26.4" customHeight="1">
      <c r="A810" s="4" t="s">
        <v>807</v>
      </c>
      <c r="B810" s="12">
        <v>0</v>
      </c>
    </row>
    <row r="811" spans="1:2" ht="26.4" customHeight="1">
      <c r="A811" s="3" t="s">
        <v>808</v>
      </c>
      <c r="B811" s="11">
        <v>0</v>
      </c>
    </row>
    <row r="812" spans="1:2" ht="26.4" customHeight="1">
      <c r="A812" s="4" t="s">
        <v>809</v>
      </c>
      <c r="B812" s="12">
        <v>0</v>
      </c>
    </row>
    <row r="813" spans="1:2" ht="13.2" customHeight="1">
      <c r="A813" s="3" t="s">
        <v>810</v>
      </c>
      <c r="B813" s="11">
        <f>+'DCA-Anexo I-AB'!B814+'DCA-Anexo I-AB'!B815+'DCA-Anexo I-AB'!B816+'DCA-Anexo I-AB'!B817+'DCA-Anexo I-AB'!B818</f>
        <v>0</v>
      </c>
    </row>
    <row r="814" spans="1:2" ht="26.4" customHeight="1">
      <c r="A814" s="4" t="s">
        <v>811</v>
      </c>
      <c r="B814" s="12">
        <v>0</v>
      </c>
    </row>
    <row r="815" spans="1:2" ht="26.4" customHeight="1">
      <c r="A815" s="3" t="s">
        <v>812</v>
      </c>
      <c r="B815" s="11">
        <v>0</v>
      </c>
    </row>
    <row r="816" spans="1:2" ht="26.4" customHeight="1">
      <c r="A816" s="4" t="s">
        <v>813</v>
      </c>
      <c r="B816" s="12">
        <v>0</v>
      </c>
    </row>
    <row r="817" spans="1:2" ht="26.4" customHeight="1">
      <c r="A817" s="3" t="s">
        <v>814</v>
      </c>
      <c r="B817" s="11">
        <v>0</v>
      </c>
    </row>
    <row r="818" spans="1:2" ht="26.4" customHeight="1">
      <c r="A818" s="4" t="s">
        <v>815</v>
      </c>
      <c r="B818" s="12">
        <v>0</v>
      </c>
    </row>
    <row r="819" spans="1:2" ht="26.4" customHeight="1">
      <c r="A819" s="3" t="s">
        <v>816</v>
      </c>
      <c r="B819" s="11">
        <f>+'DCA-Anexo I-AB'!B820</f>
        <v>0</v>
      </c>
    </row>
    <row r="820" spans="1:2" ht="26.4" customHeight="1">
      <c r="A820" s="4" t="s">
        <v>817</v>
      </c>
      <c r="B820" s="12">
        <v>0</v>
      </c>
    </row>
    <row r="821" spans="1:2" ht="13.2" customHeight="1">
      <c r="A821" s="3" t="s">
        <v>818</v>
      </c>
      <c r="B821" s="11">
        <f>+'DCA-Anexo I-AB'!B822+'DCA-Anexo I-AB'!B823+'DCA-Anexo I-AB'!B824+'DCA-Anexo I-AB'!B825+'DCA-Anexo I-AB'!B826</f>
        <v>0</v>
      </c>
    </row>
    <row r="822" spans="1:2" ht="13.2" customHeight="1">
      <c r="A822" s="4" t="s">
        <v>819</v>
      </c>
      <c r="B822" s="12">
        <v>0</v>
      </c>
    </row>
    <row r="823" spans="1:2" ht="13.2" customHeight="1">
      <c r="A823" s="3" t="s">
        <v>820</v>
      </c>
      <c r="B823" s="11"/>
    </row>
    <row r="824" spans="1:2" ht="13.2" customHeight="1">
      <c r="A824" s="4" t="s">
        <v>821</v>
      </c>
      <c r="B824" s="12"/>
    </row>
    <row r="825" spans="1:2" ht="13.2" customHeight="1">
      <c r="A825" s="3" t="s">
        <v>822</v>
      </c>
      <c r="B825" s="11"/>
    </row>
    <row r="826" spans="1:2" ht="13.2" customHeight="1">
      <c r="A826" s="4" t="s">
        <v>823</v>
      </c>
      <c r="B826" s="12"/>
    </row>
    <row r="827" spans="1:2" ht="13.2" customHeight="1">
      <c r="A827" s="3" t="s">
        <v>824</v>
      </c>
      <c r="B827" s="11">
        <f>+'DCA-Anexo I-AB'!B828+'DCA-Anexo I-AB'!B829+'DCA-Anexo I-AB'!B830+'DCA-Anexo I-AB'!B831+'DCA-Anexo I-AB'!B832</f>
        <v>0</v>
      </c>
    </row>
    <row r="828" spans="1:2" ht="13.2" customHeight="1">
      <c r="A828" s="4" t="s">
        <v>825</v>
      </c>
      <c r="B828" s="12">
        <v>0</v>
      </c>
    </row>
    <row r="829" spans="1:2" ht="13.2" customHeight="1">
      <c r="A829" s="3" t="s">
        <v>826</v>
      </c>
      <c r="B829" s="11"/>
    </row>
    <row r="830" spans="1:2" ht="13.2" customHeight="1">
      <c r="A830" s="4" t="s">
        <v>827</v>
      </c>
      <c r="B830" s="12"/>
    </row>
    <row r="831" spans="1:2" ht="26.4" customHeight="1">
      <c r="A831" s="3" t="s">
        <v>828</v>
      </c>
      <c r="B831" s="11"/>
    </row>
    <row r="832" spans="1:2" ht="26.4" customHeight="1">
      <c r="A832" s="4" t="s">
        <v>829</v>
      </c>
      <c r="B832" s="12"/>
    </row>
    <row r="833" spans="1:2" ht="13.2" customHeight="1">
      <c r="A833" s="3" t="s">
        <v>830</v>
      </c>
      <c r="B833" s="11">
        <f>+'DCA-Anexo I-AB'!B834-'DCA-Anexo I-AB'!B840</f>
        <v>0</v>
      </c>
    </row>
    <row r="834" spans="1:2" ht="13.2" customHeight="1">
      <c r="A834" s="4" t="s">
        <v>831</v>
      </c>
      <c r="B834" s="12">
        <f>+'DCA-Anexo I-AB'!B835+'DCA-Anexo I-AB'!B836+'DCA-Anexo I-AB'!B837+'DCA-Anexo I-AB'!B838+'DCA-Anexo I-AB'!B839</f>
        <v>0</v>
      </c>
    </row>
    <row r="835" spans="1:2" ht="26.4" customHeight="1">
      <c r="A835" s="3" t="s">
        <v>832</v>
      </c>
      <c r="B835" s="11">
        <v>0</v>
      </c>
    </row>
    <row r="836" spans="1:2" ht="26.4" customHeight="1">
      <c r="A836" s="4" t="s">
        <v>833</v>
      </c>
      <c r="B836" s="12"/>
    </row>
    <row r="837" spans="1:2" ht="26.4" customHeight="1">
      <c r="A837" s="3" t="s">
        <v>834</v>
      </c>
      <c r="B837" s="11"/>
    </row>
    <row r="838" spans="1:2" ht="26.4" customHeight="1">
      <c r="A838" s="4" t="s">
        <v>835</v>
      </c>
      <c r="B838" s="12"/>
    </row>
    <row r="839" spans="1:2" ht="26.4" customHeight="1">
      <c r="A839" s="3" t="s">
        <v>836</v>
      </c>
      <c r="B839" s="11"/>
    </row>
    <row r="840" spans="1:2" ht="13.2" customHeight="1">
      <c r="A840" s="4" t="s">
        <v>837</v>
      </c>
      <c r="B840" s="12">
        <f>+'DCA-Anexo I-AB'!B841+'DCA-Anexo I-AB'!B842+'DCA-Anexo I-AB'!B843+'DCA-Anexo I-AB'!B844+'DCA-Anexo I-AB'!B845</f>
        <v>0</v>
      </c>
    </row>
    <row r="841" spans="1:2" ht="13.2" customHeight="1">
      <c r="A841" s="3" t="s">
        <v>838</v>
      </c>
      <c r="B841" s="11">
        <v>0</v>
      </c>
    </row>
    <row r="842" spans="1:2" ht="13.2" customHeight="1">
      <c r="A842" s="4" t="s">
        <v>839</v>
      </c>
      <c r="B842" s="12"/>
    </row>
    <row r="843" spans="1:2" ht="13.2" customHeight="1">
      <c r="A843" s="3" t="s">
        <v>840</v>
      </c>
      <c r="B843" s="11"/>
    </row>
    <row r="844" spans="1:2" ht="13.2" customHeight="1">
      <c r="A844" s="4" t="s">
        <v>841</v>
      </c>
      <c r="B844" s="12"/>
    </row>
    <row r="845" spans="1:2" ht="13.2" customHeight="1">
      <c r="A845" s="3" t="s">
        <v>842</v>
      </c>
      <c r="B845" s="11"/>
    </row>
    <row r="846" spans="1:2" ht="13.2" customHeight="1">
      <c r="A846" s="4" t="s">
        <v>843</v>
      </c>
      <c r="B846" s="12">
        <f>+'DCA-Anexo I-AB'!B847+'DCA-Anexo I-AB'!B860+'DCA-Anexo I-AB'!B867+'DCA-Anexo I-AB'!B898+'DCA-Anexo I-AB'!B911+'DCA-Anexo I-AB'!B966+'DCA-Anexo I-AB'!B981-'DCA-Anexo I-AB'!B1044</f>
        <v>5667763.4500000002</v>
      </c>
    </row>
    <row r="847" spans="1:2" ht="13.2" customHeight="1">
      <c r="A847" s="3" t="s">
        <v>844</v>
      </c>
      <c r="B847" s="11">
        <f>+'DCA-Anexo I-AB'!B848+'DCA-Anexo I-AB'!B854</f>
        <v>0</v>
      </c>
    </row>
    <row r="848" spans="1:2" ht="13.2" customHeight="1">
      <c r="A848" s="4" t="s">
        <v>845</v>
      </c>
      <c r="B848" s="12">
        <f>+'DCA-Anexo I-AB'!B849+'DCA-Anexo I-AB'!B850+'DCA-Anexo I-AB'!B851+'DCA-Anexo I-AB'!B852+'DCA-Anexo I-AB'!B853</f>
        <v>0</v>
      </c>
    </row>
    <row r="849" spans="1:2" ht="13.2" customHeight="1">
      <c r="A849" s="3" t="s">
        <v>846</v>
      </c>
      <c r="B849" s="11">
        <v>0</v>
      </c>
    </row>
    <row r="850" spans="1:2" ht="13.2" customHeight="1">
      <c r="A850" s="4" t="s">
        <v>847</v>
      </c>
      <c r="B850" s="12"/>
    </row>
    <row r="851" spans="1:2" ht="13.2" customHeight="1">
      <c r="A851" s="3" t="s">
        <v>848</v>
      </c>
      <c r="B851" s="11"/>
    </row>
    <row r="852" spans="1:2" ht="13.2" customHeight="1">
      <c r="A852" s="4" t="s">
        <v>849</v>
      </c>
      <c r="B852" s="12"/>
    </row>
    <row r="853" spans="1:2" ht="13.2" customHeight="1">
      <c r="A853" s="3" t="s">
        <v>850</v>
      </c>
      <c r="B853" s="11"/>
    </row>
    <row r="854" spans="1:2" ht="13.2" customHeight="1">
      <c r="A854" s="4" t="s">
        <v>851</v>
      </c>
      <c r="B854" s="12">
        <f>+'DCA-Anexo I-AB'!B855+'DCA-Anexo I-AB'!B856+'DCA-Anexo I-AB'!B857+'DCA-Anexo I-AB'!B858+'DCA-Anexo I-AB'!B859</f>
        <v>0</v>
      </c>
    </row>
    <row r="855" spans="1:2" ht="13.2" customHeight="1">
      <c r="A855" s="3" t="s">
        <v>852</v>
      </c>
      <c r="B855" s="11">
        <v>0</v>
      </c>
    </row>
    <row r="856" spans="1:2" ht="13.2" customHeight="1">
      <c r="A856" s="4" t="s">
        <v>853</v>
      </c>
      <c r="B856" s="12"/>
    </row>
    <row r="857" spans="1:2" ht="13.2" customHeight="1">
      <c r="A857" s="3" t="s">
        <v>854</v>
      </c>
      <c r="B857" s="11"/>
    </row>
    <row r="858" spans="1:2" ht="13.2" customHeight="1">
      <c r="A858" s="4" t="s">
        <v>855</v>
      </c>
      <c r="B858" s="12"/>
    </row>
    <row r="859" spans="1:2" ht="13.2" customHeight="1">
      <c r="A859" s="3" t="s">
        <v>856</v>
      </c>
      <c r="B859" s="11"/>
    </row>
    <row r="860" spans="1:2" ht="13.2" customHeight="1">
      <c r="A860" s="4" t="s">
        <v>857</v>
      </c>
      <c r="B860" s="12">
        <f>+'DCA-Anexo I-AB'!B861</f>
        <v>0</v>
      </c>
    </row>
    <row r="861" spans="1:2" ht="13.2" customHeight="1">
      <c r="A861" s="3" t="s">
        <v>858</v>
      </c>
      <c r="B861" s="11">
        <f>+'DCA-Anexo I-AB'!B862+'DCA-Anexo I-AB'!B863+'DCA-Anexo I-AB'!B864+'DCA-Anexo I-AB'!B865+'DCA-Anexo I-AB'!B866</f>
        <v>0</v>
      </c>
    </row>
    <row r="862" spans="1:2" ht="26.4" customHeight="1">
      <c r="A862" s="4" t="s">
        <v>859</v>
      </c>
      <c r="B862" s="12">
        <v>0</v>
      </c>
    </row>
    <row r="863" spans="1:2" ht="26.4" customHeight="1">
      <c r="A863" s="3" t="s">
        <v>860</v>
      </c>
      <c r="B863" s="11"/>
    </row>
    <row r="864" spans="1:2" ht="26.4" customHeight="1">
      <c r="A864" s="4" t="s">
        <v>861</v>
      </c>
      <c r="B864" s="12"/>
    </row>
    <row r="865" spans="1:2" ht="26.4" customHeight="1">
      <c r="A865" s="3" t="s">
        <v>862</v>
      </c>
      <c r="B865" s="11"/>
    </row>
    <row r="866" spans="1:2" ht="26.4" customHeight="1">
      <c r="A866" s="4" t="s">
        <v>863</v>
      </c>
      <c r="B866" s="12"/>
    </row>
    <row r="867" spans="1:2" ht="13.2" customHeight="1">
      <c r="A867" s="3" t="s">
        <v>864</v>
      </c>
      <c r="B867" s="11">
        <f>+'DCA-Anexo I-AB'!B868+'DCA-Anexo I-AB'!B874+'DCA-Anexo I-AB'!B880+'DCA-Anexo I-AB'!B886+'DCA-Anexo I-AB'!B892</f>
        <v>0</v>
      </c>
    </row>
    <row r="868" spans="1:2" ht="13.2" customHeight="1">
      <c r="A868" s="4" t="s">
        <v>865</v>
      </c>
      <c r="B868" s="12">
        <f>+'DCA-Anexo I-AB'!B869+'DCA-Anexo I-AB'!B870+'DCA-Anexo I-AB'!B871+'DCA-Anexo I-AB'!B872+'DCA-Anexo I-AB'!B873</f>
        <v>0</v>
      </c>
    </row>
    <row r="869" spans="1:2" ht="13.2" customHeight="1">
      <c r="A869" s="3" t="s">
        <v>866</v>
      </c>
      <c r="B869" s="11">
        <v>0</v>
      </c>
    </row>
    <row r="870" spans="1:2" ht="13.2" customHeight="1">
      <c r="A870" s="4" t="s">
        <v>867</v>
      </c>
      <c r="B870" s="12"/>
    </row>
    <row r="871" spans="1:2" ht="13.2" customHeight="1">
      <c r="A871" s="3" t="s">
        <v>868</v>
      </c>
      <c r="B871" s="11"/>
    </row>
    <row r="872" spans="1:2" ht="13.2" customHeight="1">
      <c r="A872" s="4" t="s">
        <v>869</v>
      </c>
      <c r="B872" s="12"/>
    </row>
    <row r="873" spans="1:2" ht="13.2" customHeight="1">
      <c r="A873" s="3" t="s">
        <v>870</v>
      </c>
      <c r="B873" s="11"/>
    </row>
    <row r="874" spans="1:2" ht="13.2" customHeight="1">
      <c r="A874" s="4" t="s">
        <v>871</v>
      </c>
      <c r="B874" s="12">
        <f>+'DCA-Anexo I-AB'!B875+'DCA-Anexo I-AB'!B876+'DCA-Anexo I-AB'!B877+'DCA-Anexo I-AB'!B878+'DCA-Anexo I-AB'!B879</f>
        <v>0</v>
      </c>
    </row>
    <row r="875" spans="1:2" ht="13.2" customHeight="1">
      <c r="A875" s="3" t="s">
        <v>872</v>
      </c>
      <c r="B875" s="11">
        <v>0</v>
      </c>
    </row>
    <row r="876" spans="1:2" ht="13.2" customHeight="1">
      <c r="A876" s="4" t="s">
        <v>873</v>
      </c>
      <c r="B876" s="12"/>
    </row>
    <row r="877" spans="1:2" ht="26.4" customHeight="1">
      <c r="A877" s="3" t="s">
        <v>874</v>
      </c>
      <c r="B877" s="11"/>
    </row>
    <row r="878" spans="1:2" ht="26.4" customHeight="1">
      <c r="A878" s="4" t="s">
        <v>875</v>
      </c>
      <c r="B878" s="12"/>
    </row>
    <row r="879" spans="1:2" ht="26.4" customHeight="1">
      <c r="A879" s="3" t="s">
        <v>876</v>
      </c>
      <c r="B879" s="11"/>
    </row>
    <row r="880" spans="1:2" ht="13.2" customHeight="1">
      <c r="A880" s="4" t="s">
        <v>877</v>
      </c>
      <c r="B880" s="12">
        <f>+'DCA-Anexo I-AB'!B881+'DCA-Anexo I-AB'!B882+'DCA-Anexo I-AB'!B883+'DCA-Anexo I-AB'!B884+'DCA-Anexo I-AB'!B885</f>
        <v>0</v>
      </c>
    </row>
    <row r="881" spans="1:2" ht="13.2" customHeight="1">
      <c r="A881" s="3" t="s">
        <v>878</v>
      </c>
      <c r="B881" s="11">
        <v>0</v>
      </c>
    </row>
    <row r="882" spans="1:2" ht="13.2" customHeight="1">
      <c r="A882" s="4" t="s">
        <v>879</v>
      </c>
      <c r="B882" s="12"/>
    </row>
    <row r="883" spans="1:2" ht="26.4" customHeight="1">
      <c r="A883" s="3" t="s">
        <v>880</v>
      </c>
      <c r="B883" s="11"/>
    </row>
    <row r="884" spans="1:2" ht="26.4" customHeight="1">
      <c r="A884" s="4" t="s">
        <v>881</v>
      </c>
      <c r="B884" s="12"/>
    </row>
    <row r="885" spans="1:2" ht="26.4" customHeight="1">
      <c r="A885" s="3" t="s">
        <v>882</v>
      </c>
      <c r="B885" s="11"/>
    </row>
    <row r="886" spans="1:2" ht="13.2" customHeight="1">
      <c r="A886" s="4" t="s">
        <v>883</v>
      </c>
      <c r="B886" s="12">
        <f>+'DCA-Anexo I-AB'!B887+'DCA-Anexo I-AB'!B888+'DCA-Anexo I-AB'!B889+'DCA-Anexo I-AB'!B890+'DCA-Anexo I-AB'!B891</f>
        <v>0</v>
      </c>
    </row>
    <row r="887" spans="1:2" ht="26.4" customHeight="1">
      <c r="A887" s="3" t="s">
        <v>884</v>
      </c>
      <c r="B887" s="11">
        <v>0</v>
      </c>
    </row>
    <row r="888" spans="1:2" ht="13.2" customHeight="1">
      <c r="A888" s="4" t="s">
        <v>885</v>
      </c>
      <c r="B888" s="12"/>
    </row>
    <row r="889" spans="1:2" ht="26.4" customHeight="1">
      <c r="A889" s="3" t="s">
        <v>886</v>
      </c>
      <c r="B889" s="11"/>
    </row>
    <row r="890" spans="1:2" ht="26.4" customHeight="1">
      <c r="A890" s="4" t="s">
        <v>887</v>
      </c>
      <c r="B890" s="12"/>
    </row>
    <row r="891" spans="1:2" ht="26.4" customHeight="1">
      <c r="A891" s="3" t="s">
        <v>888</v>
      </c>
      <c r="B891" s="11"/>
    </row>
    <row r="892" spans="1:2" ht="13.2" customHeight="1">
      <c r="A892" s="4" t="s">
        <v>889</v>
      </c>
      <c r="B892" s="12">
        <f>+'DCA-Anexo I-AB'!B893+'DCA-Anexo I-AB'!B894+'DCA-Anexo I-AB'!B895+'DCA-Anexo I-AB'!B896+'DCA-Anexo I-AB'!B897</f>
        <v>0</v>
      </c>
    </row>
    <row r="893" spans="1:2" ht="13.2" customHeight="1">
      <c r="A893" s="3" t="s">
        <v>890</v>
      </c>
      <c r="B893" s="11">
        <v>0</v>
      </c>
    </row>
    <row r="894" spans="1:2" ht="13.2" customHeight="1">
      <c r="A894" s="4" t="s">
        <v>891</v>
      </c>
      <c r="B894" s="12"/>
    </row>
    <row r="895" spans="1:2" ht="13.2" customHeight="1">
      <c r="A895" s="3" t="s">
        <v>892</v>
      </c>
      <c r="B895" s="11"/>
    </row>
    <row r="896" spans="1:2" ht="13.2" customHeight="1">
      <c r="A896" s="4" t="s">
        <v>893</v>
      </c>
      <c r="B896" s="12"/>
    </row>
    <row r="897" spans="1:2" ht="13.2" customHeight="1">
      <c r="A897" s="3" t="s">
        <v>894</v>
      </c>
      <c r="B897" s="11"/>
    </row>
    <row r="898" spans="1:2" ht="13.2" customHeight="1">
      <c r="A898" s="4" t="s">
        <v>895</v>
      </c>
      <c r="B898" s="12">
        <f>+'DCA-Anexo I-AB'!B899+'DCA-Anexo I-AB'!B905</f>
        <v>0</v>
      </c>
    </row>
    <row r="899" spans="1:2" ht="13.2" customHeight="1">
      <c r="A899" s="3" t="s">
        <v>896</v>
      </c>
      <c r="B899" s="11">
        <f>+'DCA-Anexo I-AB'!B900+'DCA-Anexo I-AB'!B901+'DCA-Anexo I-AB'!B902+'DCA-Anexo I-AB'!B903+'DCA-Anexo I-AB'!B904</f>
        <v>0</v>
      </c>
    </row>
    <row r="900" spans="1:2" ht="26.4" customHeight="1">
      <c r="A900" s="4" t="s">
        <v>897</v>
      </c>
      <c r="B900" s="12">
        <v>0</v>
      </c>
    </row>
    <row r="901" spans="1:2" ht="26.4" customHeight="1">
      <c r="A901" s="3" t="s">
        <v>898</v>
      </c>
      <c r="B901" s="11"/>
    </row>
    <row r="902" spans="1:2" ht="26.4" customHeight="1">
      <c r="A902" s="4" t="s">
        <v>899</v>
      </c>
      <c r="B902" s="12"/>
    </row>
    <row r="903" spans="1:2" ht="26.4" customHeight="1">
      <c r="A903" s="3" t="s">
        <v>900</v>
      </c>
      <c r="B903" s="11"/>
    </row>
    <row r="904" spans="1:2" ht="26.4" customHeight="1">
      <c r="A904" s="4" t="s">
        <v>901</v>
      </c>
      <c r="B904" s="12"/>
    </row>
    <row r="905" spans="1:2" ht="13.2" customHeight="1">
      <c r="A905" s="3" t="s">
        <v>902</v>
      </c>
      <c r="B905" s="11">
        <f>+'DCA-Anexo I-AB'!B906+'DCA-Anexo I-AB'!B907+'DCA-Anexo I-AB'!B908+'DCA-Anexo I-AB'!B909+'DCA-Anexo I-AB'!B910</f>
        <v>0</v>
      </c>
    </row>
    <row r="906" spans="1:2" ht="26.4" customHeight="1">
      <c r="A906" s="4" t="s">
        <v>903</v>
      </c>
      <c r="B906" s="12"/>
    </row>
    <row r="907" spans="1:2" ht="26.4" customHeight="1">
      <c r="A907" s="3" t="s">
        <v>904</v>
      </c>
      <c r="B907" s="11"/>
    </row>
    <row r="908" spans="1:2" ht="26.4" customHeight="1">
      <c r="A908" s="4" t="s">
        <v>905</v>
      </c>
      <c r="B908" s="12"/>
    </row>
    <row r="909" spans="1:2" ht="26.4" customHeight="1">
      <c r="A909" s="3" t="s">
        <v>906</v>
      </c>
      <c r="B909" s="11"/>
    </row>
    <row r="910" spans="1:2" ht="26.4" customHeight="1">
      <c r="A910" s="4" t="s">
        <v>907</v>
      </c>
      <c r="B910" s="12"/>
    </row>
    <row r="911" spans="1:2" ht="13.2" customHeight="1">
      <c r="A911" s="3" t="s">
        <v>908</v>
      </c>
      <c r="B911" s="11">
        <f>+'DCA-Anexo I-AB'!B912+'DCA-Anexo I-AB'!B918+'DCA-Anexo I-AB'!B924+'DCA-Anexo I-AB'!B930+'DCA-Anexo I-AB'!B936+'DCA-Anexo I-AB'!B942+'DCA-Anexo I-AB'!B948+'DCA-Anexo I-AB'!B960+'DCA-Anexo I-AB'!B954</f>
        <v>0</v>
      </c>
    </row>
    <row r="912" spans="1:2" ht="13.2" customHeight="1">
      <c r="A912" s="4" t="s">
        <v>909</v>
      </c>
      <c r="B912" s="12">
        <f>+'DCA-Anexo I-AB'!B913+'DCA-Anexo I-AB'!B914+'DCA-Anexo I-AB'!B915+'DCA-Anexo I-AB'!B916+'DCA-Anexo I-AB'!B917</f>
        <v>0</v>
      </c>
    </row>
    <row r="913" spans="1:2" ht="13.2" customHeight="1">
      <c r="A913" s="3" t="s">
        <v>910</v>
      </c>
      <c r="B913" s="11">
        <v>0</v>
      </c>
    </row>
    <row r="914" spans="1:2" ht="13.2" customHeight="1">
      <c r="A914" s="4" t="s">
        <v>911</v>
      </c>
      <c r="B914" s="12"/>
    </row>
    <row r="915" spans="1:2" ht="13.2" customHeight="1">
      <c r="A915" s="3" t="s">
        <v>912</v>
      </c>
      <c r="B915" s="11"/>
    </row>
    <row r="916" spans="1:2" ht="13.2" customHeight="1">
      <c r="A916" s="4" t="s">
        <v>913</v>
      </c>
      <c r="B916" s="12"/>
    </row>
    <row r="917" spans="1:2" ht="13.2" customHeight="1">
      <c r="A917" s="3" t="s">
        <v>914</v>
      </c>
      <c r="B917" s="11"/>
    </row>
    <row r="918" spans="1:2" ht="13.2" customHeight="1">
      <c r="A918" s="4" t="s">
        <v>915</v>
      </c>
      <c r="B918" s="12">
        <f>+'DCA-Anexo I-AB'!B919+'DCA-Anexo I-AB'!B920+'DCA-Anexo I-AB'!B921+'DCA-Anexo I-AB'!B922+'DCA-Anexo I-AB'!B923</f>
        <v>0</v>
      </c>
    </row>
    <row r="919" spans="1:2" ht="13.2" customHeight="1">
      <c r="A919" s="3" t="s">
        <v>916</v>
      </c>
      <c r="B919" s="11">
        <v>0</v>
      </c>
    </row>
    <row r="920" spans="1:2" ht="13.2" customHeight="1">
      <c r="A920" s="4" t="s">
        <v>917</v>
      </c>
      <c r="B920" s="12"/>
    </row>
    <row r="921" spans="1:2" ht="13.2" customHeight="1">
      <c r="A921" s="3" t="s">
        <v>918</v>
      </c>
      <c r="B921" s="11"/>
    </row>
    <row r="922" spans="1:2" ht="13.2" customHeight="1">
      <c r="A922" s="4" t="s">
        <v>919</v>
      </c>
      <c r="B922" s="12"/>
    </row>
    <row r="923" spans="1:2" ht="13.2" customHeight="1">
      <c r="A923" s="3" t="s">
        <v>920</v>
      </c>
      <c r="B923" s="11"/>
    </row>
    <row r="924" spans="1:2" ht="13.2" customHeight="1">
      <c r="A924" s="4" t="s">
        <v>921</v>
      </c>
      <c r="B924" s="12">
        <f>+'DCA-Anexo I-AB'!B925+'DCA-Anexo I-AB'!B926+'DCA-Anexo I-AB'!B927+'DCA-Anexo I-AB'!B928+'DCA-Anexo I-AB'!B929</f>
        <v>0</v>
      </c>
    </row>
    <row r="925" spans="1:2" ht="13.2" customHeight="1">
      <c r="A925" s="3" t="s">
        <v>922</v>
      </c>
      <c r="B925" s="11">
        <v>0</v>
      </c>
    </row>
    <row r="926" spans="1:2" ht="13.2" customHeight="1">
      <c r="A926" s="4" t="s">
        <v>923</v>
      </c>
      <c r="B926" s="12"/>
    </row>
    <row r="927" spans="1:2" ht="13.2" customHeight="1">
      <c r="A927" s="3" t="s">
        <v>924</v>
      </c>
      <c r="B927" s="11"/>
    </row>
    <row r="928" spans="1:2" ht="13.2" customHeight="1">
      <c r="A928" s="4" t="s">
        <v>925</v>
      </c>
      <c r="B928" s="12"/>
    </row>
    <row r="929" spans="1:2" ht="13.2" customHeight="1">
      <c r="A929" s="3" t="s">
        <v>926</v>
      </c>
      <c r="B929" s="11"/>
    </row>
    <row r="930" spans="1:2" ht="13.2" customHeight="1">
      <c r="A930" s="4" t="s">
        <v>927</v>
      </c>
      <c r="B930" s="12">
        <f>+'DCA-Anexo I-AB'!B931+'DCA-Anexo I-AB'!B932+'DCA-Anexo I-AB'!B933+'DCA-Anexo I-AB'!B934+'DCA-Anexo I-AB'!B935</f>
        <v>0</v>
      </c>
    </row>
    <row r="931" spans="1:2" ht="13.2" customHeight="1">
      <c r="A931" s="3" t="s">
        <v>928</v>
      </c>
      <c r="B931" s="11">
        <v>0</v>
      </c>
    </row>
    <row r="932" spans="1:2" ht="13.2" customHeight="1">
      <c r="A932" s="4" t="s">
        <v>929</v>
      </c>
      <c r="B932" s="12"/>
    </row>
    <row r="933" spans="1:2" ht="13.2" customHeight="1">
      <c r="A933" s="3" t="s">
        <v>930</v>
      </c>
      <c r="B933" s="11"/>
    </row>
    <row r="934" spans="1:2" ht="13.2" customHeight="1">
      <c r="A934" s="4" t="s">
        <v>931</v>
      </c>
      <c r="B934" s="12"/>
    </row>
    <row r="935" spans="1:2" ht="26.4" customHeight="1">
      <c r="A935" s="3" t="s">
        <v>932</v>
      </c>
      <c r="B935" s="11"/>
    </row>
    <row r="936" spans="1:2" ht="13.2" customHeight="1">
      <c r="A936" s="4" t="s">
        <v>933</v>
      </c>
      <c r="B936" s="12">
        <f>+'DCA-Anexo I-AB'!B937+'DCA-Anexo I-AB'!B938+'DCA-Anexo I-AB'!B939+'DCA-Anexo I-AB'!B940+'DCA-Anexo I-AB'!B941</f>
        <v>0</v>
      </c>
    </row>
    <row r="937" spans="1:2" ht="13.2" customHeight="1">
      <c r="A937" s="3" t="s">
        <v>934</v>
      </c>
      <c r="B937" s="11">
        <v>0</v>
      </c>
    </row>
    <row r="938" spans="1:2" ht="13.2" customHeight="1">
      <c r="A938" s="4" t="s">
        <v>935</v>
      </c>
      <c r="B938" s="12"/>
    </row>
    <row r="939" spans="1:2" ht="26.4" customHeight="1">
      <c r="A939" s="3" t="s">
        <v>936</v>
      </c>
      <c r="B939" s="11"/>
    </row>
    <row r="940" spans="1:2" ht="26.4" customHeight="1">
      <c r="A940" s="4" t="s">
        <v>937</v>
      </c>
      <c r="B940" s="12"/>
    </row>
    <row r="941" spans="1:2" ht="26.4" customHeight="1">
      <c r="A941" s="3" t="s">
        <v>938</v>
      </c>
      <c r="B941" s="11"/>
    </row>
    <row r="942" spans="1:2" ht="13.2" customHeight="1">
      <c r="A942" s="4" t="s">
        <v>939</v>
      </c>
      <c r="B942" s="12">
        <f>+'DCA-Anexo I-AB'!B943+'DCA-Anexo I-AB'!B944+'DCA-Anexo I-AB'!B945+'DCA-Anexo I-AB'!B946+'DCA-Anexo I-AB'!B947</f>
        <v>0</v>
      </c>
    </row>
    <row r="943" spans="1:2" ht="13.2" customHeight="1">
      <c r="A943" s="3" t="s">
        <v>940</v>
      </c>
      <c r="B943" s="11">
        <v>0</v>
      </c>
    </row>
    <row r="944" spans="1:2" ht="13.2" customHeight="1">
      <c r="A944" s="4" t="s">
        <v>941</v>
      </c>
      <c r="B944" s="12"/>
    </row>
    <row r="945" spans="1:2" ht="13.2" customHeight="1">
      <c r="A945" s="3" t="s">
        <v>942</v>
      </c>
      <c r="B945" s="11"/>
    </row>
    <row r="946" spans="1:2" ht="13.2" customHeight="1">
      <c r="A946" s="4" t="s">
        <v>943</v>
      </c>
      <c r="B946" s="12"/>
    </row>
    <row r="947" spans="1:2" ht="13.2" customHeight="1">
      <c r="A947" s="3" t="s">
        <v>944</v>
      </c>
      <c r="B947" s="11"/>
    </row>
    <row r="948" spans="1:2" ht="26.4" customHeight="1">
      <c r="A948" s="4" t="s">
        <v>945</v>
      </c>
      <c r="B948" s="12">
        <f>+'DCA-Anexo I-AB'!B949+'DCA-Anexo I-AB'!B950+'DCA-Anexo I-AB'!B951+'DCA-Anexo I-AB'!B952+'DCA-Anexo I-AB'!B953</f>
        <v>0</v>
      </c>
    </row>
    <row r="949" spans="1:2" ht="26.4" customHeight="1">
      <c r="A949" s="3" t="s">
        <v>946</v>
      </c>
      <c r="B949" s="11">
        <v>0</v>
      </c>
    </row>
    <row r="950" spans="1:2" ht="26.4" customHeight="1">
      <c r="A950" s="4" t="s">
        <v>947</v>
      </c>
      <c r="B950" s="12"/>
    </row>
    <row r="951" spans="1:2" ht="26.4" customHeight="1">
      <c r="A951" s="3" t="s">
        <v>948</v>
      </c>
      <c r="B951" s="11"/>
    </row>
    <row r="952" spans="1:2" ht="26.4" customHeight="1">
      <c r="A952" s="4" t="s">
        <v>949</v>
      </c>
      <c r="B952" s="12"/>
    </row>
    <row r="953" spans="1:2" ht="26.4" customHeight="1">
      <c r="A953" s="3" t="s">
        <v>950</v>
      </c>
      <c r="B953" s="11"/>
    </row>
    <row r="954" spans="1:2" ht="26.4" customHeight="1">
      <c r="A954" s="4" t="s">
        <v>951</v>
      </c>
      <c r="B954" s="12">
        <f>+'DCA-Anexo I-AB'!B955+'DCA-Anexo I-AB'!B956+'DCA-Anexo I-AB'!B958+'DCA-Anexo I-AB'!B957+'DCA-Anexo I-AB'!B959</f>
        <v>0</v>
      </c>
    </row>
    <row r="955" spans="1:2" ht="26.4" customHeight="1">
      <c r="A955" s="3" t="s">
        <v>952</v>
      </c>
      <c r="B955" s="11">
        <v>0</v>
      </c>
    </row>
    <row r="956" spans="1:2" ht="26.4" customHeight="1">
      <c r="A956" s="4" t="s">
        <v>953</v>
      </c>
      <c r="B956" s="12"/>
    </row>
    <row r="957" spans="1:2" ht="26.4" customHeight="1">
      <c r="A957" s="3" t="s">
        <v>954</v>
      </c>
      <c r="B957" s="11"/>
    </row>
    <row r="958" spans="1:2" ht="26.4" customHeight="1">
      <c r="A958" s="4" t="s">
        <v>955</v>
      </c>
      <c r="B958" s="12"/>
    </row>
    <row r="959" spans="1:2" ht="26.4" customHeight="1">
      <c r="A959" s="3" t="s">
        <v>956</v>
      </c>
      <c r="B959" s="11"/>
    </row>
    <row r="960" spans="1:2" ht="13.2" customHeight="1">
      <c r="A960" s="4" t="s">
        <v>957</v>
      </c>
      <c r="B960" s="12">
        <f>+'DCA-Anexo I-AB'!B961+'DCA-Anexo I-AB'!B962+'DCA-Anexo I-AB'!B963+'DCA-Anexo I-AB'!B964+'DCA-Anexo I-AB'!B965</f>
        <v>0</v>
      </c>
    </row>
    <row r="961" spans="1:2" ht="13.2" customHeight="1">
      <c r="A961" s="3" t="s">
        <v>958</v>
      </c>
      <c r="B961" s="11">
        <v>0</v>
      </c>
    </row>
    <row r="962" spans="1:2" ht="13.2" customHeight="1">
      <c r="A962" s="4" t="s">
        <v>959</v>
      </c>
      <c r="B962" s="12"/>
    </row>
    <row r="963" spans="1:2" ht="13.2" customHeight="1">
      <c r="A963" s="3" t="s">
        <v>960</v>
      </c>
      <c r="B963" s="11"/>
    </row>
    <row r="964" spans="1:2" ht="13.2" customHeight="1">
      <c r="A964" s="4" t="s">
        <v>961</v>
      </c>
      <c r="B964" s="12"/>
    </row>
    <row r="965" spans="1:2" ht="13.2" customHeight="1">
      <c r="A965" s="3" t="s">
        <v>962</v>
      </c>
      <c r="B965" s="11"/>
    </row>
    <row r="966" spans="1:2" ht="13.2" customHeight="1">
      <c r="A966" s="4" t="s">
        <v>963</v>
      </c>
      <c r="B966" s="12">
        <f>+'DCA-Anexo I-AB'!B967+'DCA-Anexo I-AB'!B975+'DCA-Anexo I-AB'!B973</f>
        <v>0</v>
      </c>
    </row>
    <row r="967" spans="1:2" ht="13.2" customHeight="1">
      <c r="A967" s="3" t="s">
        <v>964</v>
      </c>
      <c r="B967" s="11">
        <f>+'DCA-Anexo I-AB'!B968+'DCA-Anexo I-AB'!B969+'DCA-Anexo I-AB'!B970+'DCA-Anexo I-AB'!B971+'DCA-Anexo I-AB'!B972</f>
        <v>0</v>
      </c>
    </row>
    <row r="968" spans="1:2" ht="13.2" customHeight="1">
      <c r="A968" s="4" t="s">
        <v>965</v>
      </c>
      <c r="B968" s="12">
        <v>0</v>
      </c>
    </row>
    <row r="969" spans="1:2" ht="13.2" customHeight="1">
      <c r="A969" s="3" t="s">
        <v>966</v>
      </c>
      <c r="B969" s="11"/>
    </row>
    <row r="970" spans="1:2" ht="13.2" customHeight="1">
      <c r="A970" s="4" t="s">
        <v>967</v>
      </c>
      <c r="B970" s="12"/>
    </row>
    <row r="971" spans="1:2" ht="13.2" customHeight="1">
      <c r="A971" s="3" t="s">
        <v>968</v>
      </c>
      <c r="B971" s="11"/>
    </row>
    <row r="972" spans="1:2" ht="13.2" customHeight="1">
      <c r="A972" s="4" t="s">
        <v>969</v>
      </c>
      <c r="B972" s="12"/>
    </row>
    <row r="973" spans="1:2" ht="13.2" customHeight="1">
      <c r="A973" s="3" t="s">
        <v>970</v>
      </c>
      <c r="B973" s="11">
        <f>+'DCA-Anexo I-AB'!B974</f>
        <v>0</v>
      </c>
    </row>
    <row r="974" spans="1:2" ht="13.2" customHeight="1">
      <c r="A974" s="4" t="s">
        <v>971</v>
      </c>
      <c r="B974" s="12"/>
    </row>
    <row r="975" spans="1:2" ht="13.2" customHeight="1">
      <c r="A975" s="3" t="s">
        <v>972</v>
      </c>
      <c r="B975" s="11">
        <f>+'DCA-Anexo I-AB'!B976+'DCA-Anexo I-AB'!B977+'DCA-Anexo I-AB'!B978+'DCA-Anexo I-AB'!B979+'DCA-Anexo I-AB'!B980</f>
        <v>0</v>
      </c>
    </row>
    <row r="976" spans="1:2" ht="13.2" customHeight="1">
      <c r="A976" s="4" t="s">
        <v>973</v>
      </c>
      <c r="B976" s="12">
        <v>0</v>
      </c>
    </row>
    <row r="977" spans="1:2" ht="13.2" customHeight="1">
      <c r="A977" s="3" t="s">
        <v>974</v>
      </c>
      <c r="B977" s="11"/>
    </row>
    <row r="978" spans="1:2" ht="13.2" customHeight="1">
      <c r="A978" s="4" t="s">
        <v>975</v>
      </c>
      <c r="B978" s="12"/>
    </row>
    <row r="979" spans="1:2" ht="13.2" customHeight="1">
      <c r="A979" s="3" t="s">
        <v>976</v>
      </c>
      <c r="B979" s="11"/>
    </row>
    <row r="980" spans="1:2" ht="13.2" customHeight="1">
      <c r="A980" s="4" t="s">
        <v>977</v>
      </c>
      <c r="B980" s="12"/>
    </row>
    <row r="981" spans="1:2" ht="13.2" customHeight="1">
      <c r="A981" s="3" t="s">
        <v>978</v>
      </c>
      <c r="B981" s="11">
        <f>+'DCA-Anexo I-AB'!B982+'DCA-Anexo I-AB'!B1008</f>
        <v>5667763.4500000002</v>
      </c>
    </row>
    <row r="982" spans="1:2" ht="13.2" customHeight="1">
      <c r="A982" s="4" t="s">
        <v>979</v>
      </c>
      <c r="B982" s="12">
        <f>+'DCA-Anexo I-AB'!B983+'DCA-Anexo I-AB'!B988+'DCA-Anexo I-AB'!B993+'DCA-Anexo I-AB'!B998+'DCA-Anexo I-AB'!B1003</f>
        <v>5667763.4500000002</v>
      </c>
    </row>
    <row r="983" spans="1:2" ht="13.2" customHeight="1">
      <c r="A983" s="3" t="s">
        <v>980</v>
      </c>
      <c r="B983" s="11">
        <f>+'DCA-Anexo I-AB'!B984+'DCA-Anexo I-AB'!B985+'DCA-Anexo I-AB'!B986+'DCA-Anexo I-AB'!B987</f>
        <v>5667763.4500000002</v>
      </c>
    </row>
    <row r="984" spans="1:2" ht="13.2" customHeight="1">
      <c r="A984" s="4" t="s">
        <v>981</v>
      </c>
      <c r="B984" s="12">
        <v>-2049834.66</v>
      </c>
    </row>
    <row r="985" spans="1:2" ht="13.2" customHeight="1">
      <c r="A985" s="3" t="s">
        <v>982</v>
      </c>
      <c r="B985" s="11">
        <v>7717598.1100000003</v>
      </c>
    </row>
    <row r="986" spans="1:2" ht="13.2" customHeight="1">
      <c r="A986" s="4" t="s">
        <v>983</v>
      </c>
      <c r="B986" s="12"/>
    </row>
    <row r="987" spans="1:2" ht="26.4" customHeight="1">
      <c r="A987" s="3" t="s">
        <v>984</v>
      </c>
      <c r="B987" s="11"/>
    </row>
    <row r="988" spans="1:2" ht="13.2" customHeight="1">
      <c r="A988" s="4" t="s">
        <v>985</v>
      </c>
      <c r="B988" s="12">
        <f>+'DCA-Anexo I-AB'!B989+'DCA-Anexo I-AB'!B990+'DCA-Anexo I-AB'!B991+'DCA-Anexo I-AB'!B992</f>
        <v>0</v>
      </c>
    </row>
    <row r="989" spans="1:2" ht="13.2" customHeight="1">
      <c r="A989" s="3" t="s">
        <v>986</v>
      </c>
      <c r="B989" s="11"/>
    </row>
    <row r="990" spans="1:2" ht="13.2" customHeight="1">
      <c r="A990" s="4" t="s">
        <v>987</v>
      </c>
      <c r="B990" s="12"/>
    </row>
    <row r="991" spans="1:2" ht="13.2" customHeight="1">
      <c r="A991" s="3" t="s">
        <v>988</v>
      </c>
      <c r="B991" s="11"/>
    </row>
    <row r="992" spans="1:2" ht="26.4" customHeight="1">
      <c r="A992" s="4" t="s">
        <v>989</v>
      </c>
      <c r="B992" s="12"/>
    </row>
    <row r="993" spans="1:2" ht="26.4" customHeight="1">
      <c r="A993" s="3" t="s">
        <v>990</v>
      </c>
      <c r="B993" s="11">
        <f>+'DCA-Anexo I-AB'!B994+'DCA-Anexo I-AB'!B995+'DCA-Anexo I-AB'!B996+'DCA-Anexo I-AB'!B997</f>
        <v>0</v>
      </c>
    </row>
    <row r="994" spans="1:2" ht="13.2" customHeight="1">
      <c r="A994" s="4" t="s">
        <v>991</v>
      </c>
      <c r="B994" s="12"/>
    </row>
    <row r="995" spans="1:2" ht="13.2" customHeight="1">
      <c r="A995" s="3" t="s">
        <v>992</v>
      </c>
      <c r="B995" s="11"/>
    </row>
    <row r="996" spans="1:2" ht="13.2" customHeight="1">
      <c r="A996" s="4" t="s">
        <v>993</v>
      </c>
      <c r="B996" s="12"/>
    </row>
    <row r="997" spans="1:2" ht="26.4" customHeight="1">
      <c r="A997" s="3" t="s">
        <v>994</v>
      </c>
      <c r="B997" s="11"/>
    </row>
    <row r="998" spans="1:2" ht="26.4" customHeight="1">
      <c r="A998" s="4" t="s">
        <v>995</v>
      </c>
      <c r="B998" s="12">
        <f>+'DCA-Anexo I-AB'!B999+'DCA-Anexo I-AB'!B1000+'DCA-Anexo I-AB'!B1001+'DCA-Anexo I-AB'!B1002</f>
        <v>0</v>
      </c>
    </row>
    <row r="999" spans="1:2" ht="13.2" customHeight="1">
      <c r="A999" s="3" t="s">
        <v>996</v>
      </c>
      <c r="B999" s="11"/>
    </row>
    <row r="1000" spans="1:2" ht="13.2" customHeight="1">
      <c r="A1000" s="4" t="s">
        <v>997</v>
      </c>
      <c r="B1000" s="12"/>
    </row>
    <row r="1001" spans="1:2" ht="13.2" customHeight="1">
      <c r="A1001" s="3" t="s">
        <v>998</v>
      </c>
      <c r="B1001" s="11"/>
    </row>
    <row r="1002" spans="1:2" ht="26.4" customHeight="1">
      <c r="A1002" s="4" t="s">
        <v>999</v>
      </c>
      <c r="B1002" s="12"/>
    </row>
    <row r="1003" spans="1:2" ht="26.4" customHeight="1">
      <c r="A1003" s="3" t="s">
        <v>1000</v>
      </c>
      <c r="B1003" s="11">
        <f>+'DCA-Anexo I-AB'!B1004+'DCA-Anexo I-AB'!B1005+'DCA-Anexo I-AB'!B1006+'DCA-Anexo I-AB'!B1007</f>
        <v>0</v>
      </c>
    </row>
    <row r="1004" spans="1:2" ht="13.2" customHeight="1">
      <c r="A1004" s="4" t="s">
        <v>1001</v>
      </c>
      <c r="B1004" s="12"/>
    </row>
    <row r="1005" spans="1:2" ht="13.2" customHeight="1">
      <c r="A1005" s="3" t="s">
        <v>1002</v>
      </c>
      <c r="B1005" s="11"/>
    </row>
    <row r="1006" spans="1:2" ht="13.2" customHeight="1">
      <c r="A1006" s="4" t="s">
        <v>1003</v>
      </c>
      <c r="B1006" s="12"/>
    </row>
    <row r="1007" spans="1:2" ht="26.4" customHeight="1">
      <c r="A1007" s="3" t="s">
        <v>1004</v>
      </c>
      <c r="B1007" s="11"/>
    </row>
    <row r="1008" spans="1:2" ht="13.2" customHeight="1">
      <c r="A1008" s="4" t="s">
        <v>1005</v>
      </c>
      <c r="B1008" s="12">
        <f>+'DCA-Anexo I-AB'!B1009+'DCA-Anexo I-AB'!B1016+'DCA-Anexo I-AB'!B1023+'DCA-Anexo I-AB'!B1030+'DCA-Anexo I-AB'!B1037</f>
        <v>0</v>
      </c>
    </row>
    <row r="1009" spans="1:2" ht="13.2" customHeight="1">
      <c r="A1009" s="3" t="s">
        <v>1006</v>
      </c>
      <c r="B1009" s="11">
        <f>+'DCA-Anexo I-AB'!B1010+'DCA-Anexo I-AB'!B1011+'DCA-Anexo I-AB'!B1012+'DCA-Anexo I-AB'!B1013+'DCA-Anexo I-AB'!B1014+'DCA-Anexo I-AB'!B1015</f>
        <v>0</v>
      </c>
    </row>
    <row r="1010" spans="1:2" ht="13.2" customHeight="1">
      <c r="A1010" s="4" t="s">
        <v>1007</v>
      </c>
      <c r="B1010" s="12"/>
    </row>
    <row r="1011" spans="1:2" ht="26.4" customHeight="1">
      <c r="A1011" s="3" t="s">
        <v>1008</v>
      </c>
      <c r="B1011" s="11"/>
    </row>
    <row r="1012" spans="1:2" ht="13.2" customHeight="1">
      <c r="A1012" s="4" t="s">
        <v>1009</v>
      </c>
      <c r="B1012" s="12"/>
    </row>
    <row r="1013" spans="1:2" ht="13.2" customHeight="1">
      <c r="A1013" s="3" t="s">
        <v>1010</v>
      </c>
      <c r="B1013" s="11"/>
    </row>
    <row r="1014" spans="1:2" ht="13.2" customHeight="1">
      <c r="A1014" s="4" t="s">
        <v>1011</v>
      </c>
      <c r="B1014" s="12"/>
    </row>
    <row r="1015" spans="1:2" ht="13.2" customHeight="1">
      <c r="A1015" s="3" t="s">
        <v>1012</v>
      </c>
      <c r="B1015" s="11"/>
    </row>
    <row r="1016" spans="1:2" ht="13.2" customHeight="1">
      <c r="A1016" s="4" t="s">
        <v>1013</v>
      </c>
      <c r="B1016" s="12">
        <f>+'DCA-Anexo I-AB'!B1017+'DCA-Anexo I-AB'!B1018+'DCA-Anexo I-AB'!B1019+'DCA-Anexo I-AB'!B1020+'DCA-Anexo I-AB'!B1021+'DCA-Anexo I-AB'!B1022</f>
        <v>0</v>
      </c>
    </row>
    <row r="1017" spans="1:2" ht="13.2" customHeight="1">
      <c r="A1017" s="3" t="s">
        <v>1014</v>
      </c>
      <c r="B1017" s="11"/>
    </row>
    <row r="1018" spans="1:2" ht="26.4" customHeight="1">
      <c r="A1018" s="4" t="s">
        <v>1015</v>
      </c>
      <c r="B1018" s="12"/>
    </row>
    <row r="1019" spans="1:2" ht="13.2" customHeight="1">
      <c r="A1019" s="3" t="s">
        <v>1016</v>
      </c>
      <c r="B1019" s="11"/>
    </row>
    <row r="1020" spans="1:2" ht="13.2" customHeight="1">
      <c r="A1020" s="4" t="s">
        <v>1017</v>
      </c>
      <c r="B1020" s="12"/>
    </row>
    <row r="1021" spans="1:2" ht="13.2" customHeight="1">
      <c r="A1021" s="3" t="s">
        <v>1018</v>
      </c>
      <c r="B1021" s="11"/>
    </row>
    <row r="1022" spans="1:2" ht="13.2" customHeight="1">
      <c r="A1022" s="4" t="s">
        <v>1019</v>
      </c>
      <c r="B1022" s="12"/>
    </row>
    <row r="1023" spans="1:2" ht="13.2" customHeight="1">
      <c r="A1023" s="3" t="s">
        <v>1020</v>
      </c>
      <c r="B1023" s="11">
        <f>+'DCA-Anexo I-AB'!B1024+'DCA-Anexo I-AB'!B1025+'DCA-Anexo I-AB'!B1026+'DCA-Anexo I-AB'!B1027+'DCA-Anexo I-AB'!B1028+'DCA-Anexo I-AB'!B1029</f>
        <v>0</v>
      </c>
    </row>
    <row r="1024" spans="1:2" ht="13.2" customHeight="1">
      <c r="A1024" s="4" t="s">
        <v>1021</v>
      </c>
      <c r="B1024" s="12"/>
    </row>
    <row r="1025" spans="1:2" ht="26.4" customHeight="1">
      <c r="A1025" s="3" t="s">
        <v>1022</v>
      </c>
      <c r="B1025" s="11"/>
    </row>
    <row r="1026" spans="1:2" ht="13.2" customHeight="1">
      <c r="A1026" s="4" t="s">
        <v>1023</v>
      </c>
      <c r="B1026" s="12"/>
    </row>
    <row r="1027" spans="1:2" ht="13.2" customHeight="1">
      <c r="A1027" s="3" t="s">
        <v>1024</v>
      </c>
      <c r="B1027" s="11"/>
    </row>
    <row r="1028" spans="1:2" ht="13.2" customHeight="1">
      <c r="A1028" s="4" t="s">
        <v>1025</v>
      </c>
      <c r="B1028" s="12"/>
    </row>
    <row r="1029" spans="1:2" ht="13.2" customHeight="1">
      <c r="A1029" s="3" t="s">
        <v>1026</v>
      </c>
      <c r="B1029" s="11"/>
    </row>
    <row r="1030" spans="1:2" ht="13.2" customHeight="1">
      <c r="A1030" s="4" t="s">
        <v>1027</v>
      </c>
      <c r="B1030" s="12">
        <f>+'DCA-Anexo I-AB'!B1031+'DCA-Anexo I-AB'!B1032+'DCA-Anexo I-AB'!B1033+'DCA-Anexo I-AB'!B1034+'DCA-Anexo I-AB'!B1035+'DCA-Anexo I-AB'!B1036</f>
        <v>0</v>
      </c>
    </row>
    <row r="1031" spans="1:2" ht="13.2" customHeight="1">
      <c r="A1031" s="3" t="s">
        <v>1028</v>
      </c>
      <c r="B1031" s="11"/>
    </row>
    <row r="1032" spans="1:2" ht="26.4" customHeight="1">
      <c r="A1032" s="4" t="s">
        <v>1029</v>
      </c>
      <c r="B1032" s="12"/>
    </row>
    <row r="1033" spans="1:2" ht="13.2" customHeight="1">
      <c r="A1033" s="3" t="s">
        <v>1030</v>
      </c>
      <c r="B1033" s="11"/>
    </row>
    <row r="1034" spans="1:2" ht="13.2" customHeight="1">
      <c r="A1034" s="4" t="s">
        <v>1031</v>
      </c>
      <c r="B1034" s="12"/>
    </row>
    <row r="1035" spans="1:2" ht="13.2" customHeight="1">
      <c r="A1035" s="3" t="s">
        <v>1032</v>
      </c>
      <c r="B1035" s="11"/>
    </row>
    <row r="1036" spans="1:2" ht="13.2" customHeight="1">
      <c r="A1036" s="4" t="s">
        <v>1033</v>
      </c>
      <c r="B1036" s="12"/>
    </row>
    <row r="1037" spans="1:2" ht="26.4" customHeight="1">
      <c r="A1037" s="3" t="s">
        <v>1034</v>
      </c>
      <c r="B1037" s="11">
        <f>+'DCA-Anexo I-AB'!B1038+'DCA-Anexo I-AB'!B1039+'DCA-Anexo I-AB'!B1040+'DCA-Anexo I-AB'!B1041+'DCA-Anexo I-AB'!B1042+'DCA-Anexo I-AB'!B1043</f>
        <v>0</v>
      </c>
    </row>
    <row r="1038" spans="1:2" ht="13.2" customHeight="1">
      <c r="A1038" s="4" t="s">
        <v>1035</v>
      </c>
      <c r="B1038" s="12"/>
    </row>
    <row r="1039" spans="1:2" ht="26.4" customHeight="1">
      <c r="A1039" s="3" t="s">
        <v>1036</v>
      </c>
      <c r="B1039" s="11"/>
    </row>
    <row r="1040" spans="1:2" ht="13.2" customHeight="1">
      <c r="A1040" s="4" t="s">
        <v>1037</v>
      </c>
      <c r="B1040" s="12"/>
    </row>
    <row r="1041" spans="1:2" ht="13.2" customHeight="1">
      <c r="A1041" s="3" t="s">
        <v>1038</v>
      </c>
      <c r="B1041" s="11"/>
    </row>
    <row r="1042" spans="1:2" ht="13.2" customHeight="1">
      <c r="A1042" s="4" t="s">
        <v>1039</v>
      </c>
      <c r="B1042" s="12"/>
    </row>
    <row r="1043" spans="1:2" ht="13.2" customHeight="1">
      <c r="A1043" s="3" t="s">
        <v>1040</v>
      </c>
      <c r="B1043" s="11"/>
    </row>
    <row r="1044" spans="1:2" ht="13.2" customHeight="1">
      <c r="A1044" s="4" t="s">
        <v>1041</v>
      </c>
      <c r="B1044" s="12">
        <f>+'DCA-Anexo I-AB'!B1045+'DCA-Anexo I-AB'!B1051</f>
        <v>0</v>
      </c>
    </row>
    <row r="1045" spans="1:2" ht="13.2" customHeight="1">
      <c r="A1045" s="3" t="s">
        <v>1042</v>
      </c>
      <c r="B1045" s="11">
        <f>+'DCA-Anexo I-AB'!B1046+'DCA-Anexo I-AB'!B1047+'DCA-Anexo I-AB'!B1048+'DCA-Anexo I-AB'!B1049+'DCA-Anexo I-AB'!B1050</f>
        <v>0</v>
      </c>
    </row>
    <row r="1046" spans="1:2" ht="13.2" customHeight="1">
      <c r="A1046" s="4" t="s">
        <v>1043</v>
      </c>
      <c r="B1046" s="12"/>
    </row>
    <row r="1047" spans="1:2" ht="13.2" customHeight="1">
      <c r="A1047" s="3" t="s">
        <v>1044</v>
      </c>
      <c r="B1047" s="11"/>
    </row>
    <row r="1048" spans="1:2" ht="13.2" customHeight="1">
      <c r="A1048" s="4" t="s">
        <v>1045</v>
      </c>
      <c r="B1048" s="12"/>
    </row>
    <row r="1049" spans="1:2" ht="13.2" customHeight="1">
      <c r="A1049" s="3" t="s">
        <v>1046</v>
      </c>
      <c r="B1049" s="11"/>
    </row>
    <row r="1050" spans="1:2" ht="13.2" customHeight="1">
      <c r="A1050" s="4" t="s">
        <v>1047</v>
      </c>
      <c r="B1050" s="12"/>
    </row>
    <row r="1051" spans="1:2" ht="13.2" customHeight="1">
      <c r="A1051" s="3" t="s">
        <v>1048</v>
      </c>
      <c r="B1051" s="11">
        <f>+'DCA-Anexo I-AB'!B1052+'DCA-Anexo I-AB'!B1053+'DCA-Anexo I-AB'!B1054+'DCA-Anexo I-AB'!B1055+'DCA-Anexo I-AB'!B1056</f>
        <v>0</v>
      </c>
    </row>
    <row r="1052" spans="1:2" ht="13.2" customHeight="1">
      <c r="A1052" s="4" t="s">
        <v>1049</v>
      </c>
      <c r="B1052" s="12"/>
    </row>
    <row r="1053" spans="1:2" ht="13.2" customHeight="1">
      <c r="A1053" s="3" t="s">
        <v>1050</v>
      </c>
      <c r="B1053" s="11"/>
    </row>
    <row r="1054" spans="1:2" ht="13.2" customHeight="1">
      <c r="A1054" s="4" t="s">
        <v>1051</v>
      </c>
      <c r="B1054" s="12"/>
    </row>
    <row r="1055" spans="1:2" ht="13.2" customHeight="1">
      <c r="A1055" s="3" t="s">
        <v>1052</v>
      </c>
      <c r="B1055" s="11"/>
    </row>
    <row r="1056" spans="1:2" ht="13.2" customHeight="1">
      <c r="A1056" s="4" t="s">
        <v>1053</v>
      </c>
      <c r="B1056" s="12"/>
    </row>
    <row r="1057" spans="1:2" ht="13.2" customHeight="1">
      <c r="A1057" s="3" t="s">
        <v>1054</v>
      </c>
      <c r="B1057" s="5"/>
    </row>
    <row r="1058" spans="1:2" ht="13.2" customHeight="1">
      <c r="A1058" s="4" t="s">
        <v>1055</v>
      </c>
      <c r="B1058" s="6"/>
    </row>
    <row r="1059" spans="1:2" ht="13.2" customHeight="1">
      <c r="A1059" s="3" t="s">
        <v>1056</v>
      </c>
      <c r="B1059" s="11">
        <f>+'DCA-Anexo I-AB'!B1060+'DCA-Anexo I-AB'!B1061</f>
        <v>7883059.6399999997</v>
      </c>
    </row>
    <row r="1060" spans="1:2" ht="13.2" customHeight="1">
      <c r="A1060" s="4" t="s">
        <v>1057</v>
      </c>
      <c r="B1060" s="12">
        <v>7883059.6399999997</v>
      </c>
    </row>
    <row r="1061" spans="1:2" ht="13.2" customHeight="1">
      <c r="A1061" s="3" t="s">
        <v>1058</v>
      </c>
      <c r="B1061" s="11"/>
    </row>
    <row r="1062" spans="1:2" ht="13.2" customHeight="1">
      <c r="A1062" s="4" t="s">
        <v>1059</v>
      </c>
      <c r="B1062" s="12">
        <f>+'DCA-Anexo I-AB'!B1063+'DCA-Anexo I-AB'!B1064</f>
        <v>46148205.840000004</v>
      </c>
    </row>
    <row r="1063" spans="1:2" ht="13.2" customHeight="1">
      <c r="A1063" s="3" t="s">
        <v>1060</v>
      </c>
      <c r="B1063" s="11">
        <v>46148205.840000004</v>
      </c>
    </row>
    <row r="1064" spans="1:2" ht="13.2" customHeight="1">
      <c r="A1064" s="4" t="s">
        <v>1061</v>
      </c>
      <c r="B1064" s="12"/>
    </row>
    <row r="1065" spans="1:2" ht="13.2" customHeight="1">
      <c r="A1065" s="3" t="s">
        <v>1062</v>
      </c>
      <c r="B1065" s="11">
        <f>+'DCA-Anexo I-AB'!B1066+'DCA-Anexo I-AB'!B1067+'DCA-Anexo I-AB'!B1068+'DCA-Anexo I-AB'!B1069</f>
        <v>12442419.9</v>
      </c>
    </row>
    <row r="1066" spans="1:2" ht="13.2" customHeight="1">
      <c r="A1066" s="4" t="s">
        <v>1063</v>
      </c>
      <c r="B1066" s="12">
        <v>12442419.9</v>
      </c>
    </row>
    <row r="1067" spans="1:2" ht="13.2" customHeight="1">
      <c r="A1067" s="3" t="s">
        <v>1064</v>
      </c>
      <c r="B1067" s="11"/>
    </row>
    <row r="1068" spans="1:2" ht="13.2" customHeight="1">
      <c r="A1068" s="4" t="s">
        <v>1065</v>
      </c>
      <c r="B1068" s="12"/>
    </row>
    <row r="1069" spans="1:2" ht="13.2" customHeight="1">
      <c r="A1069" s="3" t="s">
        <v>1066</v>
      </c>
      <c r="B1069" s="11"/>
    </row>
    <row r="1070" spans="1:2" ht="13.2" customHeight="1">
      <c r="A1070" s="4" t="s">
        <v>1067</v>
      </c>
      <c r="B1070" s="12">
        <f>+'DCA-Anexo I-AB'!B1071+'DCA-Anexo I-AB'!B1072</f>
        <v>35983257.890000001</v>
      </c>
    </row>
    <row r="1071" spans="1:2" ht="13.2" customHeight="1">
      <c r="A1071" s="3" t="s">
        <v>1068</v>
      </c>
      <c r="B1071" s="11">
        <v>35983257.890000001</v>
      </c>
    </row>
    <row r="1072" spans="1:2" ht="13.2" customHeight="1">
      <c r="A1072" s="4" t="s">
        <v>1069</v>
      </c>
      <c r="B1072" s="12"/>
    </row>
    <row r="1073" spans="1:2" ht="13.2" customHeight="1">
      <c r="A1073" s="3" t="s">
        <v>1070</v>
      </c>
      <c r="B1073" s="11">
        <f>+'DCA-Anexo I-AB'!B1059+'DCA-Anexo I-AB'!B1062-'DCA-Anexo I-AB'!B1065-'DCA-Anexo I-AB'!B1070</f>
        <v>5605587.6900000051</v>
      </c>
    </row>
    <row r="1074" spans="1:2" ht="13.2" customHeight="1">
      <c r="A1074" s="4" t="s">
        <v>1071</v>
      </c>
      <c r="B1074" s="6"/>
    </row>
    <row r="1075" spans="1:2" ht="13.2" customHeight="1">
      <c r="A1075" s="3" t="s">
        <v>1072</v>
      </c>
      <c r="B1075" s="5"/>
    </row>
    <row r="1076" spans="1:2" ht="13.2" customHeight="1">
      <c r="A1076" s="4" t="s">
        <v>1073</v>
      </c>
      <c r="B1076" s="12">
        <f>+'DCA-Anexo I-AB'!B1077+'DCA-Anexo I-AB'!B1078+'DCA-Anexo I-AB'!B1079+'DCA-Anexo I-AB'!B1081+'DCA-Anexo I-AB'!B1080</f>
        <v>0</v>
      </c>
    </row>
    <row r="1077" spans="1:2" ht="13.2" customHeight="1">
      <c r="A1077" s="3" t="s">
        <v>1074</v>
      </c>
      <c r="B1077" s="11"/>
    </row>
    <row r="1078" spans="1:2" ht="13.2" customHeight="1">
      <c r="A1078" s="4" t="s">
        <v>1075</v>
      </c>
      <c r="B1078" s="12"/>
    </row>
    <row r="1079" spans="1:2" ht="13.2" customHeight="1">
      <c r="A1079" s="3" t="s">
        <v>1076</v>
      </c>
      <c r="B1079" s="11"/>
    </row>
    <row r="1080" spans="1:2" ht="13.2" customHeight="1">
      <c r="A1080" s="4" t="s">
        <v>1077</v>
      </c>
      <c r="B1080" s="12"/>
    </row>
    <row r="1081" spans="1:2" ht="13.2" customHeight="1">
      <c r="A1081" s="3" t="s">
        <v>1078</v>
      </c>
      <c r="B1081" s="11"/>
    </row>
    <row r="1082" spans="1:2" ht="13.2" customHeight="1">
      <c r="A1082" s="4" t="s">
        <v>1079</v>
      </c>
      <c r="B1082" s="12">
        <f>+'DCA-Anexo I-AB'!B1083+'DCA-Anexo I-AB'!B1084+'DCA-Anexo I-AB'!B1085+'DCA-Anexo I-AB'!B1087+'DCA-Anexo I-AB'!B1086</f>
        <v>0</v>
      </c>
    </row>
    <row r="1083" spans="1:2" ht="13.2" customHeight="1">
      <c r="A1083" s="3" t="s">
        <v>1080</v>
      </c>
      <c r="B1083" s="11"/>
    </row>
    <row r="1084" spans="1:2" ht="13.2" customHeight="1">
      <c r="A1084" s="4" t="s">
        <v>1081</v>
      </c>
      <c r="B1084" s="12"/>
    </row>
    <row r="1085" spans="1:2" ht="13.2" customHeight="1">
      <c r="A1085" s="3" t="s">
        <v>1082</v>
      </c>
      <c r="B1085" s="11"/>
    </row>
    <row r="1086" spans="1:2" ht="13.2" customHeight="1">
      <c r="A1086" s="4" t="s">
        <v>1077</v>
      </c>
      <c r="B1086" s="12"/>
    </row>
    <row r="1087" spans="1:2" ht="13.2" customHeight="1">
      <c r="A1087" s="3" t="s">
        <v>1083</v>
      </c>
      <c r="B1087" s="11"/>
    </row>
    <row r="1090" spans="1:2" ht="13.2" customHeight="1">
      <c r="A1090" s="7" t="s">
        <v>10</v>
      </c>
    </row>
    <row r="1091" spans="1:2" ht="13.2" customHeight="1">
      <c r="A1091" s="7" t="s">
        <v>1084</v>
      </c>
    </row>
    <row r="1092" spans="1:2" ht="13.2" customHeight="1">
      <c r="A1092" s="7" t="s">
        <v>12</v>
      </c>
    </row>
    <row r="1093" spans="1:2" ht="30" customHeight="1">
      <c r="A1093" s="21" t="s">
        <v>1085</v>
      </c>
      <c r="B1093" s="21" t="s">
        <v>14</v>
      </c>
    </row>
    <row r="1094" spans="1:2" ht="30" customHeight="1">
      <c r="A1094" s="22"/>
      <c r="B1094" s="21" t="s">
        <v>15</v>
      </c>
    </row>
    <row r="1095" spans="1:2" ht="13.2" customHeight="1">
      <c r="A1095" s="3" t="s">
        <v>1085</v>
      </c>
      <c r="B1095" s="5"/>
    </row>
    <row r="1096" spans="1:2" ht="300" customHeight="1">
      <c r="A1096" s="4" t="s">
        <v>1086</v>
      </c>
      <c r="B1096" s="13"/>
    </row>
  </sheetData>
  <sheetProtection password="9C88" sheet="1" objects="1" scenarios="1"/>
  <mergeCells count="6">
    <mergeCell ref="A17:A18"/>
    <mergeCell ref="B17"/>
    <mergeCell ref="B18"/>
    <mergeCell ref="A1093:A1094"/>
    <mergeCell ref="B1093"/>
    <mergeCell ref="B1094"/>
  </mergeCells>
  <pageMargins left="0.74791666666666667" right="0.74791666666666667" top="0.98402777777777783" bottom="0.98402777777777783" header="0.51181102362204722" footer="0.51181102362204722"/>
  <pageSetup paperSize="9" firstPageNumber="0" orientation="portrait" horizontalDpi="300" verticalDpi="300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42" r:id="rId4" name="Botao1">
              <controlPr defaultSize="0" print="0" autoFill="0" autoPict="0" macro="[0]!validar_formulas">
                <anchor moveWithCells="1" sizeWithCells="1">
                  <from>
                    <xdr:col>4</xdr:col>
                    <xdr:colOff>0</xdr:colOff>
                    <xdr:row>3</xdr:row>
                    <xdr:rowOff>0</xdr:rowOff>
                  </from>
                  <to>
                    <xdr:col>7</xdr:col>
                    <xdr:colOff>0</xdr:colOff>
                    <xdr:row>6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E257C-0BB9-471F-9D72-E8DE76E19FE4}">
  <sheetPr codeName="Plan2"/>
  <dimension ref="A1:A2455"/>
  <sheetViews>
    <sheetView workbookViewId="0"/>
  </sheetViews>
  <sheetFormatPr defaultRowHeight="13.2"/>
  <sheetData>
    <row r="1" spans="1:1">
      <c r="A1" t="s">
        <v>3958</v>
      </c>
    </row>
    <row r="2" spans="1:1">
      <c r="A2" t="s">
        <v>3959</v>
      </c>
    </row>
    <row r="3" spans="1:1">
      <c r="A3" t="s">
        <v>3960</v>
      </c>
    </row>
    <row r="4" spans="1:1">
      <c r="A4" t="s">
        <v>3961</v>
      </c>
    </row>
    <row r="5" spans="1:1">
      <c r="A5" t="s">
        <v>3962</v>
      </c>
    </row>
    <row r="6" spans="1:1">
      <c r="A6" t="s">
        <v>3963</v>
      </c>
    </row>
    <row r="7" spans="1:1">
      <c r="A7" t="s">
        <v>3964</v>
      </c>
    </row>
    <row r="8" spans="1:1">
      <c r="A8" t="s">
        <v>3965</v>
      </c>
    </row>
    <row r="9" spans="1:1">
      <c r="A9" t="s">
        <v>3966</v>
      </c>
    </row>
    <row r="10" spans="1:1">
      <c r="A10" t="s">
        <v>3967</v>
      </c>
    </row>
    <row r="11" spans="1:1">
      <c r="A11" t="s">
        <v>3968</v>
      </c>
    </row>
    <row r="12" spans="1:1">
      <c r="A12" t="s">
        <v>3969</v>
      </c>
    </row>
    <row r="13" spans="1:1">
      <c r="A13" t="s">
        <v>3970</v>
      </c>
    </row>
    <row r="14" spans="1:1">
      <c r="A14" t="s">
        <v>3971</v>
      </c>
    </row>
    <row r="15" spans="1:1">
      <c r="A15" t="s">
        <v>3972</v>
      </c>
    </row>
    <row r="16" spans="1:1">
      <c r="A16" t="s">
        <v>3973</v>
      </c>
    </row>
    <row r="17" spans="1:1">
      <c r="A17" t="s">
        <v>3974</v>
      </c>
    </row>
    <row r="18" spans="1:1">
      <c r="A18" t="s">
        <v>3975</v>
      </c>
    </row>
    <row r="19" spans="1:1">
      <c r="A19" t="s">
        <v>3976</v>
      </c>
    </row>
    <row r="20" spans="1:1">
      <c r="A20" t="s">
        <v>3977</v>
      </c>
    </row>
    <row r="21" spans="1:1">
      <c r="A21" t="s">
        <v>3978</v>
      </c>
    </row>
    <row r="22" spans="1:1">
      <c r="A22" t="s">
        <v>3979</v>
      </c>
    </row>
    <row r="23" spans="1:1">
      <c r="A23" t="s">
        <v>3980</v>
      </c>
    </row>
    <row r="24" spans="1:1">
      <c r="A24" t="s">
        <v>3981</v>
      </c>
    </row>
    <row r="25" spans="1:1">
      <c r="A25" t="s">
        <v>3982</v>
      </c>
    </row>
    <row r="26" spans="1:1">
      <c r="A26" t="s">
        <v>3983</v>
      </c>
    </row>
    <row r="27" spans="1:1">
      <c r="A27" t="s">
        <v>3984</v>
      </c>
    </row>
    <row r="28" spans="1:1">
      <c r="A28" t="s">
        <v>3985</v>
      </c>
    </row>
    <row r="29" spans="1:1">
      <c r="A29" t="s">
        <v>3986</v>
      </c>
    </row>
    <row r="30" spans="1:1">
      <c r="A30" t="s">
        <v>3987</v>
      </c>
    </row>
    <row r="31" spans="1:1">
      <c r="A31" t="s">
        <v>3988</v>
      </c>
    </row>
    <row r="32" spans="1:1">
      <c r="A32" t="s">
        <v>3989</v>
      </c>
    </row>
    <row r="33" spans="1:1">
      <c r="A33" t="s">
        <v>3990</v>
      </c>
    </row>
    <row r="34" spans="1:1">
      <c r="A34" t="s">
        <v>3991</v>
      </c>
    </row>
    <row r="35" spans="1:1">
      <c r="A35" t="s">
        <v>3992</v>
      </c>
    </row>
    <row r="36" spans="1:1">
      <c r="A36" t="s">
        <v>3993</v>
      </c>
    </row>
    <row r="37" spans="1:1">
      <c r="A37" t="s">
        <v>3994</v>
      </c>
    </row>
    <row r="38" spans="1:1">
      <c r="A38" t="s">
        <v>3995</v>
      </c>
    </row>
    <row r="39" spans="1:1">
      <c r="A39" t="s">
        <v>3996</v>
      </c>
    </row>
    <row r="40" spans="1:1">
      <c r="A40" t="s">
        <v>3997</v>
      </c>
    </row>
    <row r="41" spans="1:1">
      <c r="A41" t="s">
        <v>3998</v>
      </c>
    </row>
    <row r="42" spans="1:1">
      <c r="A42" t="s">
        <v>3999</v>
      </c>
    </row>
    <row r="43" spans="1:1">
      <c r="A43" t="s">
        <v>4000</v>
      </c>
    </row>
    <row r="44" spans="1:1">
      <c r="A44" t="s">
        <v>4001</v>
      </c>
    </row>
    <row r="45" spans="1:1">
      <c r="A45" t="s">
        <v>4002</v>
      </c>
    </row>
    <row r="46" spans="1:1">
      <c r="A46" t="s">
        <v>4003</v>
      </c>
    </row>
    <row r="47" spans="1:1">
      <c r="A47" t="s">
        <v>4004</v>
      </c>
    </row>
    <row r="48" spans="1:1">
      <c r="A48" t="s">
        <v>4005</v>
      </c>
    </row>
    <row r="49" spans="1:1">
      <c r="A49" t="s">
        <v>4006</v>
      </c>
    </row>
    <row r="50" spans="1:1">
      <c r="A50" t="s">
        <v>4007</v>
      </c>
    </row>
    <row r="51" spans="1:1">
      <c r="A51" t="s">
        <v>4008</v>
      </c>
    </row>
    <row r="52" spans="1:1">
      <c r="A52" t="s">
        <v>4009</v>
      </c>
    </row>
    <row r="53" spans="1:1">
      <c r="A53" t="s">
        <v>4010</v>
      </c>
    </row>
    <row r="54" spans="1:1">
      <c r="A54" t="s">
        <v>4011</v>
      </c>
    </row>
    <row r="55" spans="1:1">
      <c r="A55" t="s">
        <v>4012</v>
      </c>
    </row>
    <row r="56" spans="1:1">
      <c r="A56" t="s">
        <v>4013</v>
      </c>
    </row>
    <row r="57" spans="1:1">
      <c r="A57" t="s">
        <v>4014</v>
      </c>
    </row>
    <row r="58" spans="1:1">
      <c r="A58" t="s">
        <v>4015</v>
      </c>
    </row>
    <row r="59" spans="1:1">
      <c r="A59" t="s">
        <v>4016</v>
      </c>
    </row>
    <row r="60" spans="1:1">
      <c r="A60" t="s">
        <v>4017</v>
      </c>
    </row>
    <row r="61" spans="1:1">
      <c r="A61" t="s">
        <v>4018</v>
      </c>
    </row>
    <row r="62" spans="1:1">
      <c r="A62" t="s">
        <v>4019</v>
      </c>
    </row>
    <row r="63" spans="1:1">
      <c r="A63" t="s">
        <v>4020</v>
      </c>
    </row>
    <row r="64" spans="1:1">
      <c r="A64" t="s">
        <v>4021</v>
      </c>
    </row>
    <row r="65" spans="1:1">
      <c r="A65" t="s">
        <v>4022</v>
      </c>
    </row>
    <row r="66" spans="1:1">
      <c r="A66" t="s">
        <v>4023</v>
      </c>
    </row>
    <row r="67" spans="1:1">
      <c r="A67" t="s">
        <v>4024</v>
      </c>
    </row>
    <row r="68" spans="1:1">
      <c r="A68" t="s">
        <v>4025</v>
      </c>
    </row>
    <row r="69" spans="1:1">
      <c r="A69" t="s">
        <v>4026</v>
      </c>
    </row>
    <row r="70" spans="1:1">
      <c r="A70" t="s">
        <v>4027</v>
      </c>
    </row>
    <row r="71" spans="1:1">
      <c r="A71" t="s">
        <v>4028</v>
      </c>
    </row>
    <row r="72" spans="1:1">
      <c r="A72" t="s">
        <v>4029</v>
      </c>
    </row>
    <row r="73" spans="1:1">
      <c r="A73" t="s">
        <v>4030</v>
      </c>
    </row>
    <row r="74" spans="1:1">
      <c r="A74" t="s">
        <v>4031</v>
      </c>
    </row>
    <row r="75" spans="1:1">
      <c r="A75" t="s">
        <v>4032</v>
      </c>
    </row>
    <row r="76" spans="1:1">
      <c r="A76" t="s">
        <v>4033</v>
      </c>
    </row>
    <row r="77" spans="1:1">
      <c r="A77" t="s">
        <v>4034</v>
      </c>
    </row>
    <row r="78" spans="1:1">
      <c r="A78" t="s">
        <v>4035</v>
      </c>
    </row>
    <row r="79" spans="1:1">
      <c r="A79" t="s">
        <v>4036</v>
      </c>
    </row>
    <row r="80" spans="1:1">
      <c r="A80" t="s">
        <v>4037</v>
      </c>
    </row>
    <row r="81" spans="1:1">
      <c r="A81" t="s">
        <v>4038</v>
      </c>
    </row>
    <row r="82" spans="1:1">
      <c r="A82" t="s">
        <v>4039</v>
      </c>
    </row>
    <row r="83" spans="1:1">
      <c r="A83" t="s">
        <v>4040</v>
      </c>
    </row>
    <row r="84" spans="1:1">
      <c r="A84" t="s">
        <v>4041</v>
      </c>
    </row>
    <row r="85" spans="1:1">
      <c r="A85" t="s">
        <v>4042</v>
      </c>
    </row>
    <row r="86" spans="1:1">
      <c r="A86" t="s">
        <v>4043</v>
      </c>
    </row>
    <row r="87" spans="1:1">
      <c r="A87" t="s">
        <v>4044</v>
      </c>
    </row>
    <row r="88" spans="1:1">
      <c r="A88" t="s">
        <v>4045</v>
      </c>
    </row>
    <row r="89" spans="1:1">
      <c r="A89" t="s">
        <v>4046</v>
      </c>
    </row>
    <row r="90" spans="1:1">
      <c r="A90" t="s">
        <v>4047</v>
      </c>
    </row>
    <row r="91" spans="1:1">
      <c r="A91" t="s">
        <v>4048</v>
      </c>
    </row>
    <row r="92" spans="1:1">
      <c r="A92" t="s">
        <v>4049</v>
      </c>
    </row>
    <row r="93" spans="1:1">
      <c r="A93" t="s">
        <v>4050</v>
      </c>
    </row>
    <row r="94" spans="1:1">
      <c r="A94" t="s">
        <v>4051</v>
      </c>
    </row>
    <row r="95" spans="1:1">
      <c r="A95" t="s">
        <v>4052</v>
      </c>
    </row>
    <row r="96" spans="1:1">
      <c r="A96" t="s">
        <v>4053</v>
      </c>
    </row>
    <row r="97" spans="1:1">
      <c r="A97" t="s">
        <v>4054</v>
      </c>
    </row>
    <row r="98" spans="1:1">
      <c r="A98" t="s">
        <v>4055</v>
      </c>
    </row>
    <row r="99" spans="1:1">
      <c r="A99" t="s">
        <v>4056</v>
      </c>
    </row>
    <row r="100" spans="1:1">
      <c r="A100" t="s">
        <v>4057</v>
      </c>
    </row>
    <row r="101" spans="1:1">
      <c r="A101" t="s">
        <v>4058</v>
      </c>
    </row>
    <row r="102" spans="1:1">
      <c r="A102" t="s">
        <v>4059</v>
      </c>
    </row>
    <row r="103" spans="1:1">
      <c r="A103" t="s">
        <v>4060</v>
      </c>
    </row>
    <row r="104" spans="1:1">
      <c r="A104" t="s">
        <v>4061</v>
      </c>
    </row>
    <row r="105" spans="1:1">
      <c r="A105" t="s">
        <v>4062</v>
      </c>
    </row>
    <row r="106" spans="1:1">
      <c r="A106" t="s">
        <v>4063</v>
      </c>
    </row>
    <row r="107" spans="1:1">
      <c r="A107" t="s">
        <v>4064</v>
      </c>
    </row>
    <row r="108" spans="1:1">
      <c r="A108" t="s">
        <v>4065</v>
      </c>
    </row>
    <row r="109" spans="1:1">
      <c r="A109" t="s">
        <v>4066</v>
      </c>
    </row>
    <row r="110" spans="1:1">
      <c r="A110" t="s">
        <v>4067</v>
      </c>
    </row>
    <row r="111" spans="1:1">
      <c r="A111" t="s">
        <v>4068</v>
      </c>
    </row>
    <row r="112" spans="1:1">
      <c r="A112" t="s">
        <v>4069</v>
      </c>
    </row>
    <row r="113" spans="1:1">
      <c r="A113" t="s">
        <v>4070</v>
      </c>
    </row>
    <row r="114" spans="1:1">
      <c r="A114" t="s">
        <v>4071</v>
      </c>
    </row>
    <row r="115" spans="1:1">
      <c r="A115" t="s">
        <v>4072</v>
      </c>
    </row>
    <row r="116" spans="1:1">
      <c r="A116" t="s">
        <v>4073</v>
      </c>
    </row>
    <row r="117" spans="1:1">
      <c r="A117" t="s">
        <v>4074</v>
      </c>
    </row>
    <row r="118" spans="1:1">
      <c r="A118" t="s">
        <v>4075</v>
      </c>
    </row>
    <row r="119" spans="1:1">
      <c r="A119" t="s">
        <v>4076</v>
      </c>
    </row>
    <row r="120" spans="1:1">
      <c r="A120" t="s">
        <v>4077</v>
      </c>
    </row>
    <row r="121" spans="1:1">
      <c r="A121" t="s">
        <v>4078</v>
      </c>
    </row>
    <row r="122" spans="1:1">
      <c r="A122" t="s">
        <v>4079</v>
      </c>
    </row>
    <row r="123" spans="1:1">
      <c r="A123" t="s">
        <v>4080</v>
      </c>
    </row>
    <row r="124" spans="1:1">
      <c r="A124" t="s">
        <v>4081</v>
      </c>
    </row>
    <row r="125" spans="1:1">
      <c r="A125" t="s">
        <v>4082</v>
      </c>
    </row>
    <row r="126" spans="1:1">
      <c r="A126" t="s">
        <v>4083</v>
      </c>
    </row>
    <row r="127" spans="1:1">
      <c r="A127" t="s">
        <v>4084</v>
      </c>
    </row>
    <row r="128" spans="1:1">
      <c r="A128" t="s">
        <v>4085</v>
      </c>
    </row>
    <row r="129" spans="1:1">
      <c r="A129" t="s">
        <v>4086</v>
      </c>
    </row>
    <row r="130" spans="1:1">
      <c r="A130" t="s">
        <v>4087</v>
      </c>
    </row>
    <row r="131" spans="1:1">
      <c r="A131" t="s">
        <v>4088</v>
      </c>
    </row>
    <row r="132" spans="1:1">
      <c r="A132" t="s">
        <v>4089</v>
      </c>
    </row>
    <row r="133" spans="1:1">
      <c r="A133" t="s">
        <v>4090</v>
      </c>
    </row>
    <row r="134" spans="1:1">
      <c r="A134" t="s">
        <v>4091</v>
      </c>
    </row>
    <row r="135" spans="1:1">
      <c r="A135" t="s">
        <v>4092</v>
      </c>
    </row>
    <row r="136" spans="1:1">
      <c r="A136" t="s">
        <v>4093</v>
      </c>
    </row>
    <row r="137" spans="1:1">
      <c r="A137" t="s">
        <v>4094</v>
      </c>
    </row>
    <row r="138" spans="1:1">
      <c r="A138" t="s">
        <v>4095</v>
      </c>
    </row>
    <row r="139" spans="1:1">
      <c r="A139" t="s">
        <v>4096</v>
      </c>
    </row>
    <row r="140" spans="1:1">
      <c r="A140" t="s">
        <v>4097</v>
      </c>
    </row>
    <row r="141" spans="1:1">
      <c r="A141" t="s">
        <v>4098</v>
      </c>
    </row>
    <row r="142" spans="1:1">
      <c r="A142" t="s">
        <v>4099</v>
      </c>
    </row>
    <row r="143" spans="1:1">
      <c r="A143" t="s">
        <v>4100</v>
      </c>
    </row>
    <row r="144" spans="1:1">
      <c r="A144" t="s">
        <v>4101</v>
      </c>
    </row>
    <row r="145" spans="1:1">
      <c r="A145" t="s">
        <v>4102</v>
      </c>
    </row>
    <row r="146" spans="1:1">
      <c r="A146" t="s">
        <v>4103</v>
      </c>
    </row>
    <row r="147" spans="1:1">
      <c r="A147" t="s">
        <v>4104</v>
      </c>
    </row>
    <row r="148" spans="1:1">
      <c r="A148" t="s">
        <v>4105</v>
      </c>
    </row>
    <row r="149" spans="1:1">
      <c r="A149" t="s">
        <v>4106</v>
      </c>
    </row>
    <row r="150" spans="1:1">
      <c r="A150" t="s">
        <v>4107</v>
      </c>
    </row>
    <row r="151" spans="1:1">
      <c r="A151" t="s">
        <v>4108</v>
      </c>
    </row>
    <row r="152" spans="1:1">
      <c r="A152" t="s">
        <v>4109</v>
      </c>
    </row>
    <row r="153" spans="1:1">
      <c r="A153" t="s">
        <v>4110</v>
      </c>
    </row>
    <row r="154" spans="1:1">
      <c r="A154" t="s">
        <v>4111</v>
      </c>
    </row>
    <row r="155" spans="1:1">
      <c r="A155" t="s">
        <v>4112</v>
      </c>
    </row>
    <row r="156" spans="1:1">
      <c r="A156" t="s">
        <v>4113</v>
      </c>
    </row>
    <row r="157" spans="1:1">
      <c r="A157" t="s">
        <v>4114</v>
      </c>
    </row>
    <row r="158" spans="1:1">
      <c r="A158" t="s">
        <v>4115</v>
      </c>
    </row>
    <row r="159" spans="1:1">
      <c r="A159" t="s">
        <v>4116</v>
      </c>
    </row>
    <row r="160" spans="1:1">
      <c r="A160" t="s">
        <v>4117</v>
      </c>
    </row>
    <row r="161" spans="1:1">
      <c r="A161" t="s">
        <v>4118</v>
      </c>
    </row>
    <row r="162" spans="1:1">
      <c r="A162" t="s">
        <v>4119</v>
      </c>
    </row>
    <row r="163" spans="1:1">
      <c r="A163" t="s">
        <v>4120</v>
      </c>
    </row>
    <row r="164" spans="1:1">
      <c r="A164" t="s">
        <v>4121</v>
      </c>
    </row>
    <row r="165" spans="1:1">
      <c r="A165" t="s">
        <v>4122</v>
      </c>
    </row>
    <row r="166" spans="1:1">
      <c r="A166" t="s">
        <v>4123</v>
      </c>
    </row>
    <row r="167" spans="1:1">
      <c r="A167" t="s">
        <v>4124</v>
      </c>
    </row>
    <row r="168" spans="1:1">
      <c r="A168" t="s">
        <v>4125</v>
      </c>
    </row>
    <row r="169" spans="1:1">
      <c r="A169" t="s">
        <v>4126</v>
      </c>
    </row>
    <row r="170" spans="1:1">
      <c r="A170" t="s">
        <v>4127</v>
      </c>
    </row>
    <row r="171" spans="1:1">
      <c r="A171" t="s">
        <v>4128</v>
      </c>
    </row>
    <row r="172" spans="1:1">
      <c r="A172" t="s">
        <v>4129</v>
      </c>
    </row>
    <row r="173" spans="1:1">
      <c r="A173" t="s">
        <v>4130</v>
      </c>
    </row>
    <row r="174" spans="1:1">
      <c r="A174" t="s">
        <v>4131</v>
      </c>
    </row>
    <row r="175" spans="1:1">
      <c r="A175" t="s">
        <v>4132</v>
      </c>
    </row>
    <row r="176" spans="1:1">
      <c r="A176" t="s">
        <v>4133</v>
      </c>
    </row>
    <row r="177" spans="1:1">
      <c r="A177" t="s">
        <v>4134</v>
      </c>
    </row>
    <row r="178" spans="1:1">
      <c r="A178" t="s">
        <v>4135</v>
      </c>
    </row>
    <row r="179" spans="1:1">
      <c r="A179" t="s">
        <v>4136</v>
      </c>
    </row>
    <row r="180" spans="1:1">
      <c r="A180" t="s">
        <v>4137</v>
      </c>
    </row>
    <row r="181" spans="1:1">
      <c r="A181" t="s">
        <v>4138</v>
      </c>
    </row>
    <row r="182" spans="1:1">
      <c r="A182" t="s">
        <v>4139</v>
      </c>
    </row>
    <row r="183" spans="1:1">
      <c r="A183" t="s">
        <v>4140</v>
      </c>
    </row>
    <row r="184" spans="1:1">
      <c r="A184" t="s">
        <v>4141</v>
      </c>
    </row>
    <row r="185" spans="1:1">
      <c r="A185" t="s">
        <v>4142</v>
      </c>
    </row>
    <row r="186" spans="1:1">
      <c r="A186" t="s">
        <v>4143</v>
      </c>
    </row>
    <row r="187" spans="1:1">
      <c r="A187" t="s">
        <v>4144</v>
      </c>
    </row>
    <row r="188" spans="1:1">
      <c r="A188" t="s">
        <v>4145</v>
      </c>
    </row>
    <row r="189" spans="1:1">
      <c r="A189" t="s">
        <v>4146</v>
      </c>
    </row>
    <row r="190" spans="1:1">
      <c r="A190" t="s">
        <v>4147</v>
      </c>
    </row>
    <row r="191" spans="1:1">
      <c r="A191" t="s">
        <v>4148</v>
      </c>
    </row>
    <row r="192" spans="1:1">
      <c r="A192" t="s">
        <v>4149</v>
      </c>
    </row>
    <row r="193" spans="1:1">
      <c r="A193" t="s">
        <v>4150</v>
      </c>
    </row>
    <row r="194" spans="1:1">
      <c r="A194" t="s">
        <v>4151</v>
      </c>
    </row>
    <row r="195" spans="1:1">
      <c r="A195" t="s">
        <v>4152</v>
      </c>
    </row>
    <row r="196" spans="1:1">
      <c r="A196" t="s">
        <v>4153</v>
      </c>
    </row>
    <row r="197" spans="1:1">
      <c r="A197" t="s">
        <v>4154</v>
      </c>
    </row>
    <row r="198" spans="1:1">
      <c r="A198" t="s">
        <v>4155</v>
      </c>
    </row>
    <row r="199" spans="1:1">
      <c r="A199" t="s">
        <v>4156</v>
      </c>
    </row>
    <row r="200" spans="1:1">
      <c r="A200" t="s">
        <v>4157</v>
      </c>
    </row>
    <row r="201" spans="1:1">
      <c r="A201" t="s">
        <v>4158</v>
      </c>
    </row>
    <row r="202" spans="1:1">
      <c r="A202" t="s">
        <v>4159</v>
      </c>
    </row>
    <row r="203" spans="1:1">
      <c r="A203" t="s">
        <v>4160</v>
      </c>
    </row>
    <row r="204" spans="1:1">
      <c r="A204" t="s">
        <v>4161</v>
      </c>
    </row>
    <row r="205" spans="1:1">
      <c r="A205" t="s">
        <v>4162</v>
      </c>
    </row>
    <row r="206" spans="1:1">
      <c r="A206" t="s">
        <v>4163</v>
      </c>
    </row>
    <row r="207" spans="1:1">
      <c r="A207" t="s">
        <v>4164</v>
      </c>
    </row>
    <row r="208" spans="1:1">
      <c r="A208" t="s">
        <v>4165</v>
      </c>
    </row>
    <row r="209" spans="1:1">
      <c r="A209" t="s">
        <v>4166</v>
      </c>
    </row>
    <row r="210" spans="1:1">
      <c r="A210" t="s">
        <v>4167</v>
      </c>
    </row>
    <row r="211" spans="1:1">
      <c r="A211" t="s">
        <v>4168</v>
      </c>
    </row>
    <row r="212" spans="1:1">
      <c r="A212" t="s">
        <v>4169</v>
      </c>
    </row>
    <row r="213" spans="1:1">
      <c r="A213" t="s">
        <v>4170</v>
      </c>
    </row>
    <row r="214" spans="1:1">
      <c r="A214" t="s">
        <v>4171</v>
      </c>
    </row>
    <row r="215" spans="1:1">
      <c r="A215" t="s">
        <v>4172</v>
      </c>
    </row>
    <row r="216" spans="1:1">
      <c r="A216" t="s">
        <v>4173</v>
      </c>
    </row>
    <row r="217" spans="1:1">
      <c r="A217" t="s">
        <v>4174</v>
      </c>
    </row>
    <row r="218" spans="1:1">
      <c r="A218" t="s">
        <v>4175</v>
      </c>
    </row>
    <row r="219" spans="1:1">
      <c r="A219" t="s">
        <v>4176</v>
      </c>
    </row>
    <row r="220" spans="1:1">
      <c r="A220" t="s">
        <v>4177</v>
      </c>
    </row>
    <row r="221" spans="1:1">
      <c r="A221" t="s">
        <v>4178</v>
      </c>
    </row>
    <row r="222" spans="1:1">
      <c r="A222" t="s">
        <v>4179</v>
      </c>
    </row>
    <row r="223" spans="1:1">
      <c r="A223" t="s">
        <v>4180</v>
      </c>
    </row>
    <row r="224" spans="1:1">
      <c r="A224" t="s">
        <v>4181</v>
      </c>
    </row>
    <row r="225" spans="1:1">
      <c r="A225" t="s">
        <v>4182</v>
      </c>
    </row>
    <row r="226" spans="1:1">
      <c r="A226" t="s">
        <v>4183</v>
      </c>
    </row>
    <row r="227" spans="1:1">
      <c r="A227" t="s">
        <v>4184</v>
      </c>
    </row>
    <row r="228" spans="1:1">
      <c r="A228" t="s">
        <v>4185</v>
      </c>
    </row>
    <row r="229" spans="1:1">
      <c r="A229" t="s">
        <v>4186</v>
      </c>
    </row>
    <row r="230" spans="1:1">
      <c r="A230" t="s">
        <v>4187</v>
      </c>
    </row>
    <row r="231" spans="1:1">
      <c r="A231" t="s">
        <v>4188</v>
      </c>
    </row>
    <row r="232" spans="1:1">
      <c r="A232" t="s">
        <v>4189</v>
      </c>
    </row>
    <row r="233" spans="1:1">
      <c r="A233" t="s">
        <v>4190</v>
      </c>
    </row>
    <row r="234" spans="1:1">
      <c r="A234" t="s">
        <v>4191</v>
      </c>
    </row>
    <row r="235" spans="1:1">
      <c r="A235" t="s">
        <v>4192</v>
      </c>
    </row>
    <row r="236" spans="1:1">
      <c r="A236" t="s">
        <v>4193</v>
      </c>
    </row>
    <row r="237" spans="1:1">
      <c r="A237" t="s">
        <v>4194</v>
      </c>
    </row>
    <row r="238" spans="1:1">
      <c r="A238" t="s">
        <v>4195</v>
      </c>
    </row>
    <row r="239" spans="1:1">
      <c r="A239" t="s">
        <v>4196</v>
      </c>
    </row>
    <row r="240" spans="1:1">
      <c r="A240" t="s">
        <v>4197</v>
      </c>
    </row>
    <row r="241" spans="1:1">
      <c r="A241" t="s">
        <v>4198</v>
      </c>
    </row>
    <row r="242" spans="1:1">
      <c r="A242" t="s">
        <v>4199</v>
      </c>
    </row>
    <row r="243" spans="1:1">
      <c r="A243" t="s">
        <v>4200</v>
      </c>
    </row>
    <row r="244" spans="1:1">
      <c r="A244" t="s">
        <v>4201</v>
      </c>
    </row>
    <row r="245" spans="1:1">
      <c r="A245" t="s">
        <v>4202</v>
      </c>
    </row>
    <row r="246" spans="1:1">
      <c r="A246" t="s">
        <v>4203</v>
      </c>
    </row>
    <row r="247" spans="1:1">
      <c r="A247" t="s">
        <v>4204</v>
      </c>
    </row>
    <row r="248" spans="1:1">
      <c r="A248" t="s">
        <v>4205</v>
      </c>
    </row>
    <row r="249" spans="1:1">
      <c r="A249" t="s">
        <v>4206</v>
      </c>
    </row>
    <row r="250" spans="1:1">
      <c r="A250" t="s">
        <v>4207</v>
      </c>
    </row>
    <row r="251" spans="1:1">
      <c r="A251" t="s">
        <v>4208</v>
      </c>
    </row>
    <row r="252" spans="1:1">
      <c r="A252" t="s">
        <v>4209</v>
      </c>
    </row>
    <row r="253" spans="1:1">
      <c r="A253" t="s">
        <v>4210</v>
      </c>
    </row>
    <row r="254" spans="1:1">
      <c r="A254" t="s">
        <v>4211</v>
      </c>
    </row>
    <row r="255" spans="1:1">
      <c r="A255" t="s">
        <v>4212</v>
      </c>
    </row>
    <row r="256" spans="1:1">
      <c r="A256" t="s">
        <v>4213</v>
      </c>
    </row>
    <row r="257" spans="1:1">
      <c r="A257" t="s">
        <v>4214</v>
      </c>
    </row>
    <row r="258" spans="1:1">
      <c r="A258" t="s">
        <v>4215</v>
      </c>
    </row>
    <row r="259" spans="1:1">
      <c r="A259" t="s">
        <v>4216</v>
      </c>
    </row>
    <row r="260" spans="1:1">
      <c r="A260" t="s">
        <v>4217</v>
      </c>
    </row>
    <row r="261" spans="1:1">
      <c r="A261" t="s">
        <v>4218</v>
      </c>
    </row>
    <row r="262" spans="1:1">
      <c r="A262" t="s">
        <v>4219</v>
      </c>
    </row>
    <row r="263" spans="1:1">
      <c r="A263" t="s">
        <v>4220</v>
      </c>
    </row>
    <row r="264" spans="1:1">
      <c r="A264" t="s">
        <v>4221</v>
      </c>
    </row>
    <row r="265" spans="1:1">
      <c r="A265" t="s">
        <v>4222</v>
      </c>
    </row>
    <row r="266" spans="1:1">
      <c r="A266" t="s">
        <v>4223</v>
      </c>
    </row>
    <row r="267" spans="1:1">
      <c r="A267" t="s">
        <v>4224</v>
      </c>
    </row>
    <row r="268" spans="1:1">
      <c r="A268" t="s">
        <v>4225</v>
      </c>
    </row>
    <row r="269" spans="1:1">
      <c r="A269" t="s">
        <v>4226</v>
      </c>
    </row>
    <row r="270" spans="1:1">
      <c r="A270" t="s">
        <v>4227</v>
      </c>
    </row>
    <row r="271" spans="1:1">
      <c r="A271" t="s">
        <v>4228</v>
      </c>
    </row>
    <row r="272" spans="1:1">
      <c r="A272" t="s">
        <v>4229</v>
      </c>
    </row>
    <row r="273" spans="1:1">
      <c r="A273" t="s">
        <v>4230</v>
      </c>
    </row>
    <row r="274" spans="1:1">
      <c r="A274" t="s">
        <v>4231</v>
      </c>
    </row>
    <row r="275" spans="1:1">
      <c r="A275" t="s">
        <v>4232</v>
      </c>
    </row>
    <row r="276" spans="1:1">
      <c r="A276" t="s">
        <v>4233</v>
      </c>
    </row>
    <row r="277" spans="1:1">
      <c r="A277" t="s">
        <v>4234</v>
      </c>
    </row>
    <row r="278" spans="1:1">
      <c r="A278" t="s">
        <v>4235</v>
      </c>
    </row>
    <row r="279" spans="1:1">
      <c r="A279" t="s">
        <v>4236</v>
      </c>
    </row>
    <row r="280" spans="1:1">
      <c r="A280" t="s">
        <v>4237</v>
      </c>
    </row>
    <row r="281" spans="1:1">
      <c r="A281" t="s">
        <v>4238</v>
      </c>
    </row>
    <row r="282" spans="1:1">
      <c r="A282" t="s">
        <v>4239</v>
      </c>
    </row>
    <row r="283" spans="1:1">
      <c r="A283" t="s">
        <v>4240</v>
      </c>
    </row>
    <row r="284" spans="1:1">
      <c r="A284" t="s">
        <v>4241</v>
      </c>
    </row>
    <row r="285" spans="1:1">
      <c r="A285" t="s">
        <v>4242</v>
      </c>
    </row>
    <row r="286" spans="1:1">
      <c r="A286" t="s">
        <v>4243</v>
      </c>
    </row>
    <row r="287" spans="1:1">
      <c r="A287" t="s">
        <v>4244</v>
      </c>
    </row>
    <row r="288" spans="1:1">
      <c r="A288" t="s">
        <v>4245</v>
      </c>
    </row>
    <row r="289" spans="1:1">
      <c r="A289" t="s">
        <v>4246</v>
      </c>
    </row>
    <row r="290" spans="1:1">
      <c r="A290" t="s">
        <v>4247</v>
      </c>
    </row>
    <row r="291" spans="1:1">
      <c r="A291" t="s">
        <v>4248</v>
      </c>
    </row>
    <row r="292" spans="1:1">
      <c r="A292" t="s">
        <v>4249</v>
      </c>
    </row>
    <row r="293" spans="1:1">
      <c r="A293" t="s">
        <v>4250</v>
      </c>
    </row>
    <row r="294" spans="1:1">
      <c r="A294" t="s">
        <v>4251</v>
      </c>
    </row>
    <row r="295" spans="1:1">
      <c r="A295" t="s">
        <v>4252</v>
      </c>
    </row>
    <row r="296" spans="1:1">
      <c r="A296" t="s">
        <v>4253</v>
      </c>
    </row>
    <row r="297" spans="1:1">
      <c r="A297" t="s">
        <v>4254</v>
      </c>
    </row>
    <row r="298" spans="1:1">
      <c r="A298" t="s">
        <v>4255</v>
      </c>
    </row>
    <row r="299" spans="1:1">
      <c r="A299" t="s">
        <v>4256</v>
      </c>
    </row>
    <row r="300" spans="1:1">
      <c r="A300" t="s">
        <v>4257</v>
      </c>
    </row>
    <row r="301" spans="1:1">
      <c r="A301" t="s">
        <v>4258</v>
      </c>
    </row>
    <row r="302" spans="1:1">
      <c r="A302" t="s">
        <v>4259</v>
      </c>
    </row>
    <row r="303" spans="1:1">
      <c r="A303" t="s">
        <v>4260</v>
      </c>
    </row>
    <row r="304" spans="1:1">
      <c r="A304" t="s">
        <v>4261</v>
      </c>
    </row>
    <row r="305" spans="1:1">
      <c r="A305" t="s">
        <v>4262</v>
      </c>
    </row>
    <row r="306" spans="1:1">
      <c r="A306" t="s">
        <v>4263</v>
      </c>
    </row>
    <row r="307" spans="1:1">
      <c r="A307" t="s">
        <v>4264</v>
      </c>
    </row>
    <row r="308" spans="1:1">
      <c r="A308" t="s">
        <v>4265</v>
      </c>
    </row>
    <row r="309" spans="1:1">
      <c r="A309" t="s">
        <v>4266</v>
      </c>
    </row>
    <row r="310" spans="1:1">
      <c r="A310" t="s">
        <v>4267</v>
      </c>
    </row>
    <row r="311" spans="1:1">
      <c r="A311" t="s">
        <v>4268</v>
      </c>
    </row>
    <row r="312" spans="1:1">
      <c r="A312" t="s">
        <v>4269</v>
      </c>
    </row>
    <row r="313" spans="1:1">
      <c r="A313" t="s">
        <v>4270</v>
      </c>
    </row>
    <row r="314" spans="1:1">
      <c r="A314" t="s">
        <v>4271</v>
      </c>
    </row>
    <row r="315" spans="1:1">
      <c r="A315" t="s">
        <v>4272</v>
      </c>
    </row>
    <row r="316" spans="1:1">
      <c r="A316" t="s">
        <v>4273</v>
      </c>
    </row>
    <row r="317" spans="1:1">
      <c r="A317" t="s">
        <v>4274</v>
      </c>
    </row>
    <row r="318" spans="1:1">
      <c r="A318" t="s">
        <v>4275</v>
      </c>
    </row>
    <row r="319" spans="1:1">
      <c r="A319" t="s">
        <v>4276</v>
      </c>
    </row>
    <row r="320" spans="1:1">
      <c r="A320" t="s">
        <v>4277</v>
      </c>
    </row>
    <row r="321" spans="1:1">
      <c r="A321" t="s">
        <v>4278</v>
      </c>
    </row>
    <row r="322" spans="1:1">
      <c r="A322" t="s">
        <v>4279</v>
      </c>
    </row>
    <row r="323" spans="1:1">
      <c r="A323" t="s">
        <v>4280</v>
      </c>
    </row>
    <row r="324" spans="1:1">
      <c r="A324" t="s">
        <v>4281</v>
      </c>
    </row>
    <row r="325" spans="1:1">
      <c r="A325" t="s">
        <v>4282</v>
      </c>
    </row>
    <row r="326" spans="1:1">
      <c r="A326" t="s">
        <v>4283</v>
      </c>
    </row>
    <row r="327" spans="1:1">
      <c r="A327" t="s">
        <v>4284</v>
      </c>
    </row>
    <row r="328" spans="1:1">
      <c r="A328" t="s">
        <v>4285</v>
      </c>
    </row>
    <row r="329" spans="1:1">
      <c r="A329" t="s">
        <v>4286</v>
      </c>
    </row>
    <row r="330" spans="1:1">
      <c r="A330" t="s">
        <v>4287</v>
      </c>
    </row>
    <row r="331" spans="1:1">
      <c r="A331" t="s">
        <v>4288</v>
      </c>
    </row>
    <row r="332" spans="1:1">
      <c r="A332" t="s">
        <v>4289</v>
      </c>
    </row>
    <row r="333" spans="1:1">
      <c r="A333" t="s">
        <v>4290</v>
      </c>
    </row>
    <row r="334" spans="1:1">
      <c r="A334" t="s">
        <v>4291</v>
      </c>
    </row>
    <row r="335" spans="1:1">
      <c r="A335" t="s">
        <v>4292</v>
      </c>
    </row>
    <row r="336" spans="1:1">
      <c r="A336" t="s">
        <v>4293</v>
      </c>
    </row>
    <row r="337" spans="1:1">
      <c r="A337" t="s">
        <v>4294</v>
      </c>
    </row>
    <row r="338" spans="1:1">
      <c r="A338" t="s">
        <v>4295</v>
      </c>
    </row>
    <row r="339" spans="1:1">
      <c r="A339" t="s">
        <v>4296</v>
      </c>
    </row>
    <row r="340" spans="1:1">
      <c r="A340" t="s">
        <v>4297</v>
      </c>
    </row>
    <row r="341" spans="1:1">
      <c r="A341" t="s">
        <v>4298</v>
      </c>
    </row>
    <row r="342" spans="1:1">
      <c r="A342" t="s">
        <v>4299</v>
      </c>
    </row>
    <row r="343" spans="1:1">
      <c r="A343" t="s">
        <v>4300</v>
      </c>
    </row>
    <row r="344" spans="1:1">
      <c r="A344" t="s">
        <v>4301</v>
      </c>
    </row>
    <row r="345" spans="1:1">
      <c r="A345" t="s">
        <v>4302</v>
      </c>
    </row>
    <row r="346" spans="1:1">
      <c r="A346" t="s">
        <v>4303</v>
      </c>
    </row>
    <row r="347" spans="1:1">
      <c r="A347" t="s">
        <v>4304</v>
      </c>
    </row>
    <row r="348" spans="1:1">
      <c r="A348" t="s">
        <v>4305</v>
      </c>
    </row>
    <row r="349" spans="1:1">
      <c r="A349" t="s">
        <v>4306</v>
      </c>
    </row>
    <row r="350" spans="1:1">
      <c r="A350" t="s">
        <v>4307</v>
      </c>
    </row>
    <row r="351" spans="1:1">
      <c r="A351" t="s">
        <v>4308</v>
      </c>
    </row>
    <row r="352" spans="1:1">
      <c r="A352" t="s">
        <v>4309</v>
      </c>
    </row>
    <row r="353" spans="1:1">
      <c r="A353" t="s">
        <v>4310</v>
      </c>
    </row>
    <row r="354" spans="1:1">
      <c r="A354" t="s">
        <v>4311</v>
      </c>
    </row>
    <row r="355" spans="1:1">
      <c r="A355" t="s">
        <v>4312</v>
      </c>
    </row>
    <row r="356" spans="1:1">
      <c r="A356" t="s">
        <v>4313</v>
      </c>
    </row>
    <row r="357" spans="1:1">
      <c r="A357" t="s">
        <v>4314</v>
      </c>
    </row>
    <row r="358" spans="1:1">
      <c r="A358" t="s">
        <v>4315</v>
      </c>
    </row>
    <row r="359" spans="1:1">
      <c r="A359" t="s">
        <v>4316</v>
      </c>
    </row>
    <row r="360" spans="1:1">
      <c r="A360" t="s">
        <v>4317</v>
      </c>
    </row>
    <row r="361" spans="1:1">
      <c r="A361" t="s">
        <v>4318</v>
      </c>
    </row>
    <row r="362" spans="1:1">
      <c r="A362" t="s">
        <v>4319</v>
      </c>
    </row>
    <row r="363" spans="1:1">
      <c r="A363" t="s">
        <v>4320</v>
      </c>
    </row>
    <row r="364" spans="1:1">
      <c r="A364" t="s">
        <v>4321</v>
      </c>
    </row>
    <row r="365" spans="1:1">
      <c r="A365" t="s">
        <v>4322</v>
      </c>
    </row>
    <row r="366" spans="1:1">
      <c r="A366" t="s">
        <v>4323</v>
      </c>
    </row>
    <row r="367" spans="1:1">
      <c r="A367" t="s">
        <v>4324</v>
      </c>
    </row>
    <row r="368" spans="1:1">
      <c r="A368" t="s">
        <v>4325</v>
      </c>
    </row>
    <row r="369" spans="1:1">
      <c r="A369" t="s">
        <v>4326</v>
      </c>
    </row>
    <row r="370" spans="1:1">
      <c r="A370" t="s">
        <v>4327</v>
      </c>
    </row>
    <row r="371" spans="1:1">
      <c r="A371" t="s">
        <v>4328</v>
      </c>
    </row>
    <row r="372" spans="1:1">
      <c r="A372" t="s">
        <v>4329</v>
      </c>
    </row>
    <row r="373" spans="1:1">
      <c r="A373" t="s">
        <v>4330</v>
      </c>
    </row>
    <row r="374" spans="1:1">
      <c r="A374" t="s">
        <v>4331</v>
      </c>
    </row>
    <row r="375" spans="1:1">
      <c r="A375" t="s">
        <v>4332</v>
      </c>
    </row>
    <row r="376" spans="1:1">
      <c r="A376" t="s">
        <v>4333</v>
      </c>
    </row>
    <row r="377" spans="1:1">
      <c r="A377" t="s">
        <v>4334</v>
      </c>
    </row>
    <row r="378" spans="1:1">
      <c r="A378" t="s">
        <v>4335</v>
      </c>
    </row>
    <row r="379" spans="1:1">
      <c r="A379" t="s">
        <v>4336</v>
      </c>
    </row>
    <row r="380" spans="1:1">
      <c r="A380" t="s">
        <v>4337</v>
      </c>
    </row>
    <row r="381" spans="1:1">
      <c r="A381" t="s">
        <v>4338</v>
      </c>
    </row>
    <row r="382" spans="1:1">
      <c r="A382" t="s">
        <v>4339</v>
      </c>
    </row>
    <row r="383" spans="1:1">
      <c r="A383" t="s">
        <v>4340</v>
      </c>
    </row>
    <row r="384" spans="1:1">
      <c r="A384" t="s">
        <v>4341</v>
      </c>
    </row>
    <row r="385" spans="1:1">
      <c r="A385" t="s">
        <v>4342</v>
      </c>
    </row>
    <row r="386" spans="1:1">
      <c r="A386" t="s">
        <v>4343</v>
      </c>
    </row>
    <row r="387" spans="1:1">
      <c r="A387" t="s">
        <v>4344</v>
      </c>
    </row>
    <row r="388" spans="1:1">
      <c r="A388" t="s">
        <v>4345</v>
      </c>
    </row>
    <row r="389" spans="1:1">
      <c r="A389" t="s">
        <v>4346</v>
      </c>
    </row>
    <row r="390" spans="1:1">
      <c r="A390" t="s">
        <v>4347</v>
      </c>
    </row>
    <row r="391" spans="1:1">
      <c r="A391" t="s">
        <v>4348</v>
      </c>
    </row>
    <row r="392" spans="1:1">
      <c r="A392" t="s">
        <v>4349</v>
      </c>
    </row>
    <row r="393" spans="1:1">
      <c r="A393" t="s">
        <v>4350</v>
      </c>
    </row>
    <row r="394" spans="1:1">
      <c r="A394" t="s">
        <v>4351</v>
      </c>
    </row>
    <row r="395" spans="1:1">
      <c r="A395" t="s">
        <v>4352</v>
      </c>
    </row>
    <row r="396" spans="1:1">
      <c r="A396" t="s">
        <v>4353</v>
      </c>
    </row>
    <row r="397" spans="1:1">
      <c r="A397" t="s">
        <v>4354</v>
      </c>
    </row>
    <row r="398" spans="1:1">
      <c r="A398" t="s">
        <v>4355</v>
      </c>
    </row>
    <row r="399" spans="1:1">
      <c r="A399" t="s">
        <v>4356</v>
      </c>
    </row>
    <row r="400" spans="1:1">
      <c r="A400" t="s">
        <v>4357</v>
      </c>
    </row>
    <row r="401" spans="1:1">
      <c r="A401" t="s">
        <v>4358</v>
      </c>
    </row>
    <row r="402" spans="1:1">
      <c r="A402" t="s">
        <v>4359</v>
      </c>
    </row>
    <row r="403" spans="1:1">
      <c r="A403" t="s">
        <v>4360</v>
      </c>
    </row>
    <row r="404" spans="1:1">
      <c r="A404" t="s">
        <v>4361</v>
      </c>
    </row>
    <row r="405" spans="1:1">
      <c r="A405" t="s">
        <v>4362</v>
      </c>
    </row>
    <row r="406" spans="1:1">
      <c r="A406" t="s">
        <v>4363</v>
      </c>
    </row>
    <row r="407" spans="1:1">
      <c r="A407" t="s">
        <v>4364</v>
      </c>
    </row>
    <row r="408" spans="1:1">
      <c r="A408" t="s">
        <v>4365</v>
      </c>
    </row>
    <row r="409" spans="1:1">
      <c r="A409" t="s">
        <v>4366</v>
      </c>
    </row>
    <row r="410" spans="1:1">
      <c r="A410" t="s">
        <v>4367</v>
      </c>
    </row>
    <row r="411" spans="1:1">
      <c r="A411" t="s">
        <v>4368</v>
      </c>
    </row>
    <row r="412" spans="1:1">
      <c r="A412" t="s">
        <v>4369</v>
      </c>
    </row>
    <row r="413" spans="1:1">
      <c r="A413" t="s">
        <v>4370</v>
      </c>
    </row>
    <row r="414" spans="1:1">
      <c r="A414" t="s">
        <v>4371</v>
      </c>
    </row>
    <row r="415" spans="1:1">
      <c r="A415" t="s">
        <v>4372</v>
      </c>
    </row>
    <row r="416" spans="1:1">
      <c r="A416" t="s">
        <v>4373</v>
      </c>
    </row>
    <row r="417" spans="1:1">
      <c r="A417" t="s">
        <v>4374</v>
      </c>
    </row>
    <row r="418" spans="1:1">
      <c r="A418" t="s">
        <v>4375</v>
      </c>
    </row>
    <row r="419" spans="1:1">
      <c r="A419" t="s">
        <v>4376</v>
      </c>
    </row>
    <row r="420" spans="1:1">
      <c r="A420" t="s">
        <v>4377</v>
      </c>
    </row>
    <row r="421" spans="1:1">
      <c r="A421" t="s">
        <v>4378</v>
      </c>
    </row>
    <row r="422" spans="1:1">
      <c r="A422" t="s">
        <v>4379</v>
      </c>
    </row>
    <row r="423" spans="1:1">
      <c r="A423" t="s">
        <v>4380</v>
      </c>
    </row>
    <row r="424" spans="1:1">
      <c r="A424" t="s">
        <v>4381</v>
      </c>
    </row>
    <row r="425" spans="1:1">
      <c r="A425" t="s">
        <v>4382</v>
      </c>
    </row>
    <row r="426" spans="1:1">
      <c r="A426" t="s">
        <v>4383</v>
      </c>
    </row>
    <row r="427" spans="1:1">
      <c r="A427" t="s">
        <v>4384</v>
      </c>
    </row>
    <row r="428" spans="1:1">
      <c r="A428" t="s">
        <v>4385</v>
      </c>
    </row>
    <row r="429" spans="1:1">
      <c r="A429" t="s">
        <v>4386</v>
      </c>
    </row>
    <row r="430" spans="1:1">
      <c r="A430" t="s">
        <v>4387</v>
      </c>
    </row>
    <row r="431" spans="1:1">
      <c r="A431" t="s">
        <v>4388</v>
      </c>
    </row>
    <row r="432" spans="1:1">
      <c r="A432" t="s">
        <v>4389</v>
      </c>
    </row>
    <row r="433" spans="1:1">
      <c r="A433" t="s">
        <v>4390</v>
      </c>
    </row>
    <row r="434" spans="1:1">
      <c r="A434" t="s">
        <v>4391</v>
      </c>
    </row>
    <row r="435" spans="1:1">
      <c r="A435" t="s">
        <v>4392</v>
      </c>
    </row>
    <row r="436" spans="1:1">
      <c r="A436" t="s">
        <v>4393</v>
      </c>
    </row>
    <row r="437" spans="1:1">
      <c r="A437" t="s">
        <v>4394</v>
      </c>
    </row>
    <row r="438" spans="1:1">
      <c r="A438" t="s">
        <v>4395</v>
      </c>
    </row>
    <row r="439" spans="1:1">
      <c r="A439" t="s">
        <v>4396</v>
      </c>
    </row>
    <row r="440" spans="1:1">
      <c r="A440" t="s">
        <v>4397</v>
      </c>
    </row>
    <row r="441" spans="1:1">
      <c r="A441" t="s">
        <v>4398</v>
      </c>
    </row>
    <row r="442" spans="1:1">
      <c r="A442" t="s">
        <v>4399</v>
      </c>
    </row>
    <row r="443" spans="1:1">
      <c r="A443" t="s">
        <v>4400</v>
      </c>
    </row>
    <row r="444" spans="1:1">
      <c r="A444" t="s">
        <v>4401</v>
      </c>
    </row>
    <row r="445" spans="1:1">
      <c r="A445" t="s">
        <v>4402</v>
      </c>
    </row>
    <row r="446" spans="1:1">
      <c r="A446" t="s">
        <v>4403</v>
      </c>
    </row>
    <row r="447" spans="1:1">
      <c r="A447" t="s">
        <v>4404</v>
      </c>
    </row>
    <row r="448" spans="1:1">
      <c r="A448" t="s">
        <v>4405</v>
      </c>
    </row>
    <row r="449" spans="1:1">
      <c r="A449" t="s">
        <v>4406</v>
      </c>
    </row>
    <row r="450" spans="1:1">
      <c r="A450" t="s">
        <v>4407</v>
      </c>
    </row>
    <row r="451" spans="1:1">
      <c r="A451" t="s">
        <v>4408</v>
      </c>
    </row>
    <row r="452" spans="1:1">
      <c r="A452" t="s">
        <v>4409</v>
      </c>
    </row>
    <row r="453" spans="1:1">
      <c r="A453" t="s">
        <v>4410</v>
      </c>
    </row>
    <row r="454" spans="1:1">
      <c r="A454" t="s">
        <v>4411</v>
      </c>
    </row>
    <row r="455" spans="1:1">
      <c r="A455" t="s">
        <v>4412</v>
      </c>
    </row>
    <row r="456" spans="1:1">
      <c r="A456" t="s">
        <v>4413</v>
      </c>
    </row>
    <row r="457" spans="1:1">
      <c r="A457" t="s">
        <v>4414</v>
      </c>
    </row>
    <row r="458" spans="1:1">
      <c r="A458" t="s">
        <v>4415</v>
      </c>
    </row>
    <row r="459" spans="1:1">
      <c r="A459" t="s">
        <v>4416</v>
      </c>
    </row>
    <row r="460" spans="1:1">
      <c r="A460" t="s">
        <v>4417</v>
      </c>
    </row>
    <row r="461" spans="1:1">
      <c r="A461" t="s">
        <v>4418</v>
      </c>
    </row>
    <row r="462" spans="1:1">
      <c r="A462" t="s">
        <v>4419</v>
      </c>
    </row>
    <row r="463" spans="1:1">
      <c r="A463" t="s">
        <v>4420</v>
      </c>
    </row>
    <row r="464" spans="1:1">
      <c r="A464" t="s">
        <v>4421</v>
      </c>
    </row>
    <row r="465" spans="1:1">
      <c r="A465" t="s">
        <v>4422</v>
      </c>
    </row>
    <row r="466" spans="1:1">
      <c r="A466" t="s">
        <v>4423</v>
      </c>
    </row>
    <row r="467" spans="1:1">
      <c r="A467" t="s">
        <v>4424</v>
      </c>
    </row>
    <row r="468" spans="1:1">
      <c r="A468" t="s">
        <v>4425</v>
      </c>
    </row>
    <row r="469" spans="1:1">
      <c r="A469" t="s">
        <v>4426</v>
      </c>
    </row>
    <row r="470" spans="1:1">
      <c r="A470" t="s">
        <v>4427</v>
      </c>
    </row>
    <row r="471" spans="1:1">
      <c r="A471" t="s">
        <v>4428</v>
      </c>
    </row>
    <row r="472" spans="1:1">
      <c r="A472" t="s">
        <v>4429</v>
      </c>
    </row>
    <row r="473" spans="1:1">
      <c r="A473" t="s">
        <v>4430</v>
      </c>
    </row>
    <row r="474" spans="1:1">
      <c r="A474" t="s">
        <v>4431</v>
      </c>
    </row>
    <row r="475" spans="1:1">
      <c r="A475" t="s">
        <v>4432</v>
      </c>
    </row>
    <row r="476" spans="1:1">
      <c r="A476" t="s">
        <v>4433</v>
      </c>
    </row>
    <row r="477" spans="1:1">
      <c r="A477" t="s">
        <v>4434</v>
      </c>
    </row>
    <row r="478" spans="1:1">
      <c r="A478" t="s">
        <v>4435</v>
      </c>
    </row>
    <row r="479" spans="1:1">
      <c r="A479" t="s">
        <v>4436</v>
      </c>
    </row>
    <row r="480" spans="1:1">
      <c r="A480" t="s">
        <v>4437</v>
      </c>
    </row>
    <row r="481" spans="1:1">
      <c r="A481" t="s">
        <v>4438</v>
      </c>
    </row>
    <row r="482" spans="1:1">
      <c r="A482" t="s">
        <v>4439</v>
      </c>
    </row>
    <row r="483" spans="1:1">
      <c r="A483" t="s">
        <v>4440</v>
      </c>
    </row>
    <row r="484" spans="1:1">
      <c r="A484" t="s">
        <v>4441</v>
      </c>
    </row>
    <row r="485" spans="1:1">
      <c r="A485" t="s">
        <v>4442</v>
      </c>
    </row>
    <row r="486" spans="1:1">
      <c r="A486" t="s">
        <v>4443</v>
      </c>
    </row>
    <row r="487" spans="1:1">
      <c r="A487" t="s">
        <v>4444</v>
      </c>
    </row>
    <row r="488" spans="1:1">
      <c r="A488" t="s">
        <v>4445</v>
      </c>
    </row>
    <row r="489" spans="1:1">
      <c r="A489" t="s">
        <v>4446</v>
      </c>
    </row>
    <row r="490" spans="1:1">
      <c r="A490" t="s">
        <v>4447</v>
      </c>
    </row>
    <row r="491" spans="1:1">
      <c r="A491" t="s">
        <v>4448</v>
      </c>
    </row>
    <row r="492" spans="1:1">
      <c r="A492" t="s">
        <v>4449</v>
      </c>
    </row>
    <row r="493" spans="1:1">
      <c r="A493" t="s">
        <v>4450</v>
      </c>
    </row>
    <row r="494" spans="1:1">
      <c r="A494" t="s">
        <v>4451</v>
      </c>
    </row>
    <row r="495" spans="1:1">
      <c r="A495" t="s">
        <v>4452</v>
      </c>
    </row>
    <row r="496" spans="1:1">
      <c r="A496" t="s">
        <v>4453</v>
      </c>
    </row>
    <row r="497" spans="1:1">
      <c r="A497" t="s">
        <v>4454</v>
      </c>
    </row>
    <row r="498" spans="1:1">
      <c r="A498" t="s">
        <v>4455</v>
      </c>
    </row>
    <row r="499" spans="1:1">
      <c r="A499" t="s">
        <v>4456</v>
      </c>
    </row>
    <row r="500" spans="1:1">
      <c r="A500" t="s">
        <v>4457</v>
      </c>
    </row>
    <row r="501" spans="1:1">
      <c r="A501" t="s">
        <v>4458</v>
      </c>
    </row>
    <row r="502" spans="1:1">
      <c r="A502" t="s">
        <v>4459</v>
      </c>
    </row>
    <row r="503" spans="1:1">
      <c r="A503" t="s">
        <v>4460</v>
      </c>
    </row>
    <row r="504" spans="1:1">
      <c r="A504" t="s">
        <v>4461</v>
      </c>
    </row>
    <row r="505" spans="1:1">
      <c r="A505" t="s">
        <v>4462</v>
      </c>
    </row>
    <row r="506" spans="1:1">
      <c r="A506" t="s">
        <v>4463</v>
      </c>
    </row>
    <row r="507" spans="1:1">
      <c r="A507" t="s">
        <v>4464</v>
      </c>
    </row>
    <row r="508" spans="1:1">
      <c r="A508" t="s">
        <v>4465</v>
      </c>
    </row>
    <row r="509" spans="1:1">
      <c r="A509" t="s">
        <v>4466</v>
      </c>
    </row>
    <row r="510" spans="1:1">
      <c r="A510" t="s">
        <v>4467</v>
      </c>
    </row>
    <row r="511" spans="1:1">
      <c r="A511" t="s">
        <v>4468</v>
      </c>
    </row>
    <row r="512" spans="1:1">
      <c r="A512" t="s">
        <v>4469</v>
      </c>
    </row>
    <row r="513" spans="1:1">
      <c r="A513" t="s">
        <v>4470</v>
      </c>
    </row>
    <row r="514" spans="1:1">
      <c r="A514" t="s">
        <v>4471</v>
      </c>
    </row>
    <row r="515" spans="1:1">
      <c r="A515" t="s">
        <v>4472</v>
      </c>
    </row>
    <row r="516" spans="1:1">
      <c r="A516" t="s">
        <v>4473</v>
      </c>
    </row>
    <row r="517" spans="1:1">
      <c r="A517" t="s">
        <v>4474</v>
      </c>
    </row>
    <row r="518" spans="1:1">
      <c r="A518" t="s">
        <v>4475</v>
      </c>
    </row>
    <row r="519" spans="1:1">
      <c r="A519" t="s">
        <v>4476</v>
      </c>
    </row>
    <row r="520" spans="1:1">
      <c r="A520" t="s">
        <v>4477</v>
      </c>
    </row>
    <row r="521" spans="1:1">
      <c r="A521" t="s">
        <v>4478</v>
      </c>
    </row>
    <row r="522" spans="1:1">
      <c r="A522" t="s">
        <v>4479</v>
      </c>
    </row>
    <row r="523" spans="1:1">
      <c r="A523" t="s">
        <v>4480</v>
      </c>
    </row>
    <row r="524" spans="1:1">
      <c r="A524" t="s">
        <v>4481</v>
      </c>
    </row>
    <row r="525" spans="1:1">
      <c r="A525" t="s">
        <v>4482</v>
      </c>
    </row>
    <row r="526" spans="1:1">
      <c r="A526" t="s">
        <v>4483</v>
      </c>
    </row>
    <row r="527" spans="1:1">
      <c r="A527" t="s">
        <v>4484</v>
      </c>
    </row>
    <row r="528" spans="1:1">
      <c r="A528" t="s">
        <v>4485</v>
      </c>
    </row>
    <row r="529" spans="1:1">
      <c r="A529" t="s">
        <v>4486</v>
      </c>
    </row>
    <row r="530" spans="1:1">
      <c r="A530" t="s">
        <v>4487</v>
      </c>
    </row>
    <row r="531" spans="1:1">
      <c r="A531" t="s">
        <v>4488</v>
      </c>
    </row>
    <row r="532" spans="1:1">
      <c r="A532" t="s">
        <v>4489</v>
      </c>
    </row>
    <row r="533" spans="1:1">
      <c r="A533" t="s">
        <v>4490</v>
      </c>
    </row>
    <row r="534" spans="1:1">
      <c r="A534" t="s">
        <v>4491</v>
      </c>
    </row>
    <row r="535" spans="1:1">
      <c r="A535" t="s">
        <v>4492</v>
      </c>
    </row>
    <row r="536" spans="1:1">
      <c r="A536" t="s">
        <v>4493</v>
      </c>
    </row>
    <row r="537" spans="1:1">
      <c r="A537" t="s">
        <v>4494</v>
      </c>
    </row>
    <row r="538" spans="1:1">
      <c r="A538" t="s">
        <v>4495</v>
      </c>
    </row>
    <row r="539" spans="1:1">
      <c r="A539" t="s">
        <v>4496</v>
      </c>
    </row>
    <row r="540" spans="1:1">
      <c r="A540" t="s">
        <v>4497</v>
      </c>
    </row>
    <row r="541" spans="1:1">
      <c r="A541" t="s">
        <v>4498</v>
      </c>
    </row>
    <row r="542" spans="1:1">
      <c r="A542" t="s">
        <v>4499</v>
      </c>
    </row>
    <row r="543" spans="1:1">
      <c r="A543" t="s">
        <v>4500</v>
      </c>
    </row>
    <row r="544" spans="1:1">
      <c r="A544" t="s">
        <v>4501</v>
      </c>
    </row>
    <row r="545" spans="1:1">
      <c r="A545" t="s">
        <v>4502</v>
      </c>
    </row>
    <row r="546" spans="1:1">
      <c r="A546" t="s">
        <v>4503</v>
      </c>
    </row>
    <row r="547" spans="1:1">
      <c r="A547" t="s">
        <v>4504</v>
      </c>
    </row>
    <row r="548" spans="1:1">
      <c r="A548" t="s">
        <v>4505</v>
      </c>
    </row>
    <row r="549" spans="1:1">
      <c r="A549" t="s">
        <v>4506</v>
      </c>
    </row>
    <row r="550" spans="1:1">
      <c r="A550" t="s">
        <v>4507</v>
      </c>
    </row>
    <row r="551" spans="1:1">
      <c r="A551" t="s">
        <v>4508</v>
      </c>
    </row>
    <row r="552" spans="1:1">
      <c r="A552" t="s">
        <v>4509</v>
      </c>
    </row>
    <row r="553" spans="1:1">
      <c r="A553" t="s">
        <v>4510</v>
      </c>
    </row>
    <row r="554" spans="1:1">
      <c r="A554" t="s">
        <v>4511</v>
      </c>
    </row>
    <row r="555" spans="1:1">
      <c r="A555" t="s">
        <v>4512</v>
      </c>
    </row>
    <row r="556" spans="1:1">
      <c r="A556" t="s">
        <v>4513</v>
      </c>
    </row>
    <row r="557" spans="1:1">
      <c r="A557" t="s">
        <v>4514</v>
      </c>
    </row>
    <row r="558" spans="1:1">
      <c r="A558" t="s">
        <v>4515</v>
      </c>
    </row>
    <row r="559" spans="1:1">
      <c r="A559" t="s">
        <v>4516</v>
      </c>
    </row>
    <row r="560" spans="1:1">
      <c r="A560" t="s">
        <v>4517</v>
      </c>
    </row>
    <row r="561" spans="1:1">
      <c r="A561" t="s">
        <v>4518</v>
      </c>
    </row>
    <row r="562" spans="1:1">
      <c r="A562" t="s">
        <v>4519</v>
      </c>
    </row>
    <row r="563" spans="1:1">
      <c r="A563" t="s">
        <v>4520</v>
      </c>
    </row>
    <row r="564" spans="1:1">
      <c r="A564" t="s">
        <v>4521</v>
      </c>
    </row>
    <row r="565" spans="1:1">
      <c r="A565" t="s">
        <v>4522</v>
      </c>
    </row>
    <row r="566" spans="1:1">
      <c r="A566" t="s">
        <v>4523</v>
      </c>
    </row>
    <row r="567" spans="1:1">
      <c r="A567" t="s">
        <v>4524</v>
      </c>
    </row>
    <row r="568" spans="1:1">
      <c r="A568" t="s">
        <v>4525</v>
      </c>
    </row>
    <row r="569" spans="1:1">
      <c r="A569" t="s">
        <v>4526</v>
      </c>
    </row>
    <row r="570" spans="1:1">
      <c r="A570" t="s">
        <v>4527</v>
      </c>
    </row>
    <row r="571" spans="1:1">
      <c r="A571" t="s">
        <v>4528</v>
      </c>
    </row>
    <row r="572" spans="1:1">
      <c r="A572" t="s">
        <v>4529</v>
      </c>
    </row>
    <row r="573" spans="1:1">
      <c r="A573" t="s">
        <v>4530</v>
      </c>
    </row>
    <row r="574" spans="1:1">
      <c r="A574" t="s">
        <v>4531</v>
      </c>
    </row>
    <row r="575" spans="1:1">
      <c r="A575" t="s">
        <v>4532</v>
      </c>
    </row>
    <row r="576" spans="1:1">
      <c r="A576" t="s">
        <v>4533</v>
      </c>
    </row>
    <row r="577" spans="1:1">
      <c r="A577" t="s">
        <v>4534</v>
      </c>
    </row>
    <row r="578" spans="1:1">
      <c r="A578" t="s">
        <v>4535</v>
      </c>
    </row>
    <row r="579" spans="1:1">
      <c r="A579" t="s">
        <v>4536</v>
      </c>
    </row>
    <row r="580" spans="1:1">
      <c r="A580" t="s">
        <v>4537</v>
      </c>
    </row>
    <row r="581" spans="1:1">
      <c r="A581" t="s">
        <v>4538</v>
      </c>
    </row>
    <row r="582" spans="1:1">
      <c r="A582" t="s">
        <v>4539</v>
      </c>
    </row>
    <row r="583" spans="1:1">
      <c r="A583" t="s">
        <v>4540</v>
      </c>
    </row>
    <row r="584" spans="1:1">
      <c r="A584" t="s">
        <v>4541</v>
      </c>
    </row>
    <row r="585" spans="1:1">
      <c r="A585" t="s">
        <v>4542</v>
      </c>
    </row>
    <row r="586" spans="1:1">
      <c r="A586" t="s">
        <v>4543</v>
      </c>
    </row>
    <row r="587" spans="1:1">
      <c r="A587" t="s">
        <v>4544</v>
      </c>
    </row>
    <row r="588" spans="1:1">
      <c r="A588" t="s">
        <v>4545</v>
      </c>
    </row>
    <row r="589" spans="1:1">
      <c r="A589" t="s">
        <v>4546</v>
      </c>
    </row>
    <row r="590" spans="1:1">
      <c r="A590" t="s">
        <v>4547</v>
      </c>
    </row>
    <row r="591" spans="1:1">
      <c r="A591" t="s">
        <v>4548</v>
      </c>
    </row>
    <row r="592" spans="1:1">
      <c r="A592" t="s">
        <v>4549</v>
      </c>
    </row>
    <row r="593" spans="1:1">
      <c r="A593" t="s">
        <v>4550</v>
      </c>
    </row>
    <row r="594" spans="1:1">
      <c r="A594" t="s">
        <v>4551</v>
      </c>
    </row>
    <row r="595" spans="1:1">
      <c r="A595" t="s">
        <v>4552</v>
      </c>
    </row>
    <row r="596" spans="1:1">
      <c r="A596" t="s">
        <v>4553</v>
      </c>
    </row>
    <row r="597" spans="1:1">
      <c r="A597" t="s">
        <v>4554</v>
      </c>
    </row>
    <row r="598" spans="1:1">
      <c r="A598" t="s">
        <v>4555</v>
      </c>
    </row>
    <row r="599" spans="1:1">
      <c r="A599" t="s">
        <v>4556</v>
      </c>
    </row>
    <row r="600" spans="1:1">
      <c r="A600" t="s">
        <v>4557</v>
      </c>
    </row>
    <row r="601" spans="1:1">
      <c r="A601" t="s">
        <v>4558</v>
      </c>
    </row>
    <row r="602" spans="1:1">
      <c r="A602" t="s">
        <v>4559</v>
      </c>
    </row>
    <row r="603" spans="1:1">
      <c r="A603" t="s">
        <v>4560</v>
      </c>
    </row>
    <row r="604" spans="1:1">
      <c r="A604" t="s">
        <v>4561</v>
      </c>
    </row>
    <row r="605" spans="1:1">
      <c r="A605" t="s">
        <v>4562</v>
      </c>
    </row>
    <row r="606" spans="1:1">
      <c r="A606" t="s">
        <v>4563</v>
      </c>
    </row>
    <row r="607" spans="1:1">
      <c r="A607" t="s">
        <v>4564</v>
      </c>
    </row>
    <row r="608" spans="1:1">
      <c r="A608" t="s">
        <v>4565</v>
      </c>
    </row>
    <row r="609" spans="1:1">
      <c r="A609" t="s">
        <v>4566</v>
      </c>
    </row>
    <row r="610" spans="1:1">
      <c r="A610" t="s">
        <v>4567</v>
      </c>
    </row>
    <row r="611" spans="1:1">
      <c r="A611" t="s">
        <v>4568</v>
      </c>
    </row>
    <row r="612" spans="1:1">
      <c r="A612" t="s">
        <v>4569</v>
      </c>
    </row>
    <row r="613" spans="1:1">
      <c r="A613" t="s">
        <v>4570</v>
      </c>
    </row>
    <row r="614" spans="1:1">
      <c r="A614" t="s">
        <v>4571</v>
      </c>
    </row>
    <row r="615" spans="1:1">
      <c r="A615" t="s">
        <v>4572</v>
      </c>
    </row>
    <row r="616" spans="1:1">
      <c r="A616" t="s">
        <v>4573</v>
      </c>
    </row>
    <row r="617" spans="1:1">
      <c r="A617" t="s">
        <v>4574</v>
      </c>
    </row>
    <row r="618" spans="1:1">
      <c r="A618" t="s">
        <v>4575</v>
      </c>
    </row>
    <row r="619" spans="1:1">
      <c r="A619" t="s">
        <v>4576</v>
      </c>
    </row>
    <row r="620" spans="1:1">
      <c r="A620" t="s">
        <v>4577</v>
      </c>
    </row>
    <row r="621" spans="1:1">
      <c r="A621" t="s">
        <v>4578</v>
      </c>
    </row>
    <row r="622" spans="1:1">
      <c r="A622" t="s">
        <v>4579</v>
      </c>
    </row>
    <row r="623" spans="1:1">
      <c r="A623" t="s">
        <v>4580</v>
      </c>
    </row>
    <row r="624" spans="1:1">
      <c r="A624" t="s">
        <v>4581</v>
      </c>
    </row>
    <row r="625" spans="1:1">
      <c r="A625" t="s">
        <v>4582</v>
      </c>
    </row>
    <row r="626" spans="1:1">
      <c r="A626" t="s">
        <v>4583</v>
      </c>
    </row>
    <row r="627" spans="1:1">
      <c r="A627" t="s">
        <v>4584</v>
      </c>
    </row>
    <row r="628" spans="1:1">
      <c r="A628" t="s">
        <v>4585</v>
      </c>
    </row>
    <row r="629" spans="1:1">
      <c r="A629" t="s">
        <v>4586</v>
      </c>
    </row>
    <row r="630" spans="1:1">
      <c r="A630" t="s">
        <v>4587</v>
      </c>
    </row>
    <row r="631" spans="1:1">
      <c r="A631" t="s">
        <v>4588</v>
      </c>
    </row>
    <row r="632" spans="1:1">
      <c r="A632" t="s">
        <v>4589</v>
      </c>
    </row>
    <row r="633" spans="1:1">
      <c r="A633" t="s">
        <v>4590</v>
      </c>
    </row>
    <row r="634" spans="1:1">
      <c r="A634" t="s">
        <v>4591</v>
      </c>
    </row>
    <row r="635" spans="1:1">
      <c r="A635" t="s">
        <v>4592</v>
      </c>
    </row>
    <row r="636" spans="1:1">
      <c r="A636" t="s">
        <v>4593</v>
      </c>
    </row>
    <row r="637" spans="1:1">
      <c r="A637" t="s">
        <v>4594</v>
      </c>
    </row>
    <row r="638" spans="1:1">
      <c r="A638" t="s">
        <v>4595</v>
      </c>
    </row>
    <row r="639" spans="1:1">
      <c r="A639" t="s">
        <v>4596</v>
      </c>
    </row>
    <row r="640" spans="1:1">
      <c r="A640" t="s">
        <v>4597</v>
      </c>
    </row>
    <row r="641" spans="1:1">
      <c r="A641" t="s">
        <v>4598</v>
      </c>
    </row>
    <row r="642" spans="1:1">
      <c r="A642" t="s">
        <v>4599</v>
      </c>
    </row>
    <row r="643" spans="1:1">
      <c r="A643" t="s">
        <v>4600</v>
      </c>
    </row>
    <row r="644" spans="1:1">
      <c r="A644" t="s">
        <v>4601</v>
      </c>
    </row>
    <row r="645" spans="1:1">
      <c r="A645" t="s">
        <v>4602</v>
      </c>
    </row>
    <row r="646" spans="1:1">
      <c r="A646" t="s">
        <v>4603</v>
      </c>
    </row>
    <row r="647" spans="1:1">
      <c r="A647" t="s">
        <v>4604</v>
      </c>
    </row>
    <row r="648" spans="1:1">
      <c r="A648" t="s">
        <v>4605</v>
      </c>
    </row>
    <row r="649" spans="1:1">
      <c r="A649" t="s">
        <v>4606</v>
      </c>
    </row>
    <row r="650" spans="1:1">
      <c r="A650" t="s">
        <v>4607</v>
      </c>
    </row>
    <row r="651" spans="1:1">
      <c r="A651" t="s">
        <v>4608</v>
      </c>
    </row>
    <row r="652" spans="1:1">
      <c r="A652" t="s">
        <v>4609</v>
      </c>
    </row>
    <row r="653" spans="1:1">
      <c r="A653" t="s">
        <v>4610</v>
      </c>
    </row>
    <row r="654" spans="1:1">
      <c r="A654" t="s">
        <v>4611</v>
      </c>
    </row>
    <row r="655" spans="1:1">
      <c r="A655" t="s">
        <v>4612</v>
      </c>
    </row>
    <row r="656" spans="1:1">
      <c r="A656" t="s">
        <v>4613</v>
      </c>
    </row>
    <row r="657" spans="1:1">
      <c r="A657" t="s">
        <v>4614</v>
      </c>
    </row>
    <row r="658" spans="1:1">
      <c r="A658" t="s">
        <v>4615</v>
      </c>
    </row>
    <row r="659" spans="1:1">
      <c r="A659" t="s">
        <v>4616</v>
      </c>
    </row>
    <row r="660" spans="1:1">
      <c r="A660" t="s">
        <v>4617</v>
      </c>
    </row>
    <row r="661" spans="1:1">
      <c r="A661" t="s">
        <v>4618</v>
      </c>
    </row>
    <row r="662" spans="1:1">
      <c r="A662" t="s">
        <v>4619</v>
      </c>
    </row>
    <row r="663" spans="1:1">
      <c r="A663" t="s">
        <v>4620</v>
      </c>
    </row>
    <row r="664" spans="1:1">
      <c r="A664" t="s">
        <v>4621</v>
      </c>
    </row>
    <row r="665" spans="1:1">
      <c r="A665" t="s">
        <v>4622</v>
      </c>
    </row>
    <row r="666" spans="1:1">
      <c r="A666" t="s">
        <v>4623</v>
      </c>
    </row>
    <row r="667" spans="1:1">
      <c r="A667" t="s">
        <v>4624</v>
      </c>
    </row>
    <row r="668" spans="1:1">
      <c r="A668" t="s">
        <v>4625</v>
      </c>
    </row>
    <row r="669" spans="1:1">
      <c r="A669" t="s">
        <v>4626</v>
      </c>
    </row>
    <row r="670" spans="1:1">
      <c r="A670" t="s">
        <v>4627</v>
      </c>
    </row>
    <row r="671" spans="1:1">
      <c r="A671" t="s">
        <v>4628</v>
      </c>
    </row>
    <row r="672" spans="1:1">
      <c r="A672" t="s">
        <v>4629</v>
      </c>
    </row>
    <row r="673" spans="1:1">
      <c r="A673" t="s">
        <v>4630</v>
      </c>
    </row>
    <row r="674" spans="1:1">
      <c r="A674" t="s">
        <v>4631</v>
      </c>
    </row>
    <row r="675" spans="1:1">
      <c r="A675" t="s">
        <v>4632</v>
      </c>
    </row>
    <row r="676" spans="1:1">
      <c r="A676" t="s">
        <v>4633</v>
      </c>
    </row>
    <row r="677" spans="1:1">
      <c r="A677" t="s">
        <v>4634</v>
      </c>
    </row>
    <row r="678" spans="1:1">
      <c r="A678" t="s">
        <v>4635</v>
      </c>
    </row>
    <row r="679" spans="1:1">
      <c r="A679" t="s">
        <v>4636</v>
      </c>
    </row>
    <row r="680" spans="1:1">
      <c r="A680" t="s">
        <v>4637</v>
      </c>
    </row>
    <row r="681" spans="1:1">
      <c r="A681" t="s">
        <v>4638</v>
      </c>
    </row>
    <row r="682" spans="1:1">
      <c r="A682" t="s">
        <v>4639</v>
      </c>
    </row>
    <row r="683" spans="1:1">
      <c r="A683" t="s">
        <v>4640</v>
      </c>
    </row>
    <row r="684" spans="1:1">
      <c r="A684" t="s">
        <v>4641</v>
      </c>
    </row>
    <row r="685" spans="1:1">
      <c r="A685" t="s">
        <v>4642</v>
      </c>
    </row>
    <row r="686" spans="1:1">
      <c r="A686" t="s">
        <v>4643</v>
      </c>
    </row>
    <row r="687" spans="1:1">
      <c r="A687" t="s">
        <v>4644</v>
      </c>
    </row>
    <row r="688" spans="1:1">
      <c r="A688" t="s">
        <v>4645</v>
      </c>
    </row>
    <row r="689" spans="1:1">
      <c r="A689" t="s">
        <v>4646</v>
      </c>
    </row>
    <row r="690" spans="1:1">
      <c r="A690" t="s">
        <v>4647</v>
      </c>
    </row>
    <row r="691" spans="1:1">
      <c r="A691" t="s">
        <v>4648</v>
      </c>
    </row>
    <row r="692" spans="1:1">
      <c r="A692" t="s">
        <v>4649</v>
      </c>
    </row>
    <row r="693" spans="1:1">
      <c r="A693" t="s">
        <v>4650</v>
      </c>
    </row>
    <row r="694" spans="1:1">
      <c r="A694" t="s">
        <v>4651</v>
      </c>
    </row>
    <row r="695" spans="1:1">
      <c r="A695" t="s">
        <v>4652</v>
      </c>
    </row>
    <row r="696" spans="1:1">
      <c r="A696" t="s">
        <v>4653</v>
      </c>
    </row>
    <row r="697" spans="1:1">
      <c r="A697" t="s">
        <v>4654</v>
      </c>
    </row>
    <row r="698" spans="1:1">
      <c r="A698" t="s">
        <v>4655</v>
      </c>
    </row>
    <row r="699" spans="1:1">
      <c r="A699" t="s">
        <v>4656</v>
      </c>
    </row>
    <row r="700" spans="1:1">
      <c r="A700" t="s">
        <v>4657</v>
      </c>
    </row>
    <row r="701" spans="1:1">
      <c r="A701" t="s">
        <v>4658</v>
      </c>
    </row>
    <row r="702" spans="1:1">
      <c r="A702" t="s">
        <v>4659</v>
      </c>
    </row>
    <row r="703" spans="1:1">
      <c r="A703" t="s">
        <v>4660</v>
      </c>
    </row>
    <row r="704" spans="1:1">
      <c r="A704" t="s">
        <v>4661</v>
      </c>
    </row>
    <row r="705" spans="1:1">
      <c r="A705" t="s">
        <v>4662</v>
      </c>
    </row>
    <row r="706" spans="1:1">
      <c r="A706" t="s">
        <v>4663</v>
      </c>
    </row>
    <row r="707" spans="1:1">
      <c r="A707" t="s">
        <v>4664</v>
      </c>
    </row>
    <row r="708" spans="1:1">
      <c r="A708" t="s">
        <v>4665</v>
      </c>
    </row>
    <row r="709" spans="1:1">
      <c r="A709" t="s">
        <v>4666</v>
      </c>
    </row>
    <row r="710" spans="1:1">
      <c r="A710" t="s">
        <v>4667</v>
      </c>
    </row>
    <row r="711" spans="1:1">
      <c r="A711" t="s">
        <v>4668</v>
      </c>
    </row>
    <row r="712" spans="1:1">
      <c r="A712" t="s">
        <v>4669</v>
      </c>
    </row>
    <row r="713" spans="1:1">
      <c r="A713" t="s">
        <v>4670</v>
      </c>
    </row>
    <row r="714" spans="1:1">
      <c r="A714" t="s">
        <v>4671</v>
      </c>
    </row>
    <row r="715" spans="1:1">
      <c r="A715" t="s">
        <v>4672</v>
      </c>
    </row>
    <row r="716" spans="1:1">
      <c r="A716" t="s">
        <v>4673</v>
      </c>
    </row>
    <row r="717" spans="1:1">
      <c r="A717" t="s">
        <v>4674</v>
      </c>
    </row>
    <row r="718" spans="1:1">
      <c r="A718" t="s">
        <v>4675</v>
      </c>
    </row>
    <row r="719" spans="1:1">
      <c r="A719" t="s">
        <v>4676</v>
      </c>
    </row>
    <row r="720" spans="1:1">
      <c r="A720" t="s">
        <v>4677</v>
      </c>
    </row>
    <row r="721" spans="1:1">
      <c r="A721" t="s">
        <v>4678</v>
      </c>
    </row>
    <row r="722" spans="1:1">
      <c r="A722" t="s">
        <v>4679</v>
      </c>
    </row>
    <row r="723" spans="1:1">
      <c r="A723" t="s">
        <v>4680</v>
      </c>
    </row>
    <row r="724" spans="1:1">
      <c r="A724" t="s">
        <v>4681</v>
      </c>
    </row>
    <row r="725" spans="1:1">
      <c r="A725" t="s">
        <v>4682</v>
      </c>
    </row>
    <row r="726" spans="1:1">
      <c r="A726" t="s">
        <v>4683</v>
      </c>
    </row>
    <row r="727" spans="1:1">
      <c r="A727" t="s">
        <v>4684</v>
      </c>
    </row>
    <row r="728" spans="1:1">
      <c r="A728" t="s">
        <v>4685</v>
      </c>
    </row>
    <row r="729" spans="1:1">
      <c r="A729" t="s">
        <v>4686</v>
      </c>
    </row>
    <row r="730" spans="1:1">
      <c r="A730" t="s">
        <v>4687</v>
      </c>
    </row>
    <row r="731" spans="1:1">
      <c r="A731" t="s">
        <v>4688</v>
      </c>
    </row>
    <row r="732" spans="1:1">
      <c r="A732" t="s">
        <v>4689</v>
      </c>
    </row>
    <row r="733" spans="1:1">
      <c r="A733" t="s">
        <v>4690</v>
      </c>
    </row>
    <row r="734" spans="1:1">
      <c r="A734" t="s">
        <v>4691</v>
      </c>
    </row>
    <row r="735" spans="1:1">
      <c r="A735" t="s">
        <v>4692</v>
      </c>
    </row>
    <row r="736" spans="1:1">
      <c r="A736" t="s">
        <v>4693</v>
      </c>
    </row>
    <row r="737" spans="1:1">
      <c r="A737" t="s">
        <v>4694</v>
      </c>
    </row>
    <row r="738" spans="1:1">
      <c r="A738" t="s">
        <v>4695</v>
      </c>
    </row>
    <row r="739" spans="1:1">
      <c r="A739" t="s">
        <v>4696</v>
      </c>
    </row>
    <row r="740" spans="1:1">
      <c r="A740" t="s">
        <v>4697</v>
      </c>
    </row>
    <row r="741" spans="1:1">
      <c r="A741" t="s">
        <v>4698</v>
      </c>
    </row>
    <row r="742" spans="1:1">
      <c r="A742" t="s">
        <v>4699</v>
      </c>
    </row>
    <row r="743" spans="1:1">
      <c r="A743" t="s">
        <v>4700</v>
      </c>
    </row>
    <row r="744" spans="1:1">
      <c r="A744" t="s">
        <v>4701</v>
      </c>
    </row>
    <row r="745" spans="1:1">
      <c r="A745" t="s">
        <v>4702</v>
      </c>
    </row>
    <row r="746" spans="1:1">
      <c r="A746" t="s">
        <v>4703</v>
      </c>
    </row>
    <row r="747" spans="1:1">
      <c r="A747" t="s">
        <v>4704</v>
      </c>
    </row>
    <row r="748" spans="1:1">
      <c r="A748" t="s">
        <v>4705</v>
      </c>
    </row>
    <row r="749" spans="1:1">
      <c r="A749" t="s">
        <v>4706</v>
      </c>
    </row>
    <row r="750" spans="1:1">
      <c r="A750" t="s">
        <v>4707</v>
      </c>
    </row>
    <row r="751" spans="1:1">
      <c r="A751" t="s">
        <v>4708</v>
      </c>
    </row>
    <row r="752" spans="1:1">
      <c r="A752" t="s">
        <v>4709</v>
      </c>
    </row>
    <row r="753" spans="1:1">
      <c r="A753" t="s">
        <v>4710</v>
      </c>
    </row>
    <row r="754" spans="1:1">
      <c r="A754" t="s">
        <v>4711</v>
      </c>
    </row>
    <row r="755" spans="1:1">
      <c r="A755" t="s">
        <v>4712</v>
      </c>
    </row>
    <row r="756" spans="1:1">
      <c r="A756" t="s">
        <v>4713</v>
      </c>
    </row>
    <row r="757" spans="1:1">
      <c r="A757" t="s">
        <v>4714</v>
      </c>
    </row>
    <row r="758" spans="1:1">
      <c r="A758" t="s">
        <v>4715</v>
      </c>
    </row>
    <row r="759" spans="1:1">
      <c r="A759" t="s">
        <v>4716</v>
      </c>
    </row>
    <row r="760" spans="1:1">
      <c r="A760" t="s">
        <v>4717</v>
      </c>
    </row>
    <row r="761" spans="1:1">
      <c r="A761" t="s">
        <v>4718</v>
      </c>
    </row>
    <row r="762" spans="1:1">
      <c r="A762" t="s">
        <v>4719</v>
      </c>
    </row>
    <row r="763" spans="1:1">
      <c r="A763" t="s">
        <v>4720</v>
      </c>
    </row>
    <row r="764" spans="1:1">
      <c r="A764" t="s">
        <v>4721</v>
      </c>
    </row>
    <row r="765" spans="1:1">
      <c r="A765" t="s">
        <v>4722</v>
      </c>
    </row>
    <row r="766" spans="1:1">
      <c r="A766" t="s">
        <v>4723</v>
      </c>
    </row>
    <row r="767" spans="1:1">
      <c r="A767" t="s">
        <v>4724</v>
      </c>
    </row>
    <row r="768" spans="1:1">
      <c r="A768" t="s">
        <v>4725</v>
      </c>
    </row>
    <row r="769" spans="1:1">
      <c r="A769" t="s">
        <v>4726</v>
      </c>
    </row>
    <row r="770" spans="1:1">
      <c r="A770" t="s">
        <v>4727</v>
      </c>
    </row>
    <row r="771" spans="1:1">
      <c r="A771" t="s">
        <v>4728</v>
      </c>
    </row>
    <row r="772" spans="1:1">
      <c r="A772" t="s">
        <v>4729</v>
      </c>
    </row>
    <row r="773" spans="1:1">
      <c r="A773" t="s">
        <v>4730</v>
      </c>
    </row>
    <row r="774" spans="1:1">
      <c r="A774" t="s">
        <v>4731</v>
      </c>
    </row>
    <row r="775" spans="1:1">
      <c r="A775" t="s">
        <v>4732</v>
      </c>
    </row>
    <row r="776" spans="1:1">
      <c r="A776" t="s">
        <v>4733</v>
      </c>
    </row>
    <row r="777" spans="1:1">
      <c r="A777" t="s">
        <v>4734</v>
      </c>
    </row>
    <row r="778" spans="1:1">
      <c r="A778" t="s">
        <v>4735</v>
      </c>
    </row>
    <row r="779" spans="1:1">
      <c r="A779" t="s">
        <v>4736</v>
      </c>
    </row>
    <row r="780" spans="1:1">
      <c r="A780" t="s">
        <v>4737</v>
      </c>
    </row>
    <row r="781" spans="1:1">
      <c r="A781" t="s">
        <v>4738</v>
      </c>
    </row>
    <row r="782" spans="1:1">
      <c r="A782" t="s">
        <v>4739</v>
      </c>
    </row>
    <row r="783" spans="1:1">
      <c r="A783" t="s">
        <v>4740</v>
      </c>
    </row>
    <row r="784" spans="1:1">
      <c r="A784" t="s">
        <v>4741</v>
      </c>
    </row>
    <row r="785" spans="1:1">
      <c r="A785" t="s">
        <v>4742</v>
      </c>
    </row>
    <row r="786" spans="1:1">
      <c r="A786" t="s">
        <v>4743</v>
      </c>
    </row>
    <row r="787" spans="1:1">
      <c r="A787" t="s">
        <v>4744</v>
      </c>
    </row>
    <row r="788" spans="1:1">
      <c r="A788" t="s">
        <v>4745</v>
      </c>
    </row>
    <row r="789" spans="1:1">
      <c r="A789" t="s">
        <v>4746</v>
      </c>
    </row>
    <row r="790" spans="1:1">
      <c r="A790" t="s">
        <v>4747</v>
      </c>
    </row>
    <row r="791" spans="1:1">
      <c r="A791" t="s">
        <v>4748</v>
      </c>
    </row>
    <row r="792" spans="1:1">
      <c r="A792" t="s">
        <v>4749</v>
      </c>
    </row>
    <row r="793" spans="1:1">
      <c r="A793" t="s">
        <v>4750</v>
      </c>
    </row>
    <row r="794" spans="1:1">
      <c r="A794" t="s">
        <v>4751</v>
      </c>
    </row>
    <row r="795" spans="1:1">
      <c r="A795" t="s">
        <v>4752</v>
      </c>
    </row>
    <row r="796" spans="1:1">
      <c r="A796" t="s">
        <v>4753</v>
      </c>
    </row>
    <row r="797" spans="1:1">
      <c r="A797" t="s">
        <v>4754</v>
      </c>
    </row>
    <row r="798" spans="1:1">
      <c r="A798" t="s">
        <v>4755</v>
      </c>
    </row>
    <row r="799" spans="1:1">
      <c r="A799" t="s">
        <v>4756</v>
      </c>
    </row>
    <row r="800" spans="1:1">
      <c r="A800" t="s">
        <v>4757</v>
      </c>
    </row>
    <row r="801" spans="1:1">
      <c r="A801" t="s">
        <v>4758</v>
      </c>
    </row>
    <row r="802" spans="1:1">
      <c r="A802" t="s">
        <v>4759</v>
      </c>
    </row>
    <row r="803" spans="1:1">
      <c r="A803" t="s">
        <v>4760</v>
      </c>
    </row>
    <row r="804" spans="1:1">
      <c r="A804" t="s">
        <v>4761</v>
      </c>
    </row>
    <row r="805" spans="1:1">
      <c r="A805" t="s">
        <v>4762</v>
      </c>
    </row>
    <row r="806" spans="1:1">
      <c r="A806" t="s">
        <v>4763</v>
      </c>
    </row>
    <row r="807" spans="1:1">
      <c r="A807" t="s">
        <v>4764</v>
      </c>
    </row>
    <row r="808" spans="1:1">
      <c r="A808" t="s">
        <v>4765</v>
      </c>
    </row>
    <row r="809" spans="1:1">
      <c r="A809" t="s">
        <v>4766</v>
      </c>
    </row>
    <row r="810" spans="1:1">
      <c r="A810" t="s">
        <v>4767</v>
      </c>
    </row>
    <row r="811" spans="1:1">
      <c r="A811" t="s">
        <v>4768</v>
      </c>
    </row>
    <row r="812" spans="1:1">
      <c r="A812" t="s">
        <v>4769</v>
      </c>
    </row>
    <row r="813" spans="1:1">
      <c r="A813" t="s">
        <v>4770</v>
      </c>
    </row>
    <row r="814" spans="1:1">
      <c r="A814" t="s">
        <v>4771</v>
      </c>
    </row>
    <row r="815" spans="1:1">
      <c r="A815" t="s">
        <v>4772</v>
      </c>
    </row>
    <row r="816" spans="1:1">
      <c r="A816" t="s">
        <v>4773</v>
      </c>
    </row>
    <row r="817" spans="1:1">
      <c r="A817" t="s">
        <v>4774</v>
      </c>
    </row>
    <row r="818" spans="1:1">
      <c r="A818" t="s">
        <v>4775</v>
      </c>
    </row>
    <row r="819" spans="1:1">
      <c r="A819" t="s">
        <v>4776</v>
      </c>
    </row>
    <row r="820" spans="1:1">
      <c r="A820" t="s">
        <v>4777</v>
      </c>
    </row>
    <row r="821" spans="1:1">
      <c r="A821" t="s">
        <v>4778</v>
      </c>
    </row>
    <row r="822" spans="1:1">
      <c r="A822" t="s">
        <v>4779</v>
      </c>
    </row>
    <row r="823" spans="1:1">
      <c r="A823" t="s">
        <v>4780</v>
      </c>
    </row>
    <row r="824" spans="1:1">
      <c r="A824" t="s">
        <v>4781</v>
      </c>
    </row>
    <row r="825" spans="1:1">
      <c r="A825" t="s">
        <v>4782</v>
      </c>
    </row>
    <row r="826" spans="1:1">
      <c r="A826" t="s">
        <v>4783</v>
      </c>
    </row>
    <row r="827" spans="1:1">
      <c r="A827" t="s">
        <v>4784</v>
      </c>
    </row>
    <row r="828" spans="1:1">
      <c r="A828" t="s">
        <v>4785</v>
      </c>
    </row>
    <row r="829" spans="1:1">
      <c r="A829" t="s">
        <v>4786</v>
      </c>
    </row>
    <row r="830" spans="1:1">
      <c r="A830" t="s">
        <v>4787</v>
      </c>
    </row>
    <row r="831" spans="1:1">
      <c r="A831" t="s">
        <v>4788</v>
      </c>
    </row>
    <row r="832" spans="1:1">
      <c r="A832" t="s">
        <v>4789</v>
      </c>
    </row>
    <row r="833" spans="1:1">
      <c r="A833" t="s">
        <v>4790</v>
      </c>
    </row>
    <row r="834" spans="1:1">
      <c r="A834" t="s">
        <v>4791</v>
      </c>
    </row>
    <row r="835" spans="1:1">
      <c r="A835" t="s">
        <v>4792</v>
      </c>
    </row>
    <row r="836" spans="1:1">
      <c r="A836" t="s">
        <v>4793</v>
      </c>
    </row>
    <row r="837" spans="1:1">
      <c r="A837" t="s">
        <v>4794</v>
      </c>
    </row>
    <row r="838" spans="1:1">
      <c r="A838" t="s">
        <v>4795</v>
      </c>
    </row>
    <row r="839" spans="1:1">
      <c r="A839" t="s">
        <v>4796</v>
      </c>
    </row>
    <row r="840" spans="1:1">
      <c r="A840" t="s">
        <v>4797</v>
      </c>
    </row>
    <row r="841" spans="1:1">
      <c r="A841" t="s">
        <v>4798</v>
      </c>
    </row>
    <row r="842" spans="1:1">
      <c r="A842" t="s">
        <v>4799</v>
      </c>
    </row>
    <row r="843" spans="1:1">
      <c r="A843" t="s">
        <v>4800</v>
      </c>
    </row>
    <row r="844" spans="1:1">
      <c r="A844" t="s">
        <v>4801</v>
      </c>
    </row>
    <row r="845" spans="1:1">
      <c r="A845" t="s">
        <v>4802</v>
      </c>
    </row>
    <row r="846" spans="1:1">
      <c r="A846" t="s">
        <v>4803</v>
      </c>
    </row>
    <row r="847" spans="1:1">
      <c r="A847" t="s">
        <v>4804</v>
      </c>
    </row>
    <row r="848" spans="1:1">
      <c r="A848" t="s">
        <v>4805</v>
      </c>
    </row>
    <row r="849" spans="1:1">
      <c r="A849" t="s">
        <v>4806</v>
      </c>
    </row>
    <row r="850" spans="1:1">
      <c r="A850" t="s">
        <v>4807</v>
      </c>
    </row>
    <row r="851" spans="1:1">
      <c r="A851" t="s">
        <v>4808</v>
      </c>
    </row>
    <row r="852" spans="1:1">
      <c r="A852" t="s">
        <v>4809</v>
      </c>
    </row>
    <row r="853" spans="1:1">
      <c r="A853" t="s">
        <v>4810</v>
      </c>
    </row>
    <row r="854" spans="1:1">
      <c r="A854" t="s">
        <v>4811</v>
      </c>
    </row>
    <row r="855" spans="1:1">
      <c r="A855" t="s">
        <v>4812</v>
      </c>
    </row>
    <row r="856" spans="1:1">
      <c r="A856" t="s">
        <v>4813</v>
      </c>
    </row>
    <row r="857" spans="1:1">
      <c r="A857" t="s">
        <v>4814</v>
      </c>
    </row>
    <row r="858" spans="1:1">
      <c r="A858" t="s">
        <v>4815</v>
      </c>
    </row>
    <row r="859" spans="1:1">
      <c r="A859" t="s">
        <v>4816</v>
      </c>
    </row>
    <row r="860" spans="1:1">
      <c r="A860" t="s">
        <v>4817</v>
      </c>
    </row>
    <row r="861" spans="1:1">
      <c r="A861" t="s">
        <v>4818</v>
      </c>
    </row>
    <row r="862" spans="1:1">
      <c r="A862" t="s">
        <v>4819</v>
      </c>
    </row>
    <row r="863" spans="1:1">
      <c r="A863" t="s">
        <v>4820</v>
      </c>
    </row>
    <row r="864" spans="1:1">
      <c r="A864" t="s">
        <v>4821</v>
      </c>
    </row>
    <row r="865" spans="1:1">
      <c r="A865" t="s">
        <v>4822</v>
      </c>
    </row>
    <row r="866" spans="1:1">
      <c r="A866" t="s">
        <v>4823</v>
      </c>
    </row>
    <row r="867" spans="1:1">
      <c r="A867" t="s">
        <v>4824</v>
      </c>
    </row>
    <row r="868" spans="1:1">
      <c r="A868" t="s">
        <v>4825</v>
      </c>
    </row>
    <row r="869" spans="1:1">
      <c r="A869" t="s">
        <v>4826</v>
      </c>
    </row>
    <row r="870" spans="1:1">
      <c r="A870" t="s">
        <v>4827</v>
      </c>
    </row>
    <row r="871" spans="1:1">
      <c r="A871" t="s">
        <v>4828</v>
      </c>
    </row>
    <row r="872" spans="1:1">
      <c r="A872" t="s">
        <v>4829</v>
      </c>
    </row>
    <row r="873" spans="1:1">
      <c r="A873" t="s">
        <v>4830</v>
      </c>
    </row>
    <row r="874" spans="1:1">
      <c r="A874" t="s">
        <v>4831</v>
      </c>
    </row>
    <row r="875" spans="1:1">
      <c r="A875" t="s">
        <v>4832</v>
      </c>
    </row>
    <row r="876" spans="1:1">
      <c r="A876" t="s">
        <v>4833</v>
      </c>
    </row>
    <row r="877" spans="1:1">
      <c r="A877" t="s">
        <v>4834</v>
      </c>
    </row>
    <row r="878" spans="1:1">
      <c r="A878" t="s">
        <v>4835</v>
      </c>
    </row>
    <row r="879" spans="1:1">
      <c r="A879" t="s">
        <v>4836</v>
      </c>
    </row>
    <row r="880" spans="1:1">
      <c r="A880" t="s">
        <v>4837</v>
      </c>
    </row>
    <row r="881" spans="1:1">
      <c r="A881" t="s">
        <v>4838</v>
      </c>
    </row>
    <row r="882" spans="1:1">
      <c r="A882" t="s">
        <v>4839</v>
      </c>
    </row>
    <row r="883" spans="1:1">
      <c r="A883" t="s">
        <v>4840</v>
      </c>
    </row>
    <row r="884" spans="1:1">
      <c r="A884" t="s">
        <v>4841</v>
      </c>
    </row>
    <row r="885" spans="1:1">
      <c r="A885" t="s">
        <v>4842</v>
      </c>
    </row>
    <row r="886" spans="1:1">
      <c r="A886" t="s">
        <v>4843</v>
      </c>
    </row>
    <row r="887" spans="1:1">
      <c r="A887" t="s">
        <v>4844</v>
      </c>
    </row>
    <row r="888" spans="1:1">
      <c r="A888" t="s">
        <v>4845</v>
      </c>
    </row>
    <row r="889" spans="1:1">
      <c r="A889" t="s">
        <v>4846</v>
      </c>
    </row>
    <row r="890" spans="1:1">
      <c r="A890" t="s">
        <v>4847</v>
      </c>
    </row>
    <row r="891" spans="1:1">
      <c r="A891" t="s">
        <v>4848</v>
      </c>
    </row>
    <row r="892" spans="1:1">
      <c r="A892" t="s">
        <v>4849</v>
      </c>
    </row>
    <row r="893" spans="1:1">
      <c r="A893" t="s">
        <v>4850</v>
      </c>
    </row>
    <row r="894" spans="1:1">
      <c r="A894" t="s">
        <v>4851</v>
      </c>
    </row>
    <row r="895" spans="1:1">
      <c r="A895" t="s">
        <v>4852</v>
      </c>
    </row>
    <row r="896" spans="1:1">
      <c r="A896" t="s">
        <v>4853</v>
      </c>
    </row>
    <row r="897" spans="1:1">
      <c r="A897" t="s">
        <v>4854</v>
      </c>
    </row>
    <row r="898" spans="1:1">
      <c r="A898" t="s">
        <v>4855</v>
      </c>
    </row>
    <row r="899" spans="1:1">
      <c r="A899" t="s">
        <v>4856</v>
      </c>
    </row>
    <row r="900" spans="1:1">
      <c r="A900" t="s">
        <v>4857</v>
      </c>
    </row>
    <row r="901" spans="1:1">
      <c r="A901" t="s">
        <v>4858</v>
      </c>
    </row>
    <row r="902" spans="1:1">
      <c r="A902" t="s">
        <v>4859</v>
      </c>
    </row>
    <row r="903" spans="1:1">
      <c r="A903" t="s">
        <v>4860</v>
      </c>
    </row>
    <row r="904" spans="1:1">
      <c r="A904" t="s">
        <v>4861</v>
      </c>
    </row>
    <row r="905" spans="1:1">
      <c r="A905" t="s">
        <v>4862</v>
      </c>
    </row>
    <row r="906" spans="1:1">
      <c r="A906" t="s">
        <v>4863</v>
      </c>
    </row>
    <row r="907" spans="1:1">
      <c r="A907" t="s">
        <v>4864</v>
      </c>
    </row>
    <row r="908" spans="1:1">
      <c r="A908" t="s">
        <v>4865</v>
      </c>
    </row>
    <row r="909" spans="1:1">
      <c r="A909" t="s">
        <v>4866</v>
      </c>
    </row>
    <row r="910" spans="1:1">
      <c r="A910" t="s">
        <v>4867</v>
      </c>
    </row>
    <row r="911" spans="1:1">
      <c r="A911" t="s">
        <v>4868</v>
      </c>
    </row>
    <row r="912" spans="1:1">
      <c r="A912" t="s">
        <v>4869</v>
      </c>
    </row>
    <row r="913" spans="1:1">
      <c r="A913" t="s">
        <v>4870</v>
      </c>
    </row>
    <row r="914" spans="1:1">
      <c r="A914" t="s">
        <v>4871</v>
      </c>
    </row>
    <row r="915" spans="1:1">
      <c r="A915" t="s">
        <v>4872</v>
      </c>
    </row>
    <row r="916" spans="1:1">
      <c r="A916" t="s">
        <v>4873</v>
      </c>
    </row>
    <row r="917" spans="1:1">
      <c r="A917" t="s">
        <v>4874</v>
      </c>
    </row>
    <row r="918" spans="1:1">
      <c r="A918" t="s">
        <v>4875</v>
      </c>
    </row>
    <row r="919" spans="1:1">
      <c r="A919" t="s">
        <v>4876</v>
      </c>
    </row>
    <row r="920" spans="1:1">
      <c r="A920" t="s">
        <v>4877</v>
      </c>
    </row>
    <row r="921" spans="1:1">
      <c r="A921" t="s">
        <v>4878</v>
      </c>
    </row>
    <row r="922" spans="1:1">
      <c r="A922" t="s">
        <v>4879</v>
      </c>
    </row>
    <row r="923" spans="1:1">
      <c r="A923" t="s">
        <v>4880</v>
      </c>
    </row>
    <row r="924" spans="1:1">
      <c r="A924" t="s">
        <v>4881</v>
      </c>
    </row>
    <row r="925" spans="1:1">
      <c r="A925" t="s">
        <v>4882</v>
      </c>
    </row>
    <row r="926" spans="1:1">
      <c r="A926" t="s">
        <v>4883</v>
      </c>
    </row>
    <row r="927" spans="1:1">
      <c r="A927" t="s">
        <v>4884</v>
      </c>
    </row>
    <row r="928" spans="1:1">
      <c r="A928" t="s">
        <v>4885</v>
      </c>
    </row>
    <row r="929" spans="1:1">
      <c r="A929" t="s">
        <v>4886</v>
      </c>
    </row>
    <row r="930" spans="1:1">
      <c r="A930" t="s">
        <v>4887</v>
      </c>
    </row>
    <row r="931" spans="1:1">
      <c r="A931" t="s">
        <v>4888</v>
      </c>
    </row>
    <row r="932" spans="1:1">
      <c r="A932" t="s">
        <v>4889</v>
      </c>
    </row>
    <row r="933" spans="1:1">
      <c r="A933" t="s">
        <v>4890</v>
      </c>
    </row>
    <row r="934" spans="1:1">
      <c r="A934" t="s">
        <v>4891</v>
      </c>
    </row>
    <row r="935" spans="1:1">
      <c r="A935" t="s">
        <v>4892</v>
      </c>
    </row>
    <row r="936" spans="1:1">
      <c r="A936" t="s">
        <v>4893</v>
      </c>
    </row>
    <row r="937" spans="1:1">
      <c r="A937" t="s">
        <v>4894</v>
      </c>
    </row>
    <row r="938" spans="1:1">
      <c r="A938" t="s">
        <v>4895</v>
      </c>
    </row>
    <row r="939" spans="1:1">
      <c r="A939" t="s">
        <v>4896</v>
      </c>
    </row>
    <row r="940" spans="1:1">
      <c r="A940" t="s">
        <v>4897</v>
      </c>
    </row>
    <row r="941" spans="1:1">
      <c r="A941" t="s">
        <v>4898</v>
      </c>
    </row>
    <row r="942" spans="1:1">
      <c r="A942" t="s">
        <v>4899</v>
      </c>
    </row>
    <row r="943" spans="1:1">
      <c r="A943" t="s">
        <v>4900</v>
      </c>
    </row>
    <row r="944" spans="1:1">
      <c r="A944" t="s">
        <v>4901</v>
      </c>
    </row>
    <row r="945" spans="1:1">
      <c r="A945" t="s">
        <v>4902</v>
      </c>
    </row>
    <row r="946" spans="1:1">
      <c r="A946" t="s">
        <v>4903</v>
      </c>
    </row>
    <row r="947" spans="1:1">
      <c r="A947" t="s">
        <v>4904</v>
      </c>
    </row>
    <row r="948" spans="1:1">
      <c r="A948" t="s">
        <v>4905</v>
      </c>
    </row>
    <row r="949" spans="1:1">
      <c r="A949" t="s">
        <v>4906</v>
      </c>
    </row>
    <row r="950" spans="1:1">
      <c r="A950" t="s">
        <v>4907</v>
      </c>
    </row>
    <row r="951" spans="1:1">
      <c r="A951" t="s">
        <v>4908</v>
      </c>
    </row>
    <row r="952" spans="1:1">
      <c r="A952" t="s">
        <v>4909</v>
      </c>
    </row>
    <row r="953" spans="1:1">
      <c r="A953" t="s">
        <v>4910</v>
      </c>
    </row>
    <row r="954" spans="1:1">
      <c r="A954" t="s">
        <v>4911</v>
      </c>
    </row>
    <row r="955" spans="1:1">
      <c r="A955" t="s">
        <v>4912</v>
      </c>
    </row>
    <row r="956" spans="1:1">
      <c r="A956" t="s">
        <v>4913</v>
      </c>
    </row>
    <row r="957" spans="1:1">
      <c r="A957" t="s">
        <v>4914</v>
      </c>
    </row>
    <row r="958" spans="1:1">
      <c r="A958" t="s">
        <v>4915</v>
      </c>
    </row>
    <row r="959" spans="1:1">
      <c r="A959" t="s">
        <v>4916</v>
      </c>
    </row>
    <row r="960" spans="1:1">
      <c r="A960" t="s">
        <v>4917</v>
      </c>
    </row>
    <row r="961" spans="1:1">
      <c r="A961" t="s">
        <v>4918</v>
      </c>
    </row>
    <row r="962" spans="1:1">
      <c r="A962" t="s">
        <v>4919</v>
      </c>
    </row>
    <row r="963" spans="1:1">
      <c r="A963" t="s">
        <v>4920</v>
      </c>
    </row>
    <row r="964" spans="1:1">
      <c r="A964" t="s">
        <v>4921</v>
      </c>
    </row>
    <row r="965" spans="1:1">
      <c r="A965" t="s">
        <v>4922</v>
      </c>
    </row>
    <row r="966" spans="1:1">
      <c r="A966" t="s">
        <v>4923</v>
      </c>
    </row>
    <row r="967" spans="1:1">
      <c r="A967" t="s">
        <v>4924</v>
      </c>
    </row>
    <row r="968" spans="1:1">
      <c r="A968" t="s">
        <v>4925</v>
      </c>
    </row>
    <row r="969" spans="1:1">
      <c r="A969" t="s">
        <v>4926</v>
      </c>
    </row>
    <row r="970" spans="1:1">
      <c r="A970" t="s">
        <v>4927</v>
      </c>
    </row>
    <row r="971" spans="1:1">
      <c r="A971" t="s">
        <v>4928</v>
      </c>
    </row>
    <row r="972" spans="1:1">
      <c r="A972" t="s">
        <v>4929</v>
      </c>
    </row>
    <row r="973" spans="1:1">
      <c r="A973" t="s">
        <v>4930</v>
      </c>
    </row>
    <row r="974" spans="1:1">
      <c r="A974" t="s">
        <v>4931</v>
      </c>
    </row>
    <row r="975" spans="1:1">
      <c r="A975" t="s">
        <v>4932</v>
      </c>
    </row>
    <row r="976" spans="1:1">
      <c r="A976" t="s">
        <v>4933</v>
      </c>
    </row>
    <row r="977" spans="1:1">
      <c r="A977" t="s">
        <v>4934</v>
      </c>
    </row>
    <row r="978" spans="1:1">
      <c r="A978" t="s">
        <v>4935</v>
      </c>
    </row>
    <row r="979" spans="1:1">
      <c r="A979" t="s">
        <v>4936</v>
      </c>
    </row>
    <row r="980" spans="1:1">
      <c r="A980" t="s">
        <v>4937</v>
      </c>
    </row>
    <row r="981" spans="1:1">
      <c r="A981" t="s">
        <v>4938</v>
      </c>
    </row>
    <row r="982" spans="1:1">
      <c r="A982" t="s">
        <v>4939</v>
      </c>
    </row>
    <row r="983" spans="1:1">
      <c r="A983" t="s">
        <v>4940</v>
      </c>
    </row>
    <row r="984" spans="1:1">
      <c r="A984" t="s">
        <v>4941</v>
      </c>
    </row>
    <row r="985" spans="1:1">
      <c r="A985" t="s">
        <v>4942</v>
      </c>
    </row>
    <row r="986" spans="1:1">
      <c r="A986" t="s">
        <v>4943</v>
      </c>
    </row>
    <row r="987" spans="1:1">
      <c r="A987" t="s">
        <v>4944</v>
      </c>
    </row>
    <row r="988" spans="1:1">
      <c r="A988" t="s">
        <v>4945</v>
      </c>
    </row>
    <row r="989" spans="1:1">
      <c r="A989" t="s">
        <v>4946</v>
      </c>
    </row>
    <row r="990" spans="1:1">
      <c r="A990" t="s">
        <v>4947</v>
      </c>
    </row>
    <row r="991" spans="1:1">
      <c r="A991" t="s">
        <v>4948</v>
      </c>
    </row>
    <row r="992" spans="1:1">
      <c r="A992" t="s">
        <v>4949</v>
      </c>
    </row>
    <row r="993" spans="1:1">
      <c r="A993" t="s">
        <v>4950</v>
      </c>
    </row>
    <row r="994" spans="1:1">
      <c r="A994" t="s">
        <v>4951</v>
      </c>
    </row>
    <row r="995" spans="1:1">
      <c r="A995" t="s">
        <v>4952</v>
      </c>
    </row>
    <row r="996" spans="1:1">
      <c r="A996" t="s">
        <v>4953</v>
      </c>
    </row>
    <row r="997" spans="1:1">
      <c r="A997" t="s">
        <v>4954</v>
      </c>
    </row>
    <row r="998" spans="1:1">
      <c r="A998" t="s">
        <v>4955</v>
      </c>
    </row>
    <row r="999" spans="1:1">
      <c r="A999" t="s">
        <v>4956</v>
      </c>
    </row>
    <row r="1000" spans="1:1">
      <c r="A1000" t="s">
        <v>4957</v>
      </c>
    </row>
    <row r="1001" spans="1:1">
      <c r="A1001" t="s">
        <v>4958</v>
      </c>
    </row>
    <row r="1002" spans="1:1">
      <c r="A1002" t="s">
        <v>4959</v>
      </c>
    </row>
    <row r="1003" spans="1:1">
      <c r="A1003" t="s">
        <v>4960</v>
      </c>
    </row>
    <row r="1004" spans="1:1">
      <c r="A1004" t="s">
        <v>4961</v>
      </c>
    </row>
    <row r="1005" spans="1:1">
      <c r="A1005" t="s">
        <v>4962</v>
      </c>
    </row>
    <row r="1006" spans="1:1">
      <c r="A1006" t="s">
        <v>4963</v>
      </c>
    </row>
    <row r="1007" spans="1:1">
      <c r="A1007" t="s">
        <v>4964</v>
      </c>
    </row>
    <row r="1008" spans="1:1">
      <c r="A1008" t="s">
        <v>4965</v>
      </c>
    </row>
    <row r="1009" spans="1:1">
      <c r="A1009" t="s">
        <v>4966</v>
      </c>
    </row>
    <row r="1010" spans="1:1">
      <c r="A1010" t="s">
        <v>4967</v>
      </c>
    </row>
    <row r="1011" spans="1:1">
      <c r="A1011" t="s">
        <v>4968</v>
      </c>
    </row>
    <row r="1012" spans="1:1">
      <c r="A1012" t="s">
        <v>4969</v>
      </c>
    </row>
    <row r="1013" spans="1:1">
      <c r="A1013" t="s">
        <v>4970</v>
      </c>
    </row>
    <row r="1014" spans="1:1">
      <c r="A1014" t="s">
        <v>4971</v>
      </c>
    </row>
    <row r="1015" spans="1:1">
      <c r="A1015" t="s">
        <v>4972</v>
      </c>
    </row>
    <row r="1016" spans="1:1">
      <c r="A1016" t="s">
        <v>4973</v>
      </c>
    </row>
    <row r="1017" spans="1:1">
      <c r="A1017" t="s">
        <v>4974</v>
      </c>
    </row>
    <row r="1018" spans="1:1">
      <c r="A1018" t="s">
        <v>4975</v>
      </c>
    </row>
    <row r="1019" spans="1:1">
      <c r="A1019" t="s">
        <v>4976</v>
      </c>
    </row>
    <row r="1020" spans="1:1">
      <c r="A1020" t="s">
        <v>4977</v>
      </c>
    </row>
    <row r="1021" spans="1:1">
      <c r="A1021" t="s">
        <v>4978</v>
      </c>
    </row>
    <row r="1022" spans="1:1">
      <c r="A1022" t="s">
        <v>4979</v>
      </c>
    </row>
    <row r="1023" spans="1:1">
      <c r="A1023" t="s">
        <v>4980</v>
      </c>
    </row>
    <row r="1024" spans="1:1">
      <c r="A1024" t="s">
        <v>4981</v>
      </c>
    </row>
    <row r="1025" spans="1:1">
      <c r="A1025" t="s">
        <v>4982</v>
      </c>
    </row>
    <row r="1026" spans="1:1">
      <c r="A1026" t="s">
        <v>4983</v>
      </c>
    </row>
    <row r="1027" spans="1:1">
      <c r="A1027" t="s">
        <v>4984</v>
      </c>
    </row>
    <row r="1028" spans="1:1">
      <c r="A1028" t="s">
        <v>4985</v>
      </c>
    </row>
    <row r="1029" spans="1:1">
      <c r="A1029" t="s">
        <v>4986</v>
      </c>
    </row>
    <row r="1030" spans="1:1">
      <c r="A1030" t="s">
        <v>4987</v>
      </c>
    </row>
    <row r="1031" spans="1:1">
      <c r="A1031" t="s">
        <v>4988</v>
      </c>
    </row>
    <row r="1032" spans="1:1">
      <c r="A1032" t="s">
        <v>4989</v>
      </c>
    </row>
    <row r="1033" spans="1:1">
      <c r="A1033" t="s">
        <v>4990</v>
      </c>
    </row>
    <row r="1034" spans="1:1">
      <c r="A1034" t="s">
        <v>4991</v>
      </c>
    </row>
    <row r="1035" spans="1:1">
      <c r="A1035" t="s">
        <v>4992</v>
      </c>
    </row>
    <row r="1036" spans="1:1">
      <c r="A1036" t="s">
        <v>4993</v>
      </c>
    </row>
    <row r="1037" spans="1:1">
      <c r="A1037" t="s">
        <v>4994</v>
      </c>
    </row>
    <row r="1038" spans="1:1">
      <c r="A1038" t="s">
        <v>4995</v>
      </c>
    </row>
    <row r="1039" spans="1:1">
      <c r="A1039" t="s">
        <v>4996</v>
      </c>
    </row>
    <row r="1040" spans="1:1">
      <c r="A1040" t="s">
        <v>4997</v>
      </c>
    </row>
    <row r="1041" spans="1:1">
      <c r="A1041" t="s">
        <v>4998</v>
      </c>
    </row>
    <row r="1042" spans="1:1">
      <c r="A1042" t="s">
        <v>4999</v>
      </c>
    </row>
    <row r="1043" spans="1:1">
      <c r="A1043" t="s">
        <v>5000</v>
      </c>
    </row>
    <row r="1044" spans="1:1">
      <c r="A1044" t="s">
        <v>5001</v>
      </c>
    </row>
    <row r="1045" spans="1:1">
      <c r="A1045" t="s">
        <v>5002</v>
      </c>
    </row>
    <row r="1046" spans="1:1">
      <c r="A1046" t="s">
        <v>5003</v>
      </c>
    </row>
    <row r="1047" spans="1:1">
      <c r="A1047" t="s">
        <v>5004</v>
      </c>
    </row>
    <row r="1048" spans="1:1">
      <c r="A1048" t="s">
        <v>5005</v>
      </c>
    </row>
    <row r="1049" spans="1:1">
      <c r="A1049" t="s">
        <v>5006</v>
      </c>
    </row>
    <row r="1050" spans="1:1">
      <c r="A1050" t="s">
        <v>5007</v>
      </c>
    </row>
    <row r="1051" spans="1:1">
      <c r="A1051" t="s">
        <v>5008</v>
      </c>
    </row>
    <row r="1052" spans="1:1">
      <c r="A1052" t="s">
        <v>5009</v>
      </c>
    </row>
    <row r="1053" spans="1:1">
      <c r="A1053" t="s">
        <v>5010</v>
      </c>
    </row>
    <row r="1054" spans="1:1">
      <c r="A1054" t="s">
        <v>5011</v>
      </c>
    </row>
    <row r="1055" spans="1:1">
      <c r="A1055" t="s">
        <v>5012</v>
      </c>
    </row>
    <row r="1056" spans="1:1">
      <c r="A1056" t="s">
        <v>5013</v>
      </c>
    </row>
    <row r="1057" spans="1:1">
      <c r="A1057" t="s">
        <v>5014</v>
      </c>
    </row>
    <row r="1058" spans="1:1">
      <c r="A1058" t="s">
        <v>5015</v>
      </c>
    </row>
    <row r="1059" spans="1:1">
      <c r="A1059" t="s">
        <v>5016</v>
      </c>
    </row>
    <row r="1060" spans="1:1">
      <c r="A1060" t="s">
        <v>5017</v>
      </c>
    </row>
    <row r="1061" spans="1:1">
      <c r="A1061" t="s">
        <v>5018</v>
      </c>
    </row>
    <row r="1062" spans="1:1">
      <c r="A1062" t="s">
        <v>5019</v>
      </c>
    </row>
    <row r="1063" spans="1:1">
      <c r="A1063" t="s">
        <v>5020</v>
      </c>
    </row>
    <row r="1064" spans="1:1">
      <c r="A1064" t="s">
        <v>5021</v>
      </c>
    </row>
    <row r="1065" spans="1:1">
      <c r="A1065" t="s">
        <v>5022</v>
      </c>
    </row>
    <row r="1066" spans="1:1">
      <c r="A1066" t="s">
        <v>5023</v>
      </c>
    </row>
    <row r="1067" spans="1:1">
      <c r="A1067" t="s">
        <v>5024</v>
      </c>
    </row>
    <row r="1068" spans="1:1">
      <c r="A1068" t="s">
        <v>5025</v>
      </c>
    </row>
    <row r="1069" spans="1:1">
      <c r="A1069" t="s">
        <v>5026</v>
      </c>
    </row>
    <row r="1070" spans="1:1">
      <c r="A1070" t="s">
        <v>5027</v>
      </c>
    </row>
    <row r="1071" spans="1:1">
      <c r="A1071" t="s">
        <v>5028</v>
      </c>
    </row>
    <row r="1072" spans="1:1">
      <c r="A1072" t="s">
        <v>5029</v>
      </c>
    </row>
    <row r="1073" spans="1:1">
      <c r="A1073" t="s">
        <v>5030</v>
      </c>
    </row>
    <row r="1074" spans="1:1">
      <c r="A1074" t="s">
        <v>5031</v>
      </c>
    </row>
    <row r="1075" spans="1:1">
      <c r="A1075" t="s">
        <v>5032</v>
      </c>
    </row>
    <row r="1076" spans="1:1">
      <c r="A1076" t="s">
        <v>5033</v>
      </c>
    </row>
    <row r="1077" spans="1:1">
      <c r="A1077" t="s">
        <v>5034</v>
      </c>
    </row>
    <row r="1078" spans="1:1">
      <c r="A1078" t="s">
        <v>5035</v>
      </c>
    </row>
    <row r="1079" spans="1:1">
      <c r="A1079" t="s">
        <v>5036</v>
      </c>
    </row>
    <row r="1080" spans="1:1">
      <c r="A1080" t="s">
        <v>5037</v>
      </c>
    </row>
    <row r="1081" spans="1:1">
      <c r="A1081" t="s">
        <v>5038</v>
      </c>
    </row>
    <row r="1082" spans="1:1">
      <c r="A1082" t="s">
        <v>5039</v>
      </c>
    </row>
    <row r="1083" spans="1:1">
      <c r="A1083" t="s">
        <v>5040</v>
      </c>
    </row>
    <row r="1084" spans="1:1">
      <c r="A1084" t="s">
        <v>5041</v>
      </c>
    </row>
    <row r="1085" spans="1:1">
      <c r="A1085" t="s">
        <v>5042</v>
      </c>
    </row>
    <row r="1086" spans="1:1">
      <c r="A1086" t="s">
        <v>5043</v>
      </c>
    </row>
    <row r="1087" spans="1:1">
      <c r="A1087" t="s">
        <v>5044</v>
      </c>
    </row>
    <row r="1088" spans="1:1">
      <c r="A1088" t="s">
        <v>5045</v>
      </c>
    </row>
    <row r="1089" spans="1:1">
      <c r="A1089" t="s">
        <v>5046</v>
      </c>
    </row>
    <row r="1090" spans="1:1">
      <c r="A1090" t="s">
        <v>5047</v>
      </c>
    </row>
    <row r="1091" spans="1:1">
      <c r="A1091" t="s">
        <v>5048</v>
      </c>
    </row>
    <row r="1092" spans="1:1">
      <c r="A1092" t="s">
        <v>5049</v>
      </c>
    </row>
    <row r="1093" spans="1:1">
      <c r="A1093" t="s">
        <v>5050</v>
      </c>
    </row>
    <row r="1094" spans="1:1">
      <c r="A1094" t="s">
        <v>5051</v>
      </c>
    </row>
    <row r="1095" spans="1:1">
      <c r="A1095" t="s">
        <v>5052</v>
      </c>
    </row>
    <row r="1096" spans="1:1">
      <c r="A1096" t="s">
        <v>5053</v>
      </c>
    </row>
    <row r="1097" spans="1:1">
      <c r="A1097" t="s">
        <v>5054</v>
      </c>
    </row>
    <row r="1098" spans="1:1">
      <c r="A1098" t="s">
        <v>5055</v>
      </c>
    </row>
    <row r="1099" spans="1:1">
      <c r="A1099" t="s">
        <v>5056</v>
      </c>
    </row>
    <row r="1100" spans="1:1">
      <c r="A1100" t="s">
        <v>5057</v>
      </c>
    </row>
    <row r="1101" spans="1:1">
      <c r="A1101" t="s">
        <v>5058</v>
      </c>
    </row>
    <row r="1102" spans="1:1">
      <c r="A1102" t="s">
        <v>5059</v>
      </c>
    </row>
    <row r="1103" spans="1:1">
      <c r="A1103" t="s">
        <v>5060</v>
      </c>
    </row>
    <row r="1104" spans="1:1">
      <c r="A1104" t="s">
        <v>5061</v>
      </c>
    </row>
    <row r="1105" spans="1:1">
      <c r="A1105" t="s">
        <v>5062</v>
      </c>
    </row>
    <row r="1106" spans="1:1">
      <c r="A1106" t="s">
        <v>5063</v>
      </c>
    </row>
    <row r="1107" spans="1:1">
      <c r="A1107" t="s">
        <v>5064</v>
      </c>
    </row>
    <row r="1108" spans="1:1">
      <c r="A1108" t="s">
        <v>5065</v>
      </c>
    </row>
    <row r="1109" spans="1:1">
      <c r="A1109" t="s">
        <v>5066</v>
      </c>
    </row>
    <row r="1110" spans="1:1">
      <c r="A1110" t="s">
        <v>5067</v>
      </c>
    </row>
    <row r="1111" spans="1:1">
      <c r="A1111" t="s">
        <v>5068</v>
      </c>
    </row>
    <row r="1112" spans="1:1">
      <c r="A1112" t="s">
        <v>5069</v>
      </c>
    </row>
    <row r="1113" spans="1:1">
      <c r="A1113" t="s">
        <v>5070</v>
      </c>
    </row>
    <row r="1114" spans="1:1">
      <c r="A1114" t="s">
        <v>5071</v>
      </c>
    </row>
    <row r="1115" spans="1:1">
      <c r="A1115" t="s">
        <v>5072</v>
      </c>
    </row>
    <row r="1116" spans="1:1">
      <c r="A1116" t="s">
        <v>5073</v>
      </c>
    </row>
    <row r="1117" spans="1:1">
      <c r="A1117" t="s">
        <v>5074</v>
      </c>
    </row>
    <row r="1118" spans="1:1">
      <c r="A1118" t="s">
        <v>5075</v>
      </c>
    </row>
    <row r="1119" spans="1:1">
      <c r="A1119" t="s">
        <v>5076</v>
      </c>
    </row>
    <row r="1120" spans="1:1">
      <c r="A1120" t="s">
        <v>5077</v>
      </c>
    </row>
    <row r="1121" spans="1:1">
      <c r="A1121" t="s">
        <v>5078</v>
      </c>
    </row>
    <row r="1122" spans="1:1">
      <c r="A1122" t="s">
        <v>5079</v>
      </c>
    </row>
    <row r="1123" spans="1:1">
      <c r="A1123" t="s">
        <v>5080</v>
      </c>
    </row>
    <row r="1124" spans="1:1">
      <c r="A1124" t="s">
        <v>5081</v>
      </c>
    </row>
    <row r="1125" spans="1:1">
      <c r="A1125" t="s">
        <v>5082</v>
      </c>
    </row>
    <row r="1126" spans="1:1">
      <c r="A1126" t="s">
        <v>5083</v>
      </c>
    </row>
    <row r="1127" spans="1:1">
      <c r="A1127" t="s">
        <v>5084</v>
      </c>
    </row>
    <row r="1128" spans="1:1">
      <c r="A1128" t="s">
        <v>5085</v>
      </c>
    </row>
    <row r="1129" spans="1:1">
      <c r="A1129" t="s">
        <v>5086</v>
      </c>
    </row>
    <row r="1130" spans="1:1">
      <c r="A1130" t="s">
        <v>5087</v>
      </c>
    </row>
    <row r="1131" spans="1:1">
      <c r="A1131" t="s">
        <v>5088</v>
      </c>
    </row>
    <row r="1132" spans="1:1">
      <c r="A1132" t="s">
        <v>5089</v>
      </c>
    </row>
    <row r="1133" spans="1:1">
      <c r="A1133" t="s">
        <v>5090</v>
      </c>
    </row>
    <row r="1134" spans="1:1">
      <c r="A1134" t="s">
        <v>5091</v>
      </c>
    </row>
    <row r="1135" spans="1:1">
      <c r="A1135" t="s">
        <v>5092</v>
      </c>
    </row>
    <row r="1136" spans="1:1">
      <c r="A1136" t="s">
        <v>5093</v>
      </c>
    </row>
    <row r="1137" spans="1:1">
      <c r="A1137" t="s">
        <v>5094</v>
      </c>
    </row>
    <row r="1138" spans="1:1">
      <c r="A1138" t="s">
        <v>5095</v>
      </c>
    </row>
    <row r="1139" spans="1:1">
      <c r="A1139" t="s">
        <v>5096</v>
      </c>
    </row>
    <row r="1140" spans="1:1">
      <c r="A1140" t="s">
        <v>5097</v>
      </c>
    </row>
    <row r="1141" spans="1:1">
      <c r="A1141" t="s">
        <v>5098</v>
      </c>
    </row>
    <row r="1142" spans="1:1">
      <c r="A1142" t="s">
        <v>5099</v>
      </c>
    </row>
    <row r="1143" spans="1:1">
      <c r="A1143" t="s">
        <v>5100</v>
      </c>
    </row>
    <row r="1144" spans="1:1">
      <c r="A1144" t="s">
        <v>5101</v>
      </c>
    </row>
    <row r="1145" spans="1:1">
      <c r="A1145" t="s">
        <v>5102</v>
      </c>
    </row>
    <row r="1146" spans="1:1">
      <c r="A1146" t="s">
        <v>5103</v>
      </c>
    </row>
    <row r="1147" spans="1:1">
      <c r="A1147" t="s">
        <v>5104</v>
      </c>
    </row>
    <row r="1148" spans="1:1">
      <c r="A1148" t="s">
        <v>5105</v>
      </c>
    </row>
    <row r="1149" spans="1:1">
      <c r="A1149" t="s">
        <v>5106</v>
      </c>
    </row>
    <row r="1150" spans="1:1">
      <c r="A1150" t="s">
        <v>5107</v>
      </c>
    </row>
    <row r="1151" spans="1:1">
      <c r="A1151" t="s">
        <v>5108</v>
      </c>
    </row>
    <row r="1152" spans="1:1">
      <c r="A1152" t="s">
        <v>5109</v>
      </c>
    </row>
    <row r="1153" spans="1:1">
      <c r="A1153" t="s">
        <v>5110</v>
      </c>
    </row>
    <row r="1154" spans="1:1">
      <c r="A1154" t="s">
        <v>5111</v>
      </c>
    </row>
    <row r="1155" spans="1:1">
      <c r="A1155" t="s">
        <v>5112</v>
      </c>
    </row>
    <row r="1156" spans="1:1">
      <c r="A1156" t="s">
        <v>5113</v>
      </c>
    </row>
    <row r="1157" spans="1:1">
      <c r="A1157" t="s">
        <v>5114</v>
      </c>
    </row>
    <row r="1158" spans="1:1">
      <c r="A1158" t="s">
        <v>5115</v>
      </c>
    </row>
    <row r="1159" spans="1:1">
      <c r="A1159" t="s">
        <v>5116</v>
      </c>
    </row>
    <row r="1160" spans="1:1">
      <c r="A1160" t="s">
        <v>5117</v>
      </c>
    </row>
    <row r="1161" spans="1:1">
      <c r="A1161" t="s">
        <v>5118</v>
      </c>
    </row>
    <row r="1162" spans="1:1">
      <c r="A1162" t="s">
        <v>5119</v>
      </c>
    </row>
    <row r="1163" spans="1:1">
      <c r="A1163" t="s">
        <v>5120</v>
      </c>
    </row>
    <row r="1164" spans="1:1">
      <c r="A1164" t="s">
        <v>5121</v>
      </c>
    </row>
    <row r="1165" spans="1:1">
      <c r="A1165" t="s">
        <v>5122</v>
      </c>
    </row>
    <row r="1166" spans="1:1">
      <c r="A1166" t="s">
        <v>5123</v>
      </c>
    </row>
    <row r="1167" spans="1:1">
      <c r="A1167" t="s">
        <v>5124</v>
      </c>
    </row>
    <row r="1168" spans="1:1">
      <c r="A1168" t="s">
        <v>5125</v>
      </c>
    </row>
    <row r="1169" spans="1:1">
      <c r="A1169" t="s">
        <v>5126</v>
      </c>
    </row>
    <row r="1170" spans="1:1">
      <c r="A1170" t="s">
        <v>5127</v>
      </c>
    </row>
    <row r="1171" spans="1:1">
      <c r="A1171" t="s">
        <v>5128</v>
      </c>
    </row>
    <row r="1172" spans="1:1">
      <c r="A1172" t="s">
        <v>5129</v>
      </c>
    </row>
    <row r="1173" spans="1:1">
      <c r="A1173" t="s">
        <v>5130</v>
      </c>
    </row>
    <row r="1174" spans="1:1">
      <c r="A1174" t="s">
        <v>5131</v>
      </c>
    </row>
    <row r="1175" spans="1:1">
      <c r="A1175" t="s">
        <v>5132</v>
      </c>
    </row>
    <row r="1176" spans="1:1">
      <c r="A1176" t="s">
        <v>5133</v>
      </c>
    </row>
    <row r="1177" spans="1:1">
      <c r="A1177" t="s">
        <v>5134</v>
      </c>
    </row>
    <row r="1178" spans="1:1">
      <c r="A1178" t="s">
        <v>5135</v>
      </c>
    </row>
    <row r="1179" spans="1:1">
      <c r="A1179" t="s">
        <v>5136</v>
      </c>
    </row>
    <row r="1180" spans="1:1">
      <c r="A1180" t="s">
        <v>5137</v>
      </c>
    </row>
    <row r="1181" spans="1:1">
      <c r="A1181" t="s">
        <v>5138</v>
      </c>
    </row>
    <row r="1182" spans="1:1">
      <c r="A1182" t="s">
        <v>5139</v>
      </c>
    </row>
    <row r="1183" spans="1:1">
      <c r="A1183" t="s">
        <v>5140</v>
      </c>
    </row>
    <row r="1184" spans="1:1">
      <c r="A1184" t="s">
        <v>5141</v>
      </c>
    </row>
    <row r="1185" spans="1:1">
      <c r="A1185" t="s">
        <v>5142</v>
      </c>
    </row>
    <row r="1186" spans="1:1">
      <c r="A1186" t="s">
        <v>5143</v>
      </c>
    </row>
    <row r="1187" spans="1:1">
      <c r="A1187" t="s">
        <v>5144</v>
      </c>
    </row>
    <row r="1188" spans="1:1">
      <c r="A1188" t="s">
        <v>5145</v>
      </c>
    </row>
    <row r="1189" spans="1:1">
      <c r="A1189" t="s">
        <v>5146</v>
      </c>
    </row>
    <row r="1190" spans="1:1">
      <c r="A1190" t="s">
        <v>5147</v>
      </c>
    </row>
    <row r="1191" spans="1:1">
      <c r="A1191" t="s">
        <v>5148</v>
      </c>
    </row>
    <row r="1192" spans="1:1">
      <c r="A1192" t="s">
        <v>5149</v>
      </c>
    </row>
    <row r="1193" spans="1:1">
      <c r="A1193" t="s">
        <v>5150</v>
      </c>
    </row>
    <row r="1194" spans="1:1">
      <c r="A1194" t="s">
        <v>5151</v>
      </c>
    </row>
    <row r="1195" spans="1:1">
      <c r="A1195" t="s">
        <v>5152</v>
      </c>
    </row>
    <row r="1196" spans="1:1">
      <c r="A1196" t="s">
        <v>5153</v>
      </c>
    </row>
    <row r="1197" spans="1:1">
      <c r="A1197" t="s">
        <v>5154</v>
      </c>
    </row>
    <row r="1198" spans="1:1">
      <c r="A1198" t="s">
        <v>5155</v>
      </c>
    </row>
    <row r="1199" spans="1:1">
      <c r="A1199" t="s">
        <v>5156</v>
      </c>
    </row>
    <row r="1200" spans="1:1">
      <c r="A1200" t="s">
        <v>5157</v>
      </c>
    </row>
    <row r="1201" spans="1:1">
      <c r="A1201" t="s">
        <v>5158</v>
      </c>
    </row>
    <row r="1202" spans="1:1">
      <c r="A1202" t="s">
        <v>5159</v>
      </c>
    </row>
    <row r="1203" spans="1:1">
      <c r="A1203" t="s">
        <v>5160</v>
      </c>
    </row>
    <row r="1204" spans="1:1">
      <c r="A1204" t="s">
        <v>5161</v>
      </c>
    </row>
    <row r="1205" spans="1:1">
      <c r="A1205" t="s">
        <v>5162</v>
      </c>
    </row>
    <row r="1206" spans="1:1">
      <c r="A1206" t="s">
        <v>5163</v>
      </c>
    </row>
    <row r="1207" spans="1:1">
      <c r="A1207" t="s">
        <v>5164</v>
      </c>
    </row>
    <row r="1208" spans="1:1">
      <c r="A1208" t="s">
        <v>5165</v>
      </c>
    </row>
    <row r="1209" spans="1:1">
      <c r="A1209" t="s">
        <v>5166</v>
      </c>
    </row>
    <row r="1210" spans="1:1">
      <c r="A1210" t="s">
        <v>5167</v>
      </c>
    </row>
    <row r="1211" spans="1:1">
      <c r="A1211" t="s">
        <v>5168</v>
      </c>
    </row>
    <row r="1212" spans="1:1">
      <c r="A1212" t="s">
        <v>5169</v>
      </c>
    </row>
    <row r="1213" spans="1:1">
      <c r="A1213" t="s">
        <v>5170</v>
      </c>
    </row>
    <row r="1214" spans="1:1">
      <c r="A1214" t="s">
        <v>5171</v>
      </c>
    </row>
    <row r="1215" spans="1:1">
      <c r="A1215" t="s">
        <v>5172</v>
      </c>
    </row>
    <row r="1216" spans="1:1">
      <c r="A1216" t="s">
        <v>5173</v>
      </c>
    </row>
    <row r="1217" spans="1:1">
      <c r="A1217" t="s">
        <v>5174</v>
      </c>
    </row>
    <row r="1218" spans="1:1">
      <c r="A1218" t="s">
        <v>5175</v>
      </c>
    </row>
    <row r="1219" spans="1:1">
      <c r="A1219" t="s">
        <v>5176</v>
      </c>
    </row>
    <row r="1220" spans="1:1">
      <c r="A1220" t="s">
        <v>5177</v>
      </c>
    </row>
    <row r="1221" spans="1:1">
      <c r="A1221" t="s">
        <v>5178</v>
      </c>
    </row>
    <row r="1222" spans="1:1">
      <c r="A1222" t="s">
        <v>5179</v>
      </c>
    </row>
    <row r="1223" spans="1:1">
      <c r="A1223" t="s">
        <v>5180</v>
      </c>
    </row>
    <row r="1224" spans="1:1">
      <c r="A1224" t="s">
        <v>5181</v>
      </c>
    </row>
    <row r="1225" spans="1:1">
      <c r="A1225" t="s">
        <v>5182</v>
      </c>
    </row>
    <row r="1226" spans="1:1">
      <c r="A1226" t="s">
        <v>5183</v>
      </c>
    </row>
    <row r="1227" spans="1:1">
      <c r="A1227" t="s">
        <v>5184</v>
      </c>
    </row>
    <row r="1228" spans="1:1">
      <c r="A1228" t="s">
        <v>5185</v>
      </c>
    </row>
    <row r="1229" spans="1:1">
      <c r="A1229" t="s">
        <v>5186</v>
      </c>
    </row>
    <row r="1230" spans="1:1">
      <c r="A1230" t="s">
        <v>5187</v>
      </c>
    </row>
    <row r="1231" spans="1:1">
      <c r="A1231" t="s">
        <v>5188</v>
      </c>
    </row>
    <row r="1232" spans="1:1">
      <c r="A1232" t="s">
        <v>5189</v>
      </c>
    </row>
    <row r="1233" spans="1:1">
      <c r="A1233" t="s">
        <v>5190</v>
      </c>
    </row>
    <row r="1234" spans="1:1">
      <c r="A1234" t="s">
        <v>5191</v>
      </c>
    </row>
    <row r="1235" spans="1:1">
      <c r="A1235" t="s">
        <v>5192</v>
      </c>
    </row>
    <row r="1236" spans="1:1">
      <c r="A1236" t="s">
        <v>5193</v>
      </c>
    </row>
    <row r="1237" spans="1:1">
      <c r="A1237" t="s">
        <v>5194</v>
      </c>
    </row>
    <row r="1238" spans="1:1">
      <c r="A1238" t="s">
        <v>5195</v>
      </c>
    </row>
    <row r="1239" spans="1:1">
      <c r="A1239" t="s">
        <v>5196</v>
      </c>
    </row>
    <row r="1240" spans="1:1">
      <c r="A1240" t="s">
        <v>5197</v>
      </c>
    </row>
    <row r="1241" spans="1:1">
      <c r="A1241" t="s">
        <v>5198</v>
      </c>
    </row>
    <row r="1242" spans="1:1">
      <c r="A1242" t="s">
        <v>5199</v>
      </c>
    </row>
    <row r="1243" spans="1:1">
      <c r="A1243" t="s">
        <v>5200</v>
      </c>
    </row>
    <row r="1244" spans="1:1">
      <c r="A1244" t="s">
        <v>5201</v>
      </c>
    </row>
    <row r="1245" spans="1:1">
      <c r="A1245" t="s">
        <v>5202</v>
      </c>
    </row>
    <row r="1246" spans="1:1">
      <c r="A1246" t="s">
        <v>5203</v>
      </c>
    </row>
    <row r="1247" spans="1:1">
      <c r="A1247" t="s">
        <v>5204</v>
      </c>
    </row>
    <row r="1248" spans="1:1">
      <c r="A1248" t="s">
        <v>5205</v>
      </c>
    </row>
    <row r="1249" spans="1:1">
      <c r="A1249" t="s">
        <v>5206</v>
      </c>
    </row>
    <row r="1250" spans="1:1">
      <c r="A1250" t="s">
        <v>5207</v>
      </c>
    </row>
    <row r="1251" spans="1:1">
      <c r="A1251" t="s">
        <v>5208</v>
      </c>
    </row>
    <row r="1252" spans="1:1">
      <c r="A1252" t="s">
        <v>5209</v>
      </c>
    </row>
    <row r="1253" spans="1:1">
      <c r="A1253" t="s">
        <v>5210</v>
      </c>
    </row>
    <row r="1254" spans="1:1">
      <c r="A1254" t="s">
        <v>5211</v>
      </c>
    </row>
    <row r="1255" spans="1:1">
      <c r="A1255" t="s">
        <v>5212</v>
      </c>
    </row>
    <row r="1256" spans="1:1">
      <c r="A1256" t="s">
        <v>5213</v>
      </c>
    </row>
    <row r="1257" spans="1:1">
      <c r="A1257" t="s">
        <v>5214</v>
      </c>
    </row>
    <row r="1258" spans="1:1">
      <c r="A1258" t="s">
        <v>5215</v>
      </c>
    </row>
    <row r="1259" spans="1:1">
      <c r="A1259" t="s">
        <v>5216</v>
      </c>
    </row>
    <row r="1260" spans="1:1">
      <c r="A1260" t="s">
        <v>5217</v>
      </c>
    </row>
    <row r="1261" spans="1:1">
      <c r="A1261" t="s">
        <v>5218</v>
      </c>
    </row>
    <row r="1262" spans="1:1">
      <c r="A1262" t="s">
        <v>5219</v>
      </c>
    </row>
    <row r="1263" spans="1:1">
      <c r="A1263" t="s">
        <v>5220</v>
      </c>
    </row>
    <row r="1264" spans="1:1">
      <c r="A1264" t="s">
        <v>5221</v>
      </c>
    </row>
    <row r="1265" spans="1:1">
      <c r="A1265" t="s">
        <v>5222</v>
      </c>
    </row>
    <row r="1266" spans="1:1">
      <c r="A1266" t="s">
        <v>5223</v>
      </c>
    </row>
    <row r="1267" spans="1:1">
      <c r="A1267" t="s">
        <v>5224</v>
      </c>
    </row>
    <row r="1268" spans="1:1">
      <c r="A1268" t="s">
        <v>5225</v>
      </c>
    </row>
    <row r="1269" spans="1:1">
      <c r="A1269" t="s">
        <v>5226</v>
      </c>
    </row>
    <row r="1270" spans="1:1">
      <c r="A1270" t="s">
        <v>5227</v>
      </c>
    </row>
    <row r="1271" spans="1:1">
      <c r="A1271" t="s">
        <v>5228</v>
      </c>
    </row>
    <row r="1272" spans="1:1">
      <c r="A1272" t="s">
        <v>5229</v>
      </c>
    </row>
    <row r="1273" spans="1:1">
      <c r="A1273" t="s">
        <v>5230</v>
      </c>
    </row>
    <row r="1274" spans="1:1">
      <c r="A1274" t="s">
        <v>5231</v>
      </c>
    </row>
    <row r="1275" spans="1:1">
      <c r="A1275" t="s">
        <v>5232</v>
      </c>
    </row>
    <row r="1276" spans="1:1">
      <c r="A1276" t="s">
        <v>5233</v>
      </c>
    </row>
    <row r="1277" spans="1:1">
      <c r="A1277" t="s">
        <v>5234</v>
      </c>
    </row>
    <row r="1278" spans="1:1">
      <c r="A1278" t="s">
        <v>5235</v>
      </c>
    </row>
    <row r="1279" spans="1:1">
      <c r="A1279" t="s">
        <v>5236</v>
      </c>
    </row>
    <row r="1280" spans="1:1">
      <c r="A1280" t="s">
        <v>5237</v>
      </c>
    </row>
    <row r="1281" spans="1:1">
      <c r="A1281" t="s">
        <v>5238</v>
      </c>
    </row>
    <row r="1282" spans="1:1">
      <c r="A1282" t="s">
        <v>5239</v>
      </c>
    </row>
    <row r="1283" spans="1:1">
      <c r="A1283" t="s">
        <v>5240</v>
      </c>
    </row>
    <row r="1284" spans="1:1">
      <c r="A1284" t="s">
        <v>5241</v>
      </c>
    </row>
    <row r="1285" spans="1:1">
      <c r="A1285" t="s">
        <v>5242</v>
      </c>
    </row>
    <row r="1286" spans="1:1">
      <c r="A1286" t="s">
        <v>5243</v>
      </c>
    </row>
    <row r="1287" spans="1:1">
      <c r="A1287" t="s">
        <v>5244</v>
      </c>
    </row>
    <row r="1288" spans="1:1">
      <c r="A1288" t="s">
        <v>5245</v>
      </c>
    </row>
    <row r="1289" spans="1:1">
      <c r="A1289" t="s">
        <v>5246</v>
      </c>
    </row>
    <row r="1290" spans="1:1">
      <c r="A1290" t="s">
        <v>5247</v>
      </c>
    </row>
    <row r="1291" spans="1:1">
      <c r="A1291" t="s">
        <v>5248</v>
      </c>
    </row>
    <row r="1292" spans="1:1">
      <c r="A1292" t="s">
        <v>5249</v>
      </c>
    </row>
    <row r="1293" spans="1:1">
      <c r="A1293" t="s">
        <v>5250</v>
      </c>
    </row>
    <row r="1294" spans="1:1">
      <c r="A1294" t="s">
        <v>5251</v>
      </c>
    </row>
    <row r="1295" spans="1:1">
      <c r="A1295" t="s">
        <v>5252</v>
      </c>
    </row>
    <row r="1296" spans="1:1">
      <c r="A1296" t="s">
        <v>5253</v>
      </c>
    </row>
    <row r="1297" spans="1:1">
      <c r="A1297" t="s">
        <v>5254</v>
      </c>
    </row>
    <row r="1298" spans="1:1">
      <c r="A1298" t="s">
        <v>5255</v>
      </c>
    </row>
    <row r="1299" spans="1:1">
      <c r="A1299" t="s">
        <v>5256</v>
      </c>
    </row>
    <row r="1300" spans="1:1">
      <c r="A1300" t="s">
        <v>5257</v>
      </c>
    </row>
    <row r="1301" spans="1:1">
      <c r="A1301" t="s">
        <v>5258</v>
      </c>
    </row>
    <row r="1302" spans="1:1">
      <c r="A1302" t="s">
        <v>5259</v>
      </c>
    </row>
    <row r="1303" spans="1:1">
      <c r="A1303" t="s">
        <v>5260</v>
      </c>
    </row>
    <row r="1304" spans="1:1">
      <c r="A1304" t="s">
        <v>5261</v>
      </c>
    </row>
    <row r="1305" spans="1:1">
      <c r="A1305" t="s">
        <v>5262</v>
      </c>
    </row>
    <row r="1306" spans="1:1">
      <c r="A1306" t="s">
        <v>5263</v>
      </c>
    </row>
    <row r="1307" spans="1:1">
      <c r="A1307" t="s">
        <v>5264</v>
      </c>
    </row>
    <row r="1308" spans="1:1">
      <c r="A1308" t="s">
        <v>5265</v>
      </c>
    </row>
    <row r="1309" spans="1:1">
      <c r="A1309" t="s">
        <v>5266</v>
      </c>
    </row>
    <row r="1310" spans="1:1">
      <c r="A1310" t="s">
        <v>5267</v>
      </c>
    </row>
    <row r="1311" spans="1:1">
      <c r="A1311" t="s">
        <v>5268</v>
      </c>
    </row>
    <row r="1312" spans="1:1">
      <c r="A1312" t="s">
        <v>5269</v>
      </c>
    </row>
    <row r="1313" spans="1:1">
      <c r="A1313" t="s">
        <v>5270</v>
      </c>
    </row>
    <row r="1314" spans="1:1">
      <c r="A1314" t="s">
        <v>5271</v>
      </c>
    </row>
    <row r="1315" spans="1:1">
      <c r="A1315" t="s">
        <v>5272</v>
      </c>
    </row>
    <row r="1316" spans="1:1">
      <c r="A1316" t="s">
        <v>5273</v>
      </c>
    </row>
    <row r="1317" spans="1:1">
      <c r="A1317" t="s">
        <v>5274</v>
      </c>
    </row>
    <row r="1318" spans="1:1">
      <c r="A1318" t="s">
        <v>5275</v>
      </c>
    </row>
    <row r="1319" spans="1:1">
      <c r="A1319" t="s">
        <v>5276</v>
      </c>
    </row>
    <row r="1320" spans="1:1">
      <c r="A1320" t="s">
        <v>5277</v>
      </c>
    </row>
    <row r="1321" spans="1:1">
      <c r="A1321" t="s">
        <v>5278</v>
      </c>
    </row>
    <row r="1322" spans="1:1">
      <c r="A1322" t="s">
        <v>5279</v>
      </c>
    </row>
    <row r="1323" spans="1:1">
      <c r="A1323" t="s">
        <v>5280</v>
      </c>
    </row>
    <row r="1324" spans="1:1">
      <c r="A1324" t="s">
        <v>5281</v>
      </c>
    </row>
    <row r="1325" spans="1:1">
      <c r="A1325" t="s">
        <v>5282</v>
      </c>
    </row>
    <row r="1326" spans="1:1">
      <c r="A1326" t="s">
        <v>5283</v>
      </c>
    </row>
    <row r="1327" spans="1:1">
      <c r="A1327" t="s">
        <v>5284</v>
      </c>
    </row>
    <row r="1328" spans="1:1">
      <c r="A1328" t="s">
        <v>5285</v>
      </c>
    </row>
    <row r="1329" spans="1:1">
      <c r="A1329" t="s">
        <v>5286</v>
      </c>
    </row>
    <row r="1330" spans="1:1">
      <c r="A1330" t="s">
        <v>5287</v>
      </c>
    </row>
    <row r="1331" spans="1:1">
      <c r="A1331" t="s">
        <v>5288</v>
      </c>
    </row>
    <row r="1332" spans="1:1">
      <c r="A1332" t="s">
        <v>5289</v>
      </c>
    </row>
    <row r="1333" spans="1:1">
      <c r="A1333" t="s">
        <v>5290</v>
      </c>
    </row>
    <row r="1334" spans="1:1">
      <c r="A1334" t="s">
        <v>5291</v>
      </c>
    </row>
    <row r="1335" spans="1:1">
      <c r="A1335" t="s">
        <v>5292</v>
      </c>
    </row>
    <row r="1336" spans="1:1">
      <c r="A1336" t="s">
        <v>5293</v>
      </c>
    </row>
    <row r="1337" spans="1:1">
      <c r="A1337" t="s">
        <v>5294</v>
      </c>
    </row>
    <row r="1338" spans="1:1">
      <c r="A1338" t="s">
        <v>5295</v>
      </c>
    </row>
    <row r="1339" spans="1:1">
      <c r="A1339" t="s">
        <v>5296</v>
      </c>
    </row>
    <row r="1340" spans="1:1">
      <c r="A1340" t="s">
        <v>5297</v>
      </c>
    </row>
    <row r="1341" spans="1:1">
      <c r="A1341" t="s">
        <v>5298</v>
      </c>
    </row>
    <row r="1342" spans="1:1">
      <c r="A1342" t="s">
        <v>5299</v>
      </c>
    </row>
    <row r="1343" spans="1:1">
      <c r="A1343" t="s">
        <v>5300</v>
      </c>
    </row>
    <row r="1344" spans="1:1">
      <c r="A1344" t="s">
        <v>5301</v>
      </c>
    </row>
    <row r="1345" spans="1:1">
      <c r="A1345" t="s">
        <v>5302</v>
      </c>
    </row>
    <row r="1346" spans="1:1">
      <c r="A1346" t="s">
        <v>5303</v>
      </c>
    </row>
    <row r="1347" spans="1:1">
      <c r="A1347" t="s">
        <v>5304</v>
      </c>
    </row>
    <row r="1348" spans="1:1">
      <c r="A1348" t="s">
        <v>5305</v>
      </c>
    </row>
    <row r="1349" spans="1:1">
      <c r="A1349" t="s">
        <v>5306</v>
      </c>
    </row>
    <row r="1350" spans="1:1">
      <c r="A1350" t="s">
        <v>5307</v>
      </c>
    </row>
    <row r="1351" spans="1:1">
      <c r="A1351" t="s">
        <v>5308</v>
      </c>
    </row>
    <row r="1352" spans="1:1">
      <c r="A1352" t="s">
        <v>5309</v>
      </c>
    </row>
    <row r="1353" spans="1:1">
      <c r="A1353" t="s">
        <v>5310</v>
      </c>
    </row>
    <row r="1354" spans="1:1">
      <c r="A1354" t="s">
        <v>5311</v>
      </c>
    </row>
    <row r="1355" spans="1:1">
      <c r="A1355" t="s">
        <v>5312</v>
      </c>
    </row>
    <row r="1356" spans="1:1">
      <c r="A1356" t="s">
        <v>5313</v>
      </c>
    </row>
    <row r="1357" spans="1:1">
      <c r="A1357" t="s">
        <v>5314</v>
      </c>
    </row>
    <row r="1358" spans="1:1">
      <c r="A1358" t="s">
        <v>5315</v>
      </c>
    </row>
    <row r="1359" spans="1:1">
      <c r="A1359" t="s">
        <v>5316</v>
      </c>
    </row>
    <row r="1360" spans="1:1">
      <c r="A1360" t="s">
        <v>5317</v>
      </c>
    </row>
    <row r="1361" spans="1:1">
      <c r="A1361" t="s">
        <v>5318</v>
      </c>
    </row>
    <row r="1362" spans="1:1">
      <c r="A1362" t="s">
        <v>5319</v>
      </c>
    </row>
    <row r="1363" spans="1:1">
      <c r="A1363" t="s">
        <v>5320</v>
      </c>
    </row>
    <row r="1364" spans="1:1">
      <c r="A1364" t="s">
        <v>5321</v>
      </c>
    </row>
    <row r="1365" spans="1:1">
      <c r="A1365" t="s">
        <v>5322</v>
      </c>
    </row>
    <row r="1366" spans="1:1">
      <c r="A1366" t="s">
        <v>5323</v>
      </c>
    </row>
    <row r="1367" spans="1:1">
      <c r="A1367" t="s">
        <v>5324</v>
      </c>
    </row>
    <row r="1368" spans="1:1">
      <c r="A1368" t="s">
        <v>5325</v>
      </c>
    </row>
    <row r="1369" spans="1:1">
      <c r="A1369" t="s">
        <v>5326</v>
      </c>
    </row>
    <row r="1370" spans="1:1">
      <c r="A1370" t="s">
        <v>5327</v>
      </c>
    </row>
    <row r="1371" spans="1:1">
      <c r="A1371" t="s">
        <v>5328</v>
      </c>
    </row>
    <row r="1372" spans="1:1">
      <c r="A1372" t="s">
        <v>5329</v>
      </c>
    </row>
    <row r="1373" spans="1:1">
      <c r="A1373" t="s">
        <v>5330</v>
      </c>
    </row>
    <row r="1374" spans="1:1">
      <c r="A1374" t="s">
        <v>5331</v>
      </c>
    </row>
    <row r="1375" spans="1:1">
      <c r="A1375" t="s">
        <v>5332</v>
      </c>
    </row>
    <row r="1376" spans="1:1">
      <c r="A1376" t="s">
        <v>5333</v>
      </c>
    </row>
    <row r="1377" spans="1:1">
      <c r="A1377" t="s">
        <v>5334</v>
      </c>
    </row>
    <row r="1378" spans="1:1">
      <c r="A1378" t="s">
        <v>5335</v>
      </c>
    </row>
    <row r="1379" spans="1:1">
      <c r="A1379" t="s">
        <v>5336</v>
      </c>
    </row>
    <row r="1380" spans="1:1">
      <c r="A1380" t="s">
        <v>5337</v>
      </c>
    </row>
    <row r="1381" spans="1:1">
      <c r="A1381" t="s">
        <v>5338</v>
      </c>
    </row>
    <row r="1382" spans="1:1">
      <c r="A1382" t="s">
        <v>5339</v>
      </c>
    </row>
    <row r="1383" spans="1:1">
      <c r="A1383" t="s">
        <v>5340</v>
      </c>
    </row>
    <row r="1384" spans="1:1">
      <c r="A1384" t="s">
        <v>5341</v>
      </c>
    </row>
    <row r="1385" spans="1:1">
      <c r="A1385" t="s">
        <v>5342</v>
      </c>
    </row>
    <row r="1386" spans="1:1">
      <c r="A1386" t="s">
        <v>5343</v>
      </c>
    </row>
    <row r="1387" spans="1:1">
      <c r="A1387" t="s">
        <v>5344</v>
      </c>
    </row>
    <row r="1388" spans="1:1">
      <c r="A1388" t="s">
        <v>5345</v>
      </c>
    </row>
    <row r="1389" spans="1:1">
      <c r="A1389" t="s">
        <v>5346</v>
      </c>
    </row>
    <row r="1390" spans="1:1">
      <c r="A1390" t="s">
        <v>5347</v>
      </c>
    </row>
    <row r="1391" spans="1:1">
      <c r="A1391" t="s">
        <v>5348</v>
      </c>
    </row>
    <row r="1392" spans="1:1">
      <c r="A1392" t="s">
        <v>5349</v>
      </c>
    </row>
    <row r="1393" spans="1:1">
      <c r="A1393" t="s">
        <v>5350</v>
      </c>
    </row>
    <row r="1394" spans="1:1">
      <c r="A1394" t="s">
        <v>5351</v>
      </c>
    </row>
    <row r="1395" spans="1:1">
      <c r="A1395" t="s">
        <v>5352</v>
      </c>
    </row>
    <row r="1396" spans="1:1">
      <c r="A1396" t="s">
        <v>5353</v>
      </c>
    </row>
    <row r="1397" spans="1:1">
      <c r="A1397" t="s">
        <v>5354</v>
      </c>
    </row>
    <row r="1398" spans="1:1">
      <c r="A1398" t="s">
        <v>5355</v>
      </c>
    </row>
    <row r="1399" spans="1:1">
      <c r="A1399" t="s">
        <v>5356</v>
      </c>
    </row>
    <row r="1400" spans="1:1">
      <c r="A1400" t="s">
        <v>5357</v>
      </c>
    </row>
    <row r="1401" spans="1:1">
      <c r="A1401" t="s">
        <v>5358</v>
      </c>
    </row>
    <row r="1402" spans="1:1">
      <c r="A1402" t="s">
        <v>5359</v>
      </c>
    </row>
    <row r="1403" spans="1:1">
      <c r="A1403" t="s">
        <v>5360</v>
      </c>
    </row>
    <row r="1404" spans="1:1">
      <c r="A1404" t="s">
        <v>5361</v>
      </c>
    </row>
    <row r="1405" spans="1:1">
      <c r="A1405" t="s">
        <v>5362</v>
      </c>
    </row>
    <row r="1406" spans="1:1">
      <c r="A1406" t="s">
        <v>5363</v>
      </c>
    </row>
    <row r="1407" spans="1:1">
      <c r="A1407" t="s">
        <v>5364</v>
      </c>
    </row>
    <row r="1408" spans="1:1">
      <c r="A1408" t="s">
        <v>5365</v>
      </c>
    </row>
    <row r="1409" spans="1:1">
      <c r="A1409" t="s">
        <v>5366</v>
      </c>
    </row>
    <row r="1410" spans="1:1">
      <c r="A1410" t="s">
        <v>5367</v>
      </c>
    </row>
    <row r="1411" spans="1:1">
      <c r="A1411" t="s">
        <v>5368</v>
      </c>
    </row>
    <row r="1412" spans="1:1">
      <c r="A1412" t="s">
        <v>5369</v>
      </c>
    </row>
    <row r="1413" spans="1:1">
      <c r="A1413" t="s">
        <v>5370</v>
      </c>
    </row>
    <row r="1414" spans="1:1">
      <c r="A1414" t="s">
        <v>5371</v>
      </c>
    </row>
    <row r="1415" spans="1:1">
      <c r="A1415" t="s">
        <v>5372</v>
      </c>
    </row>
    <row r="1416" spans="1:1">
      <c r="A1416" t="s">
        <v>5373</v>
      </c>
    </row>
    <row r="1417" spans="1:1">
      <c r="A1417" t="s">
        <v>5374</v>
      </c>
    </row>
    <row r="1418" spans="1:1">
      <c r="A1418" t="s">
        <v>5375</v>
      </c>
    </row>
    <row r="1419" spans="1:1">
      <c r="A1419" t="s">
        <v>5376</v>
      </c>
    </row>
    <row r="1420" spans="1:1">
      <c r="A1420" t="s">
        <v>5377</v>
      </c>
    </row>
    <row r="1421" spans="1:1">
      <c r="A1421" t="s">
        <v>5378</v>
      </c>
    </row>
    <row r="1422" spans="1:1">
      <c r="A1422" t="s">
        <v>5379</v>
      </c>
    </row>
    <row r="1423" spans="1:1">
      <c r="A1423" t="s">
        <v>5380</v>
      </c>
    </row>
    <row r="1424" spans="1:1">
      <c r="A1424" t="s">
        <v>5381</v>
      </c>
    </row>
    <row r="1425" spans="1:1">
      <c r="A1425" t="s">
        <v>5382</v>
      </c>
    </row>
    <row r="1426" spans="1:1">
      <c r="A1426" t="s">
        <v>5383</v>
      </c>
    </row>
    <row r="1427" spans="1:1">
      <c r="A1427" t="s">
        <v>5384</v>
      </c>
    </row>
    <row r="1428" spans="1:1">
      <c r="A1428" t="s">
        <v>5385</v>
      </c>
    </row>
    <row r="1429" spans="1:1">
      <c r="A1429" t="s">
        <v>5386</v>
      </c>
    </row>
    <row r="1430" spans="1:1">
      <c r="A1430" t="s">
        <v>5387</v>
      </c>
    </row>
    <row r="1431" spans="1:1">
      <c r="A1431" t="s">
        <v>5388</v>
      </c>
    </row>
    <row r="1432" spans="1:1">
      <c r="A1432" t="s">
        <v>5389</v>
      </c>
    </row>
    <row r="1433" spans="1:1">
      <c r="A1433" t="s">
        <v>5390</v>
      </c>
    </row>
    <row r="1434" spans="1:1">
      <c r="A1434" t="s">
        <v>5391</v>
      </c>
    </row>
    <row r="1435" spans="1:1">
      <c r="A1435" t="s">
        <v>5392</v>
      </c>
    </row>
    <row r="1436" spans="1:1">
      <c r="A1436" t="s">
        <v>5393</v>
      </c>
    </row>
    <row r="1437" spans="1:1">
      <c r="A1437" t="s">
        <v>5394</v>
      </c>
    </row>
    <row r="1438" spans="1:1">
      <c r="A1438" t="s">
        <v>5395</v>
      </c>
    </row>
    <row r="1439" spans="1:1">
      <c r="A1439" t="s">
        <v>5396</v>
      </c>
    </row>
    <row r="1440" spans="1:1">
      <c r="A1440" t="s">
        <v>5397</v>
      </c>
    </row>
    <row r="1441" spans="1:1">
      <c r="A1441" t="s">
        <v>5398</v>
      </c>
    </row>
    <row r="1442" spans="1:1">
      <c r="A1442" t="s">
        <v>5399</v>
      </c>
    </row>
    <row r="1443" spans="1:1">
      <c r="A1443" t="s">
        <v>5400</v>
      </c>
    </row>
    <row r="1444" spans="1:1">
      <c r="A1444" t="s">
        <v>5401</v>
      </c>
    </row>
    <row r="1445" spans="1:1">
      <c r="A1445" t="s">
        <v>5402</v>
      </c>
    </row>
    <row r="1446" spans="1:1">
      <c r="A1446" t="s">
        <v>5403</v>
      </c>
    </row>
    <row r="1447" spans="1:1">
      <c r="A1447" t="s">
        <v>5404</v>
      </c>
    </row>
    <row r="1448" spans="1:1">
      <c r="A1448" t="s">
        <v>5405</v>
      </c>
    </row>
    <row r="1449" spans="1:1">
      <c r="A1449" t="s">
        <v>5406</v>
      </c>
    </row>
    <row r="1450" spans="1:1">
      <c r="A1450" t="s">
        <v>5407</v>
      </c>
    </row>
    <row r="1451" spans="1:1">
      <c r="A1451" t="s">
        <v>5408</v>
      </c>
    </row>
    <row r="1452" spans="1:1">
      <c r="A1452" t="s">
        <v>5409</v>
      </c>
    </row>
    <row r="1453" spans="1:1">
      <c r="A1453" t="s">
        <v>5410</v>
      </c>
    </row>
    <row r="1454" spans="1:1">
      <c r="A1454" t="s">
        <v>5411</v>
      </c>
    </row>
    <row r="1455" spans="1:1">
      <c r="A1455" t="s">
        <v>5412</v>
      </c>
    </row>
    <row r="1456" spans="1:1">
      <c r="A1456" t="s">
        <v>5413</v>
      </c>
    </row>
    <row r="1457" spans="1:1">
      <c r="A1457" t="s">
        <v>5414</v>
      </c>
    </row>
    <row r="1458" spans="1:1">
      <c r="A1458" t="s">
        <v>5415</v>
      </c>
    </row>
    <row r="1459" spans="1:1">
      <c r="A1459" t="s">
        <v>5416</v>
      </c>
    </row>
    <row r="1460" spans="1:1">
      <c r="A1460" t="s">
        <v>5417</v>
      </c>
    </row>
    <row r="1461" spans="1:1">
      <c r="A1461" t="s">
        <v>5418</v>
      </c>
    </row>
    <row r="1462" spans="1:1">
      <c r="A1462" t="s">
        <v>5419</v>
      </c>
    </row>
    <row r="1463" spans="1:1">
      <c r="A1463" t="s">
        <v>5420</v>
      </c>
    </row>
    <row r="1464" spans="1:1">
      <c r="A1464" t="s">
        <v>5421</v>
      </c>
    </row>
    <row r="1465" spans="1:1">
      <c r="A1465" t="s">
        <v>5422</v>
      </c>
    </row>
    <row r="1466" spans="1:1">
      <c r="A1466" t="s">
        <v>5423</v>
      </c>
    </row>
    <row r="1467" spans="1:1">
      <c r="A1467" t="s">
        <v>5424</v>
      </c>
    </row>
    <row r="1468" spans="1:1">
      <c r="A1468" t="s">
        <v>5425</v>
      </c>
    </row>
    <row r="1469" spans="1:1">
      <c r="A1469" t="s">
        <v>5426</v>
      </c>
    </row>
    <row r="1470" spans="1:1">
      <c r="A1470" t="s">
        <v>5427</v>
      </c>
    </row>
    <row r="1471" spans="1:1">
      <c r="A1471" t="s">
        <v>5428</v>
      </c>
    </row>
    <row r="1472" spans="1:1">
      <c r="A1472" t="s">
        <v>5429</v>
      </c>
    </row>
    <row r="1473" spans="1:1">
      <c r="A1473" t="s">
        <v>5430</v>
      </c>
    </row>
    <row r="1474" spans="1:1">
      <c r="A1474" t="s">
        <v>5431</v>
      </c>
    </row>
    <row r="1475" spans="1:1">
      <c r="A1475" t="s">
        <v>5432</v>
      </c>
    </row>
    <row r="1476" spans="1:1">
      <c r="A1476" t="s">
        <v>5433</v>
      </c>
    </row>
    <row r="1477" spans="1:1">
      <c r="A1477" t="s">
        <v>5434</v>
      </c>
    </row>
    <row r="1478" spans="1:1">
      <c r="A1478" t="s">
        <v>5435</v>
      </c>
    </row>
    <row r="1479" spans="1:1">
      <c r="A1479" t="s">
        <v>5436</v>
      </c>
    </row>
    <row r="1480" spans="1:1">
      <c r="A1480" t="s">
        <v>5437</v>
      </c>
    </row>
    <row r="1481" spans="1:1">
      <c r="A1481" t="s">
        <v>5438</v>
      </c>
    </row>
    <row r="1482" spans="1:1">
      <c r="A1482" t="s">
        <v>5439</v>
      </c>
    </row>
    <row r="1483" spans="1:1">
      <c r="A1483" t="s">
        <v>5440</v>
      </c>
    </row>
    <row r="1484" spans="1:1">
      <c r="A1484" t="s">
        <v>5441</v>
      </c>
    </row>
    <row r="1485" spans="1:1">
      <c r="A1485" t="s">
        <v>5442</v>
      </c>
    </row>
    <row r="1486" spans="1:1">
      <c r="A1486" t="s">
        <v>5443</v>
      </c>
    </row>
    <row r="1487" spans="1:1">
      <c r="A1487" t="s">
        <v>5444</v>
      </c>
    </row>
    <row r="1488" spans="1:1">
      <c r="A1488" t="s">
        <v>5445</v>
      </c>
    </row>
    <row r="1489" spans="1:1">
      <c r="A1489" t="s">
        <v>5446</v>
      </c>
    </row>
    <row r="1490" spans="1:1">
      <c r="A1490" t="s">
        <v>5447</v>
      </c>
    </row>
    <row r="1491" spans="1:1">
      <c r="A1491" t="s">
        <v>5448</v>
      </c>
    </row>
    <row r="1492" spans="1:1">
      <c r="A1492" t="s">
        <v>5449</v>
      </c>
    </row>
    <row r="1493" spans="1:1">
      <c r="A1493" t="s">
        <v>5450</v>
      </c>
    </row>
    <row r="1494" spans="1:1">
      <c r="A1494" t="s">
        <v>5451</v>
      </c>
    </row>
    <row r="1495" spans="1:1">
      <c r="A1495" t="s">
        <v>5452</v>
      </c>
    </row>
    <row r="1496" spans="1:1">
      <c r="A1496" t="s">
        <v>5453</v>
      </c>
    </row>
    <row r="1497" spans="1:1">
      <c r="A1497" t="s">
        <v>5454</v>
      </c>
    </row>
    <row r="1498" spans="1:1">
      <c r="A1498" t="s">
        <v>5455</v>
      </c>
    </row>
    <row r="1499" spans="1:1">
      <c r="A1499" t="s">
        <v>5456</v>
      </c>
    </row>
    <row r="1500" spans="1:1">
      <c r="A1500" t="s">
        <v>5457</v>
      </c>
    </row>
    <row r="1501" spans="1:1">
      <c r="A1501" t="s">
        <v>5458</v>
      </c>
    </row>
    <row r="1502" spans="1:1">
      <c r="A1502" t="s">
        <v>5459</v>
      </c>
    </row>
    <row r="1503" spans="1:1">
      <c r="A1503" t="s">
        <v>5460</v>
      </c>
    </row>
    <row r="1504" spans="1:1">
      <c r="A1504" t="s">
        <v>5461</v>
      </c>
    </row>
    <row r="1505" spans="1:1">
      <c r="A1505" t="s">
        <v>5462</v>
      </c>
    </row>
    <row r="1506" spans="1:1">
      <c r="A1506" t="s">
        <v>5463</v>
      </c>
    </row>
    <row r="1507" spans="1:1">
      <c r="A1507" t="s">
        <v>5464</v>
      </c>
    </row>
    <row r="1508" spans="1:1">
      <c r="A1508" t="s">
        <v>5465</v>
      </c>
    </row>
    <row r="1509" spans="1:1">
      <c r="A1509" t="s">
        <v>5466</v>
      </c>
    </row>
    <row r="1510" spans="1:1">
      <c r="A1510" t="s">
        <v>5467</v>
      </c>
    </row>
    <row r="1511" spans="1:1">
      <c r="A1511" t="s">
        <v>5468</v>
      </c>
    </row>
    <row r="1512" spans="1:1">
      <c r="A1512" t="s">
        <v>5469</v>
      </c>
    </row>
    <row r="1513" spans="1:1">
      <c r="A1513" t="s">
        <v>5470</v>
      </c>
    </row>
    <row r="1514" spans="1:1">
      <c r="A1514" t="s">
        <v>5471</v>
      </c>
    </row>
    <row r="1515" spans="1:1">
      <c r="A1515" t="s">
        <v>5472</v>
      </c>
    </row>
    <row r="1516" spans="1:1">
      <c r="A1516" t="s">
        <v>5473</v>
      </c>
    </row>
    <row r="1517" spans="1:1">
      <c r="A1517" t="s">
        <v>5474</v>
      </c>
    </row>
    <row r="1518" spans="1:1">
      <c r="A1518" t="s">
        <v>5475</v>
      </c>
    </row>
    <row r="1519" spans="1:1">
      <c r="A1519" t="s">
        <v>5476</v>
      </c>
    </row>
    <row r="1520" spans="1:1">
      <c r="A1520" t="s">
        <v>5477</v>
      </c>
    </row>
    <row r="1521" spans="1:1">
      <c r="A1521" t="s">
        <v>5478</v>
      </c>
    </row>
    <row r="1522" spans="1:1">
      <c r="A1522" t="s">
        <v>5479</v>
      </c>
    </row>
    <row r="1523" spans="1:1">
      <c r="A1523" t="s">
        <v>5480</v>
      </c>
    </row>
    <row r="1524" spans="1:1">
      <c r="A1524" t="s">
        <v>5481</v>
      </c>
    </row>
    <row r="1525" spans="1:1">
      <c r="A1525" t="s">
        <v>5482</v>
      </c>
    </row>
    <row r="1526" spans="1:1">
      <c r="A1526" t="s">
        <v>5483</v>
      </c>
    </row>
    <row r="1527" spans="1:1">
      <c r="A1527" t="s">
        <v>5484</v>
      </c>
    </row>
    <row r="1528" spans="1:1">
      <c r="A1528" t="s">
        <v>5485</v>
      </c>
    </row>
    <row r="1529" spans="1:1">
      <c r="A1529" t="s">
        <v>5486</v>
      </c>
    </row>
    <row r="1530" spans="1:1">
      <c r="A1530" t="s">
        <v>5487</v>
      </c>
    </row>
    <row r="1531" spans="1:1">
      <c r="A1531" t="s">
        <v>5488</v>
      </c>
    </row>
    <row r="1532" spans="1:1">
      <c r="A1532" t="s">
        <v>5489</v>
      </c>
    </row>
    <row r="1533" spans="1:1">
      <c r="A1533" t="s">
        <v>5490</v>
      </c>
    </row>
    <row r="1534" spans="1:1">
      <c r="A1534" t="s">
        <v>5491</v>
      </c>
    </row>
    <row r="1535" spans="1:1">
      <c r="A1535" t="s">
        <v>5492</v>
      </c>
    </row>
    <row r="1536" spans="1:1">
      <c r="A1536" t="s">
        <v>5493</v>
      </c>
    </row>
    <row r="1537" spans="1:1">
      <c r="A1537" t="s">
        <v>5494</v>
      </c>
    </row>
    <row r="1538" spans="1:1">
      <c r="A1538" t="s">
        <v>5495</v>
      </c>
    </row>
    <row r="1539" spans="1:1">
      <c r="A1539" t="s">
        <v>5496</v>
      </c>
    </row>
    <row r="1540" spans="1:1">
      <c r="A1540" t="s">
        <v>5497</v>
      </c>
    </row>
    <row r="1541" spans="1:1">
      <c r="A1541" t="s">
        <v>5498</v>
      </c>
    </row>
    <row r="1542" spans="1:1">
      <c r="A1542" t="s">
        <v>5499</v>
      </c>
    </row>
    <row r="1543" spans="1:1">
      <c r="A1543" t="s">
        <v>5500</v>
      </c>
    </row>
    <row r="1544" spans="1:1">
      <c r="A1544" t="s">
        <v>5501</v>
      </c>
    </row>
    <row r="1545" spans="1:1">
      <c r="A1545" t="s">
        <v>5502</v>
      </c>
    </row>
    <row r="1546" spans="1:1">
      <c r="A1546" t="s">
        <v>5503</v>
      </c>
    </row>
    <row r="1547" spans="1:1">
      <c r="A1547" t="s">
        <v>5504</v>
      </c>
    </row>
    <row r="1548" spans="1:1">
      <c r="A1548" t="s">
        <v>5505</v>
      </c>
    </row>
    <row r="1549" spans="1:1">
      <c r="A1549" t="s">
        <v>5506</v>
      </c>
    </row>
    <row r="1550" spans="1:1">
      <c r="A1550" t="s">
        <v>5507</v>
      </c>
    </row>
    <row r="1551" spans="1:1">
      <c r="A1551" t="s">
        <v>5508</v>
      </c>
    </row>
    <row r="1552" spans="1:1">
      <c r="A1552" t="s">
        <v>5509</v>
      </c>
    </row>
    <row r="1553" spans="1:1">
      <c r="A1553" t="s">
        <v>5510</v>
      </c>
    </row>
    <row r="1554" spans="1:1">
      <c r="A1554" t="s">
        <v>5511</v>
      </c>
    </row>
    <row r="1555" spans="1:1">
      <c r="A1555" t="s">
        <v>5512</v>
      </c>
    </row>
    <row r="1556" spans="1:1">
      <c r="A1556" t="s">
        <v>5513</v>
      </c>
    </row>
    <row r="1557" spans="1:1">
      <c r="A1557" t="s">
        <v>5514</v>
      </c>
    </row>
    <row r="1558" spans="1:1">
      <c r="A1558" t="s">
        <v>5515</v>
      </c>
    </row>
    <row r="1559" spans="1:1">
      <c r="A1559" t="s">
        <v>5516</v>
      </c>
    </row>
    <row r="1560" spans="1:1">
      <c r="A1560" t="s">
        <v>5517</v>
      </c>
    </row>
    <row r="1561" spans="1:1">
      <c r="A1561" t="s">
        <v>5518</v>
      </c>
    </row>
    <row r="1562" spans="1:1">
      <c r="A1562" t="s">
        <v>5519</v>
      </c>
    </row>
    <row r="1563" spans="1:1">
      <c r="A1563" t="s">
        <v>5520</v>
      </c>
    </row>
    <row r="1564" spans="1:1">
      <c r="A1564" t="s">
        <v>5521</v>
      </c>
    </row>
    <row r="1565" spans="1:1">
      <c r="A1565" t="s">
        <v>5522</v>
      </c>
    </row>
    <row r="1566" spans="1:1">
      <c r="A1566" t="s">
        <v>5523</v>
      </c>
    </row>
    <row r="1567" spans="1:1">
      <c r="A1567" t="s">
        <v>5524</v>
      </c>
    </row>
    <row r="1568" spans="1:1">
      <c r="A1568" t="s">
        <v>5525</v>
      </c>
    </row>
    <row r="1569" spans="1:1">
      <c r="A1569" t="s">
        <v>5526</v>
      </c>
    </row>
    <row r="1570" spans="1:1">
      <c r="A1570" t="s">
        <v>5527</v>
      </c>
    </row>
    <row r="1571" spans="1:1">
      <c r="A1571" t="s">
        <v>5528</v>
      </c>
    </row>
    <row r="1572" spans="1:1">
      <c r="A1572" t="s">
        <v>5529</v>
      </c>
    </row>
    <row r="1573" spans="1:1">
      <c r="A1573" t="s">
        <v>5530</v>
      </c>
    </row>
    <row r="1574" spans="1:1">
      <c r="A1574" t="s">
        <v>5531</v>
      </c>
    </row>
    <row r="1575" spans="1:1">
      <c r="A1575" t="s">
        <v>5532</v>
      </c>
    </row>
    <row r="1576" spans="1:1">
      <c r="A1576" t="s">
        <v>5533</v>
      </c>
    </row>
    <row r="1577" spans="1:1">
      <c r="A1577" t="s">
        <v>5534</v>
      </c>
    </row>
    <row r="1578" spans="1:1">
      <c r="A1578" t="s">
        <v>5535</v>
      </c>
    </row>
    <row r="1579" spans="1:1">
      <c r="A1579" t="s">
        <v>5536</v>
      </c>
    </row>
    <row r="1580" spans="1:1">
      <c r="A1580" t="s">
        <v>5537</v>
      </c>
    </row>
    <row r="1581" spans="1:1">
      <c r="A1581" t="s">
        <v>5538</v>
      </c>
    </row>
    <row r="1582" spans="1:1">
      <c r="A1582" t="s">
        <v>5539</v>
      </c>
    </row>
    <row r="1583" spans="1:1">
      <c r="A1583" t="s">
        <v>5540</v>
      </c>
    </row>
    <row r="1584" spans="1:1">
      <c r="A1584" t="s">
        <v>5541</v>
      </c>
    </row>
    <row r="1585" spans="1:1">
      <c r="A1585" t="s">
        <v>5542</v>
      </c>
    </row>
    <row r="1586" spans="1:1">
      <c r="A1586" t="s">
        <v>5543</v>
      </c>
    </row>
    <row r="1587" spans="1:1">
      <c r="A1587" t="s">
        <v>5544</v>
      </c>
    </row>
    <row r="1588" spans="1:1">
      <c r="A1588" t="s">
        <v>5545</v>
      </c>
    </row>
    <row r="1589" spans="1:1">
      <c r="A1589" t="s">
        <v>5546</v>
      </c>
    </row>
    <row r="1590" spans="1:1">
      <c r="A1590" t="s">
        <v>5547</v>
      </c>
    </row>
    <row r="1591" spans="1:1">
      <c r="A1591" t="s">
        <v>5548</v>
      </c>
    </row>
    <row r="1592" spans="1:1">
      <c r="A1592" t="s">
        <v>5549</v>
      </c>
    </row>
    <row r="1593" spans="1:1">
      <c r="A1593" t="s">
        <v>5550</v>
      </c>
    </row>
    <row r="1594" spans="1:1">
      <c r="A1594" t="s">
        <v>5551</v>
      </c>
    </row>
    <row r="1595" spans="1:1">
      <c r="A1595" t="s">
        <v>5552</v>
      </c>
    </row>
    <row r="1596" spans="1:1">
      <c r="A1596" t="s">
        <v>5553</v>
      </c>
    </row>
    <row r="1597" spans="1:1">
      <c r="A1597" t="s">
        <v>5554</v>
      </c>
    </row>
    <row r="1598" spans="1:1">
      <c r="A1598" t="s">
        <v>5555</v>
      </c>
    </row>
    <row r="1599" spans="1:1">
      <c r="A1599" t="s">
        <v>5556</v>
      </c>
    </row>
    <row r="1600" spans="1:1">
      <c r="A1600" t="s">
        <v>5557</v>
      </c>
    </row>
    <row r="1601" spans="1:1">
      <c r="A1601" t="s">
        <v>5558</v>
      </c>
    </row>
    <row r="1602" spans="1:1">
      <c r="A1602" t="s">
        <v>5559</v>
      </c>
    </row>
    <row r="1603" spans="1:1">
      <c r="A1603" t="s">
        <v>5560</v>
      </c>
    </row>
    <row r="1604" spans="1:1">
      <c r="A1604" t="s">
        <v>5561</v>
      </c>
    </row>
    <row r="1605" spans="1:1">
      <c r="A1605" t="s">
        <v>5562</v>
      </c>
    </row>
    <row r="1606" spans="1:1">
      <c r="A1606" t="s">
        <v>5563</v>
      </c>
    </row>
    <row r="1607" spans="1:1">
      <c r="A1607" t="s">
        <v>5564</v>
      </c>
    </row>
    <row r="1608" spans="1:1">
      <c r="A1608" t="s">
        <v>5565</v>
      </c>
    </row>
    <row r="1609" spans="1:1">
      <c r="A1609" t="s">
        <v>5566</v>
      </c>
    </row>
    <row r="1610" spans="1:1">
      <c r="A1610" t="s">
        <v>5567</v>
      </c>
    </row>
    <row r="1611" spans="1:1">
      <c r="A1611" t="s">
        <v>5568</v>
      </c>
    </row>
    <row r="1612" spans="1:1">
      <c r="A1612" t="s">
        <v>5569</v>
      </c>
    </row>
    <row r="1613" spans="1:1">
      <c r="A1613" t="s">
        <v>5570</v>
      </c>
    </row>
    <row r="1614" spans="1:1">
      <c r="A1614" t="s">
        <v>5571</v>
      </c>
    </row>
    <row r="1615" spans="1:1">
      <c r="A1615" t="s">
        <v>5572</v>
      </c>
    </row>
    <row r="1616" spans="1:1">
      <c r="A1616" t="s">
        <v>5573</v>
      </c>
    </row>
    <row r="1617" spans="1:1">
      <c r="A1617" t="s">
        <v>5574</v>
      </c>
    </row>
    <row r="1618" spans="1:1">
      <c r="A1618" t="s">
        <v>5575</v>
      </c>
    </row>
    <row r="1619" spans="1:1">
      <c r="A1619" t="s">
        <v>5576</v>
      </c>
    </row>
    <row r="1620" spans="1:1">
      <c r="A1620" t="s">
        <v>5577</v>
      </c>
    </row>
    <row r="1621" spans="1:1">
      <c r="A1621" t="s">
        <v>5578</v>
      </c>
    </row>
    <row r="1622" spans="1:1">
      <c r="A1622" t="s">
        <v>5579</v>
      </c>
    </row>
    <row r="1623" spans="1:1">
      <c r="A1623" t="s">
        <v>5580</v>
      </c>
    </row>
    <row r="1624" spans="1:1">
      <c r="A1624" t="s">
        <v>5581</v>
      </c>
    </row>
    <row r="1625" spans="1:1">
      <c r="A1625" t="s">
        <v>5582</v>
      </c>
    </row>
    <row r="1626" spans="1:1">
      <c r="A1626" t="s">
        <v>5583</v>
      </c>
    </row>
    <row r="1627" spans="1:1">
      <c r="A1627" t="s">
        <v>5584</v>
      </c>
    </row>
    <row r="1628" spans="1:1">
      <c r="A1628" t="s">
        <v>5585</v>
      </c>
    </row>
    <row r="1629" spans="1:1">
      <c r="A1629" t="s">
        <v>5586</v>
      </c>
    </row>
    <row r="1630" spans="1:1">
      <c r="A1630" t="s">
        <v>5587</v>
      </c>
    </row>
    <row r="1631" spans="1:1">
      <c r="A1631" t="s">
        <v>5588</v>
      </c>
    </row>
    <row r="1632" spans="1:1">
      <c r="A1632" t="s">
        <v>5589</v>
      </c>
    </row>
    <row r="1633" spans="1:1">
      <c r="A1633" t="s">
        <v>5590</v>
      </c>
    </row>
    <row r="1634" spans="1:1">
      <c r="A1634" t="s">
        <v>5591</v>
      </c>
    </row>
    <row r="1635" spans="1:1">
      <c r="A1635" t="s">
        <v>5592</v>
      </c>
    </row>
    <row r="1636" spans="1:1">
      <c r="A1636" t="s">
        <v>5593</v>
      </c>
    </row>
    <row r="1637" spans="1:1">
      <c r="A1637" t="s">
        <v>5594</v>
      </c>
    </row>
    <row r="1638" spans="1:1">
      <c r="A1638" t="s">
        <v>5595</v>
      </c>
    </row>
    <row r="1639" spans="1:1">
      <c r="A1639" t="s">
        <v>5596</v>
      </c>
    </row>
    <row r="1640" spans="1:1">
      <c r="A1640" t="s">
        <v>5597</v>
      </c>
    </row>
    <row r="1641" spans="1:1">
      <c r="A1641" t="s">
        <v>5598</v>
      </c>
    </row>
    <row r="1642" spans="1:1">
      <c r="A1642" t="s">
        <v>5599</v>
      </c>
    </row>
    <row r="1643" spans="1:1">
      <c r="A1643" t="s">
        <v>5600</v>
      </c>
    </row>
    <row r="1644" spans="1:1">
      <c r="A1644" t="s">
        <v>5601</v>
      </c>
    </row>
    <row r="1645" spans="1:1">
      <c r="A1645" t="s">
        <v>5602</v>
      </c>
    </row>
    <row r="1646" spans="1:1">
      <c r="A1646" t="s">
        <v>5603</v>
      </c>
    </row>
    <row r="1647" spans="1:1">
      <c r="A1647" t="s">
        <v>5604</v>
      </c>
    </row>
    <row r="1648" spans="1:1">
      <c r="A1648" t="s">
        <v>5605</v>
      </c>
    </row>
    <row r="1649" spans="1:1">
      <c r="A1649" t="s">
        <v>5606</v>
      </c>
    </row>
    <row r="1650" spans="1:1">
      <c r="A1650" t="s">
        <v>5607</v>
      </c>
    </row>
    <row r="1651" spans="1:1">
      <c r="A1651" t="s">
        <v>5608</v>
      </c>
    </row>
    <row r="1652" spans="1:1">
      <c r="A1652" t="s">
        <v>5609</v>
      </c>
    </row>
    <row r="1653" spans="1:1">
      <c r="A1653" t="s">
        <v>5610</v>
      </c>
    </row>
    <row r="1654" spans="1:1">
      <c r="A1654" t="s">
        <v>5611</v>
      </c>
    </row>
    <row r="1655" spans="1:1">
      <c r="A1655" t="s">
        <v>5612</v>
      </c>
    </row>
    <row r="1656" spans="1:1">
      <c r="A1656" t="s">
        <v>5613</v>
      </c>
    </row>
    <row r="1657" spans="1:1">
      <c r="A1657" t="s">
        <v>5614</v>
      </c>
    </row>
    <row r="1658" spans="1:1">
      <c r="A1658" t="s">
        <v>5615</v>
      </c>
    </row>
    <row r="1659" spans="1:1">
      <c r="A1659" t="s">
        <v>5616</v>
      </c>
    </row>
    <row r="1660" spans="1:1">
      <c r="A1660" t="s">
        <v>5617</v>
      </c>
    </row>
    <row r="1661" spans="1:1">
      <c r="A1661" t="s">
        <v>5618</v>
      </c>
    </row>
    <row r="1662" spans="1:1">
      <c r="A1662" t="s">
        <v>5619</v>
      </c>
    </row>
    <row r="1663" spans="1:1">
      <c r="A1663" t="s">
        <v>5620</v>
      </c>
    </row>
    <row r="1664" spans="1:1">
      <c r="A1664" t="s">
        <v>5621</v>
      </c>
    </row>
    <row r="1665" spans="1:1">
      <c r="A1665" t="s">
        <v>5622</v>
      </c>
    </row>
    <row r="1666" spans="1:1">
      <c r="A1666" t="s">
        <v>5623</v>
      </c>
    </row>
    <row r="1667" spans="1:1">
      <c r="A1667" t="s">
        <v>5624</v>
      </c>
    </row>
    <row r="1668" spans="1:1">
      <c r="A1668" t="s">
        <v>5625</v>
      </c>
    </row>
    <row r="1669" spans="1:1">
      <c r="A1669" t="s">
        <v>5626</v>
      </c>
    </row>
    <row r="1670" spans="1:1">
      <c r="A1670" t="s">
        <v>5627</v>
      </c>
    </row>
    <row r="1671" spans="1:1">
      <c r="A1671" t="s">
        <v>5628</v>
      </c>
    </row>
    <row r="1672" spans="1:1">
      <c r="A1672" t="s">
        <v>5629</v>
      </c>
    </row>
    <row r="1673" spans="1:1">
      <c r="A1673" t="s">
        <v>5630</v>
      </c>
    </row>
    <row r="1674" spans="1:1">
      <c r="A1674" t="s">
        <v>5631</v>
      </c>
    </row>
    <row r="1675" spans="1:1">
      <c r="A1675" t="s">
        <v>5632</v>
      </c>
    </row>
    <row r="1676" spans="1:1">
      <c r="A1676" t="s">
        <v>5633</v>
      </c>
    </row>
    <row r="1677" spans="1:1">
      <c r="A1677" t="s">
        <v>5634</v>
      </c>
    </row>
    <row r="1678" spans="1:1">
      <c r="A1678" t="s">
        <v>5635</v>
      </c>
    </row>
    <row r="1679" spans="1:1">
      <c r="A1679" t="s">
        <v>5636</v>
      </c>
    </row>
    <row r="1680" spans="1:1">
      <c r="A1680" t="s">
        <v>5637</v>
      </c>
    </row>
    <row r="1681" spans="1:1">
      <c r="A1681" t="s">
        <v>5638</v>
      </c>
    </row>
    <row r="1682" spans="1:1">
      <c r="A1682" t="s">
        <v>5639</v>
      </c>
    </row>
    <row r="1683" spans="1:1">
      <c r="A1683" t="s">
        <v>5640</v>
      </c>
    </row>
    <row r="1684" spans="1:1">
      <c r="A1684" t="s">
        <v>5641</v>
      </c>
    </row>
    <row r="1685" spans="1:1">
      <c r="A1685" t="s">
        <v>5642</v>
      </c>
    </row>
    <row r="1686" spans="1:1">
      <c r="A1686" t="s">
        <v>5643</v>
      </c>
    </row>
    <row r="1687" spans="1:1">
      <c r="A1687" t="s">
        <v>5644</v>
      </c>
    </row>
    <row r="1688" spans="1:1">
      <c r="A1688" t="s">
        <v>5645</v>
      </c>
    </row>
    <row r="1689" spans="1:1">
      <c r="A1689" t="s">
        <v>5646</v>
      </c>
    </row>
    <row r="1690" spans="1:1">
      <c r="A1690" t="s">
        <v>5647</v>
      </c>
    </row>
    <row r="1691" spans="1:1">
      <c r="A1691" t="s">
        <v>5648</v>
      </c>
    </row>
    <row r="1692" spans="1:1">
      <c r="A1692" t="s">
        <v>5649</v>
      </c>
    </row>
    <row r="1693" spans="1:1">
      <c r="A1693" t="s">
        <v>5650</v>
      </c>
    </row>
    <row r="1694" spans="1:1">
      <c r="A1694" t="s">
        <v>5651</v>
      </c>
    </row>
    <row r="1695" spans="1:1">
      <c r="A1695" t="s">
        <v>5652</v>
      </c>
    </row>
    <row r="1696" spans="1:1">
      <c r="A1696" t="s">
        <v>5653</v>
      </c>
    </row>
    <row r="1697" spans="1:1">
      <c r="A1697" t="s">
        <v>5654</v>
      </c>
    </row>
    <row r="1698" spans="1:1">
      <c r="A1698" t="s">
        <v>5655</v>
      </c>
    </row>
    <row r="1699" spans="1:1">
      <c r="A1699" t="s">
        <v>5656</v>
      </c>
    </row>
    <row r="1700" spans="1:1">
      <c r="A1700" t="s">
        <v>5657</v>
      </c>
    </row>
    <row r="1701" spans="1:1">
      <c r="A1701" t="s">
        <v>5658</v>
      </c>
    </row>
    <row r="1702" spans="1:1">
      <c r="A1702" t="s">
        <v>5659</v>
      </c>
    </row>
    <row r="1703" spans="1:1">
      <c r="A1703" t="s">
        <v>5660</v>
      </c>
    </row>
    <row r="1704" spans="1:1">
      <c r="A1704" t="s">
        <v>5661</v>
      </c>
    </row>
    <row r="1705" spans="1:1">
      <c r="A1705" t="s">
        <v>5662</v>
      </c>
    </row>
    <row r="1706" spans="1:1">
      <c r="A1706" t="s">
        <v>5663</v>
      </c>
    </row>
    <row r="1707" spans="1:1">
      <c r="A1707" t="s">
        <v>5664</v>
      </c>
    </row>
    <row r="1708" spans="1:1">
      <c r="A1708" t="s">
        <v>5665</v>
      </c>
    </row>
    <row r="1709" spans="1:1">
      <c r="A1709" t="s">
        <v>5666</v>
      </c>
    </row>
    <row r="1710" spans="1:1">
      <c r="A1710" t="s">
        <v>5667</v>
      </c>
    </row>
    <row r="1711" spans="1:1">
      <c r="A1711" t="s">
        <v>5668</v>
      </c>
    </row>
    <row r="1712" spans="1:1">
      <c r="A1712" t="s">
        <v>5669</v>
      </c>
    </row>
    <row r="1713" spans="1:1">
      <c r="A1713" t="s">
        <v>5670</v>
      </c>
    </row>
    <row r="1714" spans="1:1">
      <c r="A1714" t="s">
        <v>5671</v>
      </c>
    </row>
    <row r="1715" spans="1:1">
      <c r="A1715" t="s">
        <v>5672</v>
      </c>
    </row>
    <row r="1716" spans="1:1">
      <c r="A1716" t="s">
        <v>5673</v>
      </c>
    </row>
    <row r="1717" spans="1:1">
      <c r="A1717" t="s">
        <v>5674</v>
      </c>
    </row>
    <row r="1718" spans="1:1">
      <c r="A1718" t="s">
        <v>5675</v>
      </c>
    </row>
    <row r="1719" spans="1:1">
      <c r="A1719" t="s">
        <v>5676</v>
      </c>
    </row>
    <row r="1720" spans="1:1">
      <c r="A1720" t="s">
        <v>5677</v>
      </c>
    </row>
    <row r="1721" spans="1:1">
      <c r="A1721" t="s">
        <v>5678</v>
      </c>
    </row>
    <row r="1722" spans="1:1">
      <c r="A1722" t="s">
        <v>5679</v>
      </c>
    </row>
    <row r="1723" spans="1:1">
      <c r="A1723" t="s">
        <v>5680</v>
      </c>
    </row>
    <row r="1724" spans="1:1">
      <c r="A1724" t="s">
        <v>5681</v>
      </c>
    </row>
    <row r="1725" spans="1:1">
      <c r="A1725" t="s">
        <v>5682</v>
      </c>
    </row>
    <row r="1726" spans="1:1">
      <c r="A1726" t="s">
        <v>5683</v>
      </c>
    </row>
    <row r="1727" spans="1:1">
      <c r="A1727" t="s">
        <v>5684</v>
      </c>
    </row>
    <row r="1728" spans="1:1">
      <c r="A1728" t="s">
        <v>5685</v>
      </c>
    </row>
    <row r="1729" spans="1:1">
      <c r="A1729" t="s">
        <v>5686</v>
      </c>
    </row>
    <row r="1730" spans="1:1">
      <c r="A1730" t="s">
        <v>5687</v>
      </c>
    </row>
    <row r="1731" spans="1:1">
      <c r="A1731" t="s">
        <v>5688</v>
      </c>
    </row>
    <row r="1732" spans="1:1">
      <c r="A1732" t="s">
        <v>5689</v>
      </c>
    </row>
    <row r="1733" spans="1:1">
      <c r="A1733" t="s">
        <v>5690</v>
      </c>
    </row>
    <row r="1734" spans="1:1">
      <c r="A1734" t="s">
        <v>5691</v>
      </c>
    </row>
    <row r="1735" spans="1:1">
      <c r="A1735" t="s">
        <v>5692</v>
      </c>
    </row>
    <row r="1736" spans="1:1">
      <c r="A1736" t="s">
        <v>5693</v>
      </c>
    </row>
    <row r="1737" spans="1:1">
      <c r="A1737" t="s">
        <v>5694</v>
      </c>
    </row>
    <row r="1738" spans="1:1">
      <c r="A1738" t="s">
        <v>5695</v>
      </c>
    </row>
    <row r="1739" spans="1:1">
      <c r="A1739" t="s">
        <v>5696</v>
      </c>
    </row>
    <row r="1740" spans="1:1">
      <c r="A1740" t="s">
        <v>5697</v>
      </c>
    </row>
    <row r="1741" spans="1:1">
      <c r="A1741" t="s">
        <v>5698</v>
      </c>
    </row>
    <row r="1742" spans="1:1">
      <c r="A1742" t="s">
        <v>5699</v>
      </c>
    </row>
    <row r="1743" spans="1:1">
      <c r="A1743" t="s">
        <v>5700</v>
      </c>
    </row>
    <row r="1744" spans="1:1">
      <c r="A1744" t="s">
        <v>5701</v>
      </c>
    </row>
    <row r="1745" spans="1:1">
      <c r="A1745" t="s">
        <v>5702</v>
      </c>
    </row>
    <row r="1746" spans="1:1">
      <c r="A1746" t="s">
        <v>5703</v>
      </c>
    </row>
    <row r="1747" spans="1:1">
      <c r="A1747" t="s">
        <v>5704</v>
      </c>
    </row>
    <row r="1748" spans="1:1">
      <c r="A1748" t="s">
        <v>5705</v>
      </c>
    </row>
    <row r="1749" spans="1:1">
      <c r="A1749" t="s">
        <v>5706</v>
      </c>
    </row>
    <row r="1750" spans="1:1">
      <c r="A1750" t="s">
        <v>5707</v>
      </c>
    </row>
    <row r="1751" spans="1:1">
      <c r="A1751" t="s">
        <v>5708</v>
      </c>
    </row>
    <row r="1752" spans="1:1">
      <c r="A1752" t="s">
        <v>5709</v>
      </c>
    </row>
    <row r="1753" spans="1:1">
      <c r="A1753" t="s">
        <v>5710</v>
      </c>
    </row>
    <row r="1754" spans="1:1">
      <c r="A1754" t="s">
        <v>5711</v>
      </c>
    </row>
    <row r="1755" spans="1:1">
      <c r="A1755" t="s">
        <v>5712</v>
      </c>
    </row>
    <row r="1756" spans="1:1">
      <c r="A1756" t="s">
        <v>5713</v>
      </c>
    </row>
    <row r="1757" spans="1:1">
      <c r="A1757" t="s">
        <v>5714</v>
      </c>
    </row>
    <row r="1758" spans="1:1">
      <c r="A1758" t="s">
        <v>5715</v>
      </c>
    </row>
    <row r="1759" spans="1:1">
      <c r="A1759" t="s">
        <v>5716</v>
      </c>
    </row>
    <row r="1760" spans="1:1">
      <c r="A1760" t="s">
        <v>5717</v>
      </c>
    </row>
    <row r="1761" spans="1:1">
      <c r="A1761" t="s">
        <v>5718</v>
      </c>
    </row>
    <row r="1762" spans="1:1">
      <c r="A1762" t="s">
        <v>5719</v>
      </c>
    </row>
    <row r="1763" spans="1:1">
      <c r="A1763" t="s">
        <v>5720</v>
      </c>
    </row>
    <row r="1764" spans="1:1">
      <c r="A1764" t="s">
        <v>5721</v>
      </c>
    </row>
    <row r="1765" spans="1:1">
      <c r="A1765" t="s">
        <v>5722</v>
      </c>
    </row>
    <row r="1766" spans="1:1">
      <c r="A1766" t="s">
        <v>5723</v>
      </c>
    </row>
    <row r="1767" spans="1:1">
      <c r="A1767" t="s">
        <v>5724</v>
      </c>
    </row>
    <row r="1768" spans="1:1">
      <c r="A1768" t="s">
        <v>5725</v>
      </c>
    </row>
    <row r="1769" spans="1:1">
      <c r="A1769" t="s">
        <v>5726</v>
      </c>
    </row>
    <row r="1770" spans="1:1">
      <c r="A1770" t="s">
        <v>5727</v>
      </c>
    </row>
    <row r="1771" spans="1:1">
      <c r="A1771" t="s">
        <v>5728</v>
      </c>
    </row>
    <row r="1772" spans="1:1">
      <c r="A1772" t="s">
        <v>5729</v>
      </c>
    </row>
    <row r="1773" spans="1:1">
      <c r="A1773" t="s">
        <v>5730</v>
      </c>
    </row>
    <row r="1774" spans="1:1">
      <c r="A1774" t="s">
        <v>5731</v>
      </c>
    </row>
    <row r="1775" spans="1:1">
      <c r="A1775" t="s">
        <v>5732</v>
      </c>
    </row>
    <row r="1776" spans="1:1">
      <c r="A1776" t="s">
        <v>5733</v>
      </c>
    </row>
    <row r="1777" spans="1:1">
      <c r="A1777" t="s">
        <v>5734</v>
      </c>
    </row>
    <row r="1778" spans="1:1">
      <c r="A1778" t="s">
        <v>5735</v>
      </c>
    </row>
    <row r="1779" spans="1:1">
      <c r="A1779" t="s">
        <v>5736</v>
      </c>
    </row>
    <row r="1780" spans="1:1">
      <c r="A1780" t="s">
        <v>5737</v>
      </c>
    </row>
    <row r="1781" spans="1:1">
      <c r="A1781" t="s">
        <v>5738</v>
      </c>
    </row>
    <row r="1782" spans="1:1">
      <c r="A1782" t="s">
        <v>5739</v>
      </c>
    </row>
    <row r="1783" spans="1:1">
      <c r="A1783" t="s">
        <v>5740</v>
      </c>
    </row>
    <row r="1784" spans="1:1">
      <c r="A1784" t="s">
        <v>5741</v>
      </c>
    </row>
    <row r="1785" spans="1:1">
      <c r="A1785" t="s">
        <v>5742</v>
      </c>
    </row>
    <row r="1786" spans="1:1">
      <c r="A1786" t="s">
        <v>5743</v>
      </c>
    </row>
    <row r="1787" spans="1:1">
      <c r="A1787" t="s">
        <v>5744</v>
      </c>
    </row>
    <row r="1788" spans="1:1">
      <c r="A1788" t="s">
        <v>5745</v>
      </c>
    </row>
    <row r="1789" spans="1:1">
      <c r="A1789" t="s">
        <v>5746</v>
      </c>
    </row>
    <row r="1790" spans="1:1">
      <c r="A1790" t="s">
        <v>5747</v>
      </c>
    </row>
    <row r="1791" spans="1:1">
      <c r="A1791" t="s">
        <v>5748</v>
      </c>
    </row>
    <row r="1792" spans="1:1">
      <c r="A1792" t="s">
        <v>5749</v>
      </c>
    </row>
    <row r="1793" spans="1:1">
      <c r="A1793" t="s">
        <v>5750</v>
      </c>
    </row>
    <row r="1794" spans="1:1">
      <c r="A1794" t="s">
        <v>5751</v>
      </c>
    </row>
    <row r="1795" spans="1:1">
      <c r="A1795" t="s">
        <v>5752</v>
      </c>
    </row>
    <row r="1796" spans="1:1">
      <c r="A1796" t="s">
        <v>5753</v>
      </c>
    </row>
    <row r="1797" spans="1:1">
      <c r="A1797" t="s">
        <v>5754</v>
      </c>
    </row>
    <row r="1798" spans="1:1">
      <c r="A1798" t="s">
        <v>5755</v>
      </c>
    </row>
    <row r="1799" spans="1:1">
      <c r="A1799" t="s">
        <v>5756</v>
      </c>
    </row>
    <row r="1800" spans="1:1">
      <c r="A1800" t="s">
        <v>5757</v>
      </c>
    </row>
    <row r="1801" spans="1:1">
      <c r="A1801" t="s">
        <v>5758</v>
      </c>
    </row>
    <row r="1802" spans="1:1">
      <c r="A1802" t="s">
        <v>5759</v>
      </c>
    </row>
    <row r="1803" spans="1:1">
      <c r="A1803" t="s">
        <v>5760</v>
      </c>
    </row>
    <row r="1804" spans="1:1">
      <c r="A1804" t="s">
        <v>5761</v>
      </c>
    </row>
    <row r="1805" spans="1:1">
      <c r="A1805" t="s">
        <v>5762</v>
      </c>
    </row>
    <row r="1806" spans="1:1">
      <c r="A1806" t="s">
        <v>5763</v>
      </c>
    </row>
    <row r="1807" spans="1:1">
      <c r="A1807" t="s">
        <v>5764</v>
      </c>
    </row>
    <row r="1808" spans="1:1">
      <c r="A1808" t="s">
        <v>5765</v>
      </c>
    </row>
    <row r="1809" spans="1:1">
      <c r="A1809" t="s">
        <v>5766</v>
      </c>
    </row>
    <row r="1810" spans="1:1">
      <c r="A1810" t="s">
        <v>5767</v>
      </c>
    </row>
    <row r="1811" spans="1:1">
      <c r="A1811" t="s">
        <v>5768</v>
      </c>
    </row>
    <row r="1812" spans="1:1">
      <c r="A1812" t="s">
        <v>5769</v>
      </c>
    </row>
    <row r="1813" spans="1:1">
      <c r="A1813" t="s">
        <v>5770</v>
      </c>
    </row>
    <row r="1814" spans="1:1">
      <c r="A1814" t="s">
        <v>5771</v>
      </c>
    </row>
    <row r="1815" spans="1:1">
      <c r="A1815" t="s">
        <v>5772</v>
      </c>
    </row>
    <row r="1816" spans="1:1">
      <c r="A1816" t="s">
        <v>5773</v>
      </c>
    </row>
    <row r="1817" spans="1:1">
      <c r="A1817" t="s">
        <v>5774</v>
      </c>
    </row>
    <row r="1818" spans="1:1">
      <c r="A1818" t="s">
        <v>5775</v>
      </c>
    </row>
    <row r="1819" spans="1:1">
      <c r="A1819" t="s">
        <v>5776</v>
      </c>
    </row>
    <row r="1820" spans="1:1">
      <c r="A1820" t="s">
        <v>5777</v>
      </c>
    </row>
    <row r="1821" spans="1:1">
      <c r="A1821" t="s">
        <v>5778</v>
      </c>
    </row>
    <row r="1822" spans="1:1">
      <c r="A1822" t="s">
        <v>5779</v>
      </c>
    </row>
    <row r="1823" spans="1:1">
      <c r="A1823" t="s">
        <v>5780</v>
      </c>
    </row>
    <row r="1824" spans="1:1">
      <c r="A1824" t="s">
        <v>5781</v>
      </c>
    </row>
    <row r="1825" spans="1:1">
      <c r="A1825" t="s">
        <v>5782</v>
      </c>
    </row>
    <row r="1826" spans="1:1">
      <c r="A1826" t="s">
        <v>5783</v>
      </c>
    </row>
    <row r="1827" spans="1:1">
      <c r="A1827" t="s">
        <v>5784</v>
      </c>
    </row>
    <row r="1828" spans="1:1">
      <c r="A1828" t="s">
        <v>5785</v>
      </c>
    </row>
    <row r="1829" spans="1:1">
      <c r="A1829" t="s">
        <v>5786</v>
      </c>
    </row>
    <row r="1830" spans="1:1">
      <c r="A1830" t="s">
        <v>5787</v>
      </c>
    </row>
    <row r="1831" spans="1:1">
      <c r="A1831" t="s">
        <v>5788</v>
      </c>
    </row>
    <row r="1832" spans="1:1">
      <c r="A1832" t="s">
        <v>5789</v>
      </c>
    </row>
    <row r="1833" spans="1:1">
      <c r="A1833" t="s">
        <v>5790</v>
      </c>
    </row>
    <row r="1834" spans="1:1">
      <c r="A1834" t="s">
        <v>5791</v>
      </c>
    </row>
    <row r="1835" spans="1:1">
      <c r="A1835" t="s">
        <v>5792</v>
      </c>
    </row>
    <row r="1836" spans="1:1">
      <c r="A1836" t="s">
        <v>5793</v>
      </c>
    </row>
    <row r="1837" spans="1:1">
      <c r="A1837" t="s">
        <v>5794</v>
      </c>
    </row>
    <row r="1838" spans="1:1">
      <c r="A1838" t="s">
        <v>5795</v>
      </c>
    </row>
    <row r="1839" spans="1:1">
      <c r="A1839" t="s">
        <v>5796</v>
      </c>
    </row>
    <row r="1840" spans="1:1">
      <c r="A1840" t="s">
        <v>5797</v>
      </c>
    </row>
    <row r="1841" spans="1:1">
      <c r="A1841" t="s">
        <v>5798</v>
      </c>
    </row>
    <row r="1842" spans="1:1">
      <c r="A1842" t="s">
        <v>5799</v>
      </c>
    </row>
    <row r="1843" spans="1:1">
      <c r="A1843" t="s">
        <v>5800</v>
      </c>
    </row>
    <row r="1844" spans="1:1">
      <c r="A1844" t="s">
        <v>5801</v>
      </c>
    </row>
    <row r="1845" spans="1:1">
      <c r="A1845" t="s">
        <v>5802</v>
      </c>
    </row>
    <row r="1846" spans="1:1">
      <c r="A1846" t="s">
        <v>5803</v>
      </c>
    </row>
    <row r="1847" spans="1:1">
      <c r="A1847" t="s">
        <v>5804</v>
      </c>
    </row>
    <row r="1848" spans="1:1">
      <c r="A1848" t="s">
        <v>5805</v>
      </c>
    </row>
    <row r="1849" spans="1:1">
      <c r="A1849" t="s">
        <v>5806</v>
      </c>
    </row>
    <row r="1850" spans="1:1">
      <c r="A1850" t="s">
        <v>5807</v>
      </c>
    </row>
    <row r="1851" spans="1:1">
      <c r="A1851" t="s">
        <v>5808</v>
      </c>
    </row>
    <row r="1852" spans="1:1">
      <c r="A1852" t="s">
        <v>5809</v>
      </c>
    </row>
    <row r="1853" spans="1:1">
      <c r="A1853" t="s">
        <v>5810</v>
      </c>
    </row>
    <row r="1854" spans="1:1">
      <c r="A1854" t="s">
        <v>5811</v>
      </c>
    </row>
    <row r="1855" spans="1:1">
      <c r="A1855" t="s">
        <v>5812</v>
      </c>
    </row>
    <row r="1856" spans="1:1">
      <c r="A1856" t="s">
        <v>5813</v>
      </c>
    </row>
    <row r="1857" spans="1:1">
      <c r="A1857" t="s">
        <v>5814</v>
      </c>
    </row>
    <row r="1858" spans="1:1">
      <c r="A1858" t="s">
        <v>5815</v>
      </c>
    </row>
    <row r="1859" spans="1:1">
      <c r="A1859" t="s">
        <v>5816</v>
      </c>
    </row>
    <row r="1860" spans="1:1">
      <c r="A1860" t="s">
        <v>5817</v>
      </c>
    </row>
    <row r="1861" spans="1:1">
      <c r="A1861" t="s">
        <v>5818</v>
      </c>
    </row>
    <row r="1862" spans="1:1">
      <c r="A1862" t="s">
        <v>5819</v>
      </c>
    </row>
    <row r="1863" spans="1:1">
      <c r="A1863" t="s">
        <v>5820</v>
      </c>
    </row>
    <row r="1864" spans="1:1">
      <c r="A1864" t="s">
        <v>5821</v>
      </c>
    </row>
    <row r="1865" spans="1:1">
      <c r="A1865" t="s">
        <v>5822</v>
      </c>
    </row>
    <row r="1866" spans="1:1">
      <c r="A1866" t="s">
        <v>5823</v>
      </c>
    </row>
    <row r="1867" spans="1:1">
      <c r="A1867" t="s">
        <v>5824</v>
      </c>
    </row>
    <row r="1868" spans="1:1">
      <c r="A1868" t="s">
        <v>5825</v>
      </c>
    </row>
    <row r="1869" spans="1:1">
      <c r="A1869" t="s">
        <v>5826</v>
      </c>
    </row>
    <row r="1870" spans="1:1">
      <c r="A1870" t="s">
        <v>5827</v>
      </c>
    </row>
    <row r="1871" spans="1:1">
      <c r="A1871" t="s">
        <v>5828</v>
      </c>
    </row>
    <row r="1872" spans="1:1">
      <c r="A1872" t="s">
        <v>5829</v>
      </c>
    </row>
    <row r="1873" spans="1:1">
      <c r="A1873" t="s">
        <v>5830</v>
      </c>
    </row>
    <row r="1874" spans="1:1">
      <c r="A1874" t="s">
        <v>5831</v>
      </c>
    </row>
    <row r="1875" spans="1:1">
      <c r="A1875" t="s">
        <v>5832</v>
      </c>
    </row>
    <row r="1876" spans="1:1">
      <c r="A1876" t="s">
        <v>5833</v>
      </c>
    </row>
    <row r="1877" spans="1:1">
      <c r="A1877" t="s">
        <v>5834</v>
      </c>
    </row>
    <row r="1878" spans="1:1">
      <c r="A1878" t="s">
        <v>5835</v>
      </c>
    </row>
    <row r="1879" spans="1:1">
      <c r="A1879" t="s">
        <v>5836</v>
      </c>
    </row>
    <row r="1880" spans="1:1">
      <c r="A1880" t="s">
        <v>5837</v>
      </c>
    </row>
    <row r="1881" spans="1:1">
      <c r="A1881" t="s">
        <v>5838</v>
      </c>
    </row>
    <row r="1882" spans="1:1">
      <c r="A1882" t="s">
        <v>5839</v>
      </c>
    </row>
    <row r="1883" spans="1:1">
      <c r="A1883" t="s">
        <v>5840</v>
      </c>
    </row>
    <row r="1884" spans="1:1">
      <c r="A1884" t="s">
        <v>5841</v>
      </c>
    </row>
    <row r="1885" spans="1:1">
      <c r="A1885" t="s">
        <v>5842</v>
      </c>
    </row>
    <row r="1886" spans="1:1">
      <c r="A1886" t="s">
        <v>5843</v>
      </c>
    </row>
    <row r="1887" spans="1:1">
      <c r="A1887" t="s">
        <v>5844</v>
      </c>
    </row>
    <row r="1888" spans="1:1">
      <c r="A1888" t="s">
        <v>5845</v>
      </c>
    </row>
    <row r="1889" spans="1:1">
      <c r="A1889" t="s">
        <v>5846</v>
      </c>
    </row>
    <row r="1890" spans="1:1">
      <c r="A1890" t="s">
        <v>5847</v>
      </c>
    </row>
    <row r="1891" spans="1:1">
      <c r="A1891" t="s">
        <v>5848</v>
      </c>
    </row>
    <row r="1892" spans="1:1">
      <c r="A1892" t="s">
        <v>5849</v>
      </c>
    </row>
    <row r="1893" spans="1:1">
      <c r="A1893" t="s">
        <v>5850</v>
      </c>
    </row>
    <row r="1894" spans="1:1">
      <c r="A1894" t="s">
        <v>5851</v>
      </c>
    </row>
    <row r="1895" spans="1:1">
      <c r="A1895" t="s">
        <v>5852</v>
      </c>
    </row>
    <row r="1896" spans="1:1">
      <c r="A1896" t="s">
        <v>5853</v>
      </c>
    </row>
    <row r="1897" spans="1:1">
      <c r="A1897" t="s">
        <v>5854</v>
      </c>
    </row>
    <row r="1898" spans="1:1">
      <c r="A1898" t="s">
        <v>5855</v>
      </c>
    </row>
    <row r="1899" spans="1:1">
      <c r="A1899" t="s">
        <v>5856</v>
      </c>
    </row>
    <row r="1900" spans="1:1">
      <c r="A1900" t="s">
        <v>5857</v>
      </c>
    </row>
    <row r="1901" spans="1:1">
      <c r="A1901" t="s">
        <v>5858</v>
      </c>
    </row>
    <row r="1902" spans="1:1">
      <c r="A1902" t="s">
        <v>5859</v>
      </c>
    </row>
    <row r="1903" spans="1:1">
      <c r="A1903" t="s">
        <v>5860</v>
      </c>
    </row>
    <row r="1904" spans="1:1">
      <c r="A1904" t="s">
        <v>5861</v>
      </c>
    </row>
    <row r="1905" spans="1:1">
      <c r="A1905" t="s">
        <v>5862</v>
      </c>
    </row>
    <row r="1906" spans="1:1">
      <c r="A1906" t="s">
        <v>5863</v>
      </c>
    </row>
    <row r="1907" spans="1:1">
      <c r="A1907" t="s">
        <v>5864</v>
      </c>
    </row>
    <row r="1908" spans="1:1">
      <c r="A1908" t="s">
        <v>5865</v>
      </c>
    </row>
    <row r="1909" spans="1:1">
      <c r="A1909" t="s">
        <v>5866</v>
      </c>
    </row>
    <row r="1910" spans="1:1">
      <c r="A1910" t="s">
        <v>5867</v>
      </c>
    </row>
    <row r="1911" spans="1:1">
      <c r="A1911" t="s">
        <v>5868</v>
      </c>
    </row>
    <row r="1912" spans="1:1">
      <c r="A1912" t="s">
        <v>5869</v>
      </c>
    </row>
    <row r="1913" spans="1:1">
      <c r="A1913" t="s">
        <v>5870</v>
      </c>
    </row>
    <row r="1914" spans="1:1">
      <c r="A1914" t="s">
        <v>5871</v>
      </c>
    </row>
    <row r="1915" spans="1:1">
      <c r="A1915" t="s">
        <v>5872</v>
      </c>
    </row>
    <row r="1916" spans="1:1">
      <c r="A1916" t="s">
        <v>5873</v>
      </c>
    </row>
    <row r="1917" spans="1:1">
      <c r="A1917" t="s">
        <v>5874</v>
      </c>
    </row>
    <row r="1918" spans="1:1">
      <c r="A1918" t="s">
        <v>5875</v>
      </c>
    </row>
    <row r="1919" spans="1:1">
      <c r="A1919" t="s">
        <v>5876</v>
      </c>
    </row>
    <row r="1920" spans="1:1">
      <c r="A1920" t="s">
        <v>5877</v>
      </c>
    </row>
    <row r="1921" spans="1:1">
      <c r="A1921" t="s">
        <v>5878</v>
      </c>
    </row>
    <row r="1922" spans="1:1">
      <c r="A1922" t="s">
        <v>5879</v>
      </c>
    </row>
    <row r="1923" spans="1:1">
      <c r="A1923" t="s">
        <v>5880</v>
      </c>
    </row>
    <row r="1924" spans="1:1">
      <c r="A1924" t="s">
        <v>5881</v>
      </c>
    </row>
    <row r="1925" spans="1:1">
      <c r="A1925" t="s">
        <v>5882</v>
      </c>
    </row>
    <row r="1926" spans="1:1">
      <c r="A1926" t="s">
        <v>5883</v>
      </c>
    </row>
    <row r="1927" spans="1:1">
      <c r="A1927" t="s">
        <v>5884</v>
      </c>
    </row>
    <row r="1928" spans="1:1">
      <c r="A1928" t="s">
        <v>5885</v>
      </c>
    </row>
    <row r="1929" spans="1:1">
      <c r="A1929" t="s">
        <v>5886</v>
      </c>
    </row>
    <row r="1930" spans="1:1">
      <c r="A1930" t="s">
        <v>5887</v>
      </c>
    </row>
    <row r="1931" spans="1:1">
      <c r="A1931" t="s">
        <v>5888</v>
      </c>
    </row>
    <row r="1932" spans="1:1">
      <c r="A1932" t="s">
        <v>5889</v>
      </c>
    </row>
    <row r="1933" spans="1:1">
      <c r="A1933" t="s">
        <v>5890</v>
      </c>
    </row>
    <row r="1934" spans="1:1">
      <c r="A1934" t="s">
        <v>5891</v>
      </c>
    </row>
    <row r="1935" spans="1:1">
      <c r="A1935" t="s">
        <v>5892</v>
      </c>
    </row>
    <row r="1936" spans="1:1">
      <c r="A1936" t="s">
        <v>5893</v>
      </c>
    </row>
    <row r="1937" spans="1:1">
      <c r="A1937" t="s">
        <v>5894</v>
      </c>
    </row>
    <row r="1938" spans="1:1">
      <c r="A1938" t="s">
        <v>5895</v>
      </c>
    </row>
    <row r="1939" spans="1:1">
      <c r="A1939" t="s">
        <v>5896</v>
      </c>
    </row>
    <row r="1940" spans="1:1">
      <c r="A1940" t="s">
        <v>5897</v>
      </c>
    </row>
    <row r="1941" spans="1:1">
      <c r="A1941" t="s">
        <v>5898</v>
      </c>
    </row>
    <row r="1942" spans="1:1">
      <c r="A1942" t="s">
        <v>5899</v>
      </c>
    </row>
    <row r="1943" spans="1:1">
      <c r="A1943" t="s">
        <v>5900</v>
      </c>
    </row>
    <row r="1944" spans="1:1">
      <c r="A1944" t="s">
        <v>5901</v>
      </c>
    </row>
    <row r="1945" spans="1:1">
      <c r="A1945" t="s">
        <v>5902</v>
      </c>
    </row>
    <row r="1946" spans="1:1">
      <c r="A1946" t="s">
        <v>5903</v>
      </c>
    </row>
    <row r="1947" spans="1:1">
      <c r="A1947" t="s">
        <v>5904</v>
      </c>
    </row>
    <row r="1948" spans="1:1">
      <c r="A1948" t="s">
        <v>5905</v>
      </c>
    </row>
    <row r="1949" spans="1:1">
      <c r="A1949" t="s">
        <v>5906</v>
      </c>
    </row>
    <row r="1950" spans="1:1">
      <c r="A1950" t="s">
        <v>5907</v>
      </c>
    </row>
    <row r="1951" spans="1:1">
      <c r="A1951" t="s">
        <v>5908</v>
      </c>
    </row>
    <row r="1952" spans="1:1">
      <c r="A1952" t="s">
        <v>5909</v>
      </c>
    </row>
    <row r="1953" spans="1:1">
      <c r="A1953" t="s">
        <v>5910</v>
      </c>
    </row>
    <row r="1954" spans="1:1">
      <c r="A1954" t="s">
        <v>5911</v>
      </c>
    </row>
    <row r="1955" spans="1:1">
      <c r="A1955" t="s">
        <v>5912</v>
      </c>
    </row>
    <row r="1956" spans="1:1">
      <c r="A1956" t="s">
        <v>5913</v>
      </c>
    </row>
    <row r="1957" spans="1:1">
      <c r="A1957" t="s">
        <v>5914</v>
      </c>
    </row>
    <row r="1958" spans="1:1">
      <c r="A1958" t="s">
        <v>5915</v>
      </c>
    </row>
    <row r="1959" spans="1:1">
      <c r="A1959" t="s">
        <v>5916</v>
      </c>
    </row>
    <row r="1960" spans="1:1">
      <c r="A1960" t="s">
        <v>5917</v>
      </c>
    </row>
    <row r="1961" spans="1:1">
      <c r="A1961" t="s">
        <v>5918</v>
      </c>
    </row>
    <row r="1962" spans="1:1">
      <c r="A1962" t="s">
        <v>5919</v>
      </c>
    </row>
    <row r="1963" spans="1:1">
      <c r="A1963" t="s">
        <v>5920</v>
      </c>
    </row>
    <row r="1964" spans="1:1">
      <c r="A1964" t="s">
        <v>5921</v>
      </c>
    </row>
    <row r="1965" spans="1:1">
      <c r="A1965" t="s">
        <v>5922</v>
      </c>
    </row>
    <row r="1966" spans="1:1">
      <c r="A1966" t="s">
        <v>5923</v>
      </c>
    </row>
    <row r="1967" spans="1:1">
      <c r="A1967" t="s">
        <v>5924</v>
      </c>
    </row>
    <row r="1968" spans="1:1">
      <c r="A1968" t="s">
        <v>5925</v>
      </c>
    </row>
    <row r="1969" spans="1:1">
      <c r="A1969" t="s">
        <v>5926</v>
      </c>
    </row>
    <row r="1970" spans="1:1">
      <c r="A1970" t="s">
        <v>5927</v>
      </c>
    </row>
    <row r="1971" spans="1:1">
      <c r="A1971" t="s">
        <v>5928</v>
      </c>
    </row>
    <row r="1972" spans="1:1">
      <c r="A1972" t="s">
        <v>5929</v>
      </c>
    </row>
    <row r="1973" spans="1:1">
      <c r="A1973" t="s">
        <v>5930</v>
      </c>
    </row>
    <row r="1974" spans="1:1">
      <c r="A1974" t="s">
        <v>5931</v>
      </c>
    </row>
    <row r="1975" spans="1:1">
      <c r="A1975" t="s">
        <v>5932</v>
      </c>
    </row>
    <row r="1976" spans="1:1">
      <c r="A1976" t="s">
        <v>5933</v>
      </c>
    </row>
    <row r="1977" spans="1:1">
      <c r="A1977" t="s">
        <v>5934</v>
      </c>
    </row>
    <row r="1978" spans="1:1">
      <c r="A1978" t="s">
        <v>5935</v>
      </c>
    </row>
    <row r="1979" spans="1:1">
      <c r="A1979" t="s">
        <v>5936</v>
      </c>
    </row>
    <row r="1980" spans="1:1">
      <c r="A1980" t="s">
        <v>5937</v>
      </c>
    </row>
    <row r="1981" spans="1:1">
      <c r="A1981" t="s">
        <v>5938</v>
      </c>
    </row>
    <row r="1982" spans="1:1">
      <c r="A1982" t="s">
        <v>5939</v>
      </c>
    </row>
    <row r="1983" spans="1:1">
      <c r="A1983" t="s">
        <v>5940</v>
      </c>
    </row>
    <row r="1984" spans="1:1">
      <c r="A1984" t="s">
        <v>5941</v>
      </c>
    </row>
    <row r="1985" spans="1:1">
      <c r="A1985" t="s">
        <v>5942</v>
      </c>
    </row>
    <row r="1986" spans="1:1">
      <c r="A1986" t="s">
        <v>5943</v>
      </c>
    </row>
    <row r="1987" spans="1:1">
      <c r="A1987" t="s">
        <v>5944</v>
      </c>
    </row>
    <row r="1988" spans="1:1">
      <c r="A1988" t="s">
        <v>5945</v>
      </c>
    </row>
    <row r="1989" spans="1:1">
      <c r="A1989" t="s">
        <v>5946</v>
      </c>
    </row>
    <row r="1990" spans="1:1">
      <c r="A1990" t="s">
        <v>5947</v>
      </c>
    </row>
    <row r="1991" spans="1:1">
      <c r="A1991" t="s">
        <v>5948</v>
      </c>
    </row>
    <row r="1992" spans="1:1">
      <c r="A1992" t="s">
        <v>5949</v>
      </c>
    </row>
    <row r="1993" spans="1:1">
      <c r="A1993" t="s">
        <v>5950</v>
      </c>
    </row>
    <row r="1994" spans="1:1">
      <c r="A1994" t="s">
        <v>5951</v>
      </c>
    </row>
    <row r="1995" spans="1:1">
      <c r="A1995" t="s">
        <v>5952</v>
      </c>
    </row>
    <row r="1996" spans="1:1">
      <c r="A1996" t="s">
        <v>5953</v>
      </c>
    </row>
    <row r="1997" spans="1:1">
      <c r="A1997" t="s">
        <v>5954</v>
      </c>
    </row>
    <row r="1998" spans="1:1">
      <c r="A1998" t="s">
        <v>5955</v>
      </c>
    </row>
    <row r="1999" spans="1:1">
      <c r="A1999" t="s">
        <v>5956</v>
      </c>
    </row>
    <row r="2000" spans="1:1">
      <c r="A2000" t="s">
        <v>5957</v>
      </c>
    </row>
    <row r="2001" spans="1:1">
      <c r="A2001" t="s">
        <v>5958</v>
      </c>
    </row>
    <row r="2002" spans="1:1">
      <c r="A2002" t="s">
        <v>5959</v>
      </c>
    </row>
    <row r="2003" spans="1:1">
      <c r="A2003" t="s">
        <v>5960</v>
      </c>
    </row>
    <row r="2004" spans="1:1">
      <c r="A2004" t="s">
        <v>5961</v>
      </c>
    </row>
    <row r="2005" spans="1:1">
      <c r="A2005" t="s">
        <v>5962</v>
      </c>
    </row>
    <row r="2006" spans="1:1">
      <c r="A2006" t="s">
        <v>5963</v>
      </c>
    </row>
    <row r="2007" spans="1:1">
      <c r="A2007" t="s">
        <v>5964</v>
      </c>
    </row>
    <row r="2008" spans="1:1">
      <c r="A2008" t="s">
        <v>5965</v>
      </c>
    </row>
    <row r="2009" spans="1:1">
      <c r="A2009" t="s">
        <v>5966</v>
      </c>
    </row>
    <row r="2010" spans="1:1">
      <c r="A2010" t="s">
        <v>5967</v>
      </c>
    </row>
    <row r="2011" spans="1:1">
      <c r="A2011" t="s">
        <v>5968</v>
      </c>
    </row>
    <row r="2012" spans="1:1">
      <c r="A2012" t="s">
        <v>5969</v>
      </c>
    </row>
    <row r="2013" spans="1:1">
      <c r="A2013" t="s">
        <v>5970</v>
      </c>
    </row>
    <row r="2014" spans="1:1">
      <c r="A2014" t="s">
        <v>5971</v>
      </c>
    </row>
    <row r="2015" spans="1:1">
      <c r="A2015" t="s">
        <v>5972</v>
      </c>
    </row>
    <row r="2016" spans="1:1">
      <c r="A2016" t="s">
        <v>5973</v>
      </c>
    </row>
    <row r="2017" spans="1:1">
      <c r="A2017" t="s">
        <v>5974</v>
      </c>
    </row>
    <row r="2018" spans="1:1">
      <c r="A2018" t="s">
        <v>5975</v>
      </c>
    </row>
    <row r="2019" spans="1:1">
      <c r="A2019" t="s">
        <v>5976</v>
      </c>
    </row>
    <row r="2020" spans="1:1">
      <c r="A2020" t="s">
        <v>5977</v>
      </c>
    </row>
    <row r="2021" spans="1:1">
      <c r="A2021" t="s">
        <v>5978</v>
      </c>
    </row>
    <row r="2022" spans="1:1">
      <c r="A2022" t="s">
        <v>5979</v>
      </c>
    </row>
    <row r="2023" spans="1:1">
      <c r="A2023" t="s">
        <v>5980</v>
      </c>
    </row>
    <row r="2024" spans="1:1">
      <c r="A2024" t="s">
        <v>5981</v>
      </c>
    </row>
    <row r="2025" spans="1:1">
      <c r="A2025" t="s">
        <v>5982</v>
      </c>
    </row>
    <row r="2026" spans="1:1">
      <c r="A2026" t="s">
        <v>5983</v>
      </c>
    </row>
    <row r="2027" spans="1:1">
      <c r="A2027" t="s">
        <v>5984</v>
      </c>
    </row>
    <row r="2028" spans="1:1">
      <c r="A2028" t="s">
        <v>5985</v>
      </c>
    </row>
    <row r="2029" spans="1:1">
      <c r="A2029" t="s">
        <v>5986</v>
      </c>
    </row>
    <row r="2030" spans="1:1">
      <c r="A2030" t="s">
        <v>5987</v>
      </c>
    </row>
    <row r="2031" spans="1:1">
      <c r="A2031" t="s">
        <v>5988</v>
      </c>
    </row>
    <row r="2032" spans="1:1">
      <c r="A2032" t="s">
        <v>5989</v>
      </c>
    </row>
    <row r="2033" spans="1:1">
      <c r="A2033" t="s">
        <v>5990</v>
      </c>
    </row>
    <row r="2034" spans="1:1">
      <c r="A2034" t="s">
        <v>5991</v>
      </c>
    </row>
    <row r="2035" spans="1:1">
      <c r="A2035" t="s">
        <v>5992</v>
      </c>
    </row>
    <row r="2036" spans="1:1">
      <c r="A2036" t="s">
        <v>5993</v>
      </c>
    </row>
    <row r="2037" spans="1:1">
      <c r="A2037" t="s">
        <v>5994</v>
      </c>
    </row>
    <row r="2038" spans="1:1">
      <c r="A2038" t="s">
        <v>5995</v>
      </c>
    </row>
    <row r="2039" spans="1:1">
      <c r="A2039" t="s">
        <v>5996</v>
      </c>
    </row>
    <row r="2040" spans="1:1">
      <c r="A2040" t="s">
        <v>5997</v>
      </c>
    </row>
    <row r="2041" spans="1:1">
      <c r="A2041" t="s">
        <v>5998</v>
      </c>
    </row>
    <row r="2042" spans="1:1">
      <c r="A2042" t="s">
        <v>5999</v>
      </c>
    </row>
    <row r="2043" spans="1:1">
      <c r="A2043" t="s">
        <v>6000</v>
      </c>
    </row>
    <row r="2044" spans="1:1">
      <c r="A2044" t="s">
        <v>6001</v>
      </c>
    </row>
    <row r="2045" spans="1:1">
      <c r="A2045" t="s">
        <v>6002</v>
      </c>
    </row>
    <row r="2046" spans="1:1">
      <c r="A2046" t="s">
        <v>6003</v>
      </c>
    </row>
    <row r="2047" spans="1:1">
      <c r="A2047" t="s">
        <v>6004</v>
      </c>
    </row>
    <row r="2048" spans="1:1">
      <c r="A2048" t="s">
        <v>6005</v>
      </c>
    </row>
    <row r="2049" spans="1:1">
      <c r="A2049" t="s">
        <v>6006</v>
      </c>
    </row>
    <row r="2050" spans="1:1">
      <c r="A2050" t="s">
        <v>6007</v>
      </c>
    </row>
    <row r="2051" spans="1:1">
      <c r="A2051" t="s">
        <v>6008</v>
      </c>
    </row>
    <row r="2052" spans="1:1">
      <c r="A2052" t="s">
        <v>6009</v>
      </c>
    </row>
    <row r="2053" spans="1:1">
      <c r="A2053" t="s">
        <v>6010</v>
      </c>
    </row>
    <row r="2054" spans="1:1">
      <c r="A2054" t="s">
        <v>6011</v>
      </c>
    </row>
    <row r="2055" spans="1:1">
      <c r="A2055" t="s">
        <v>6012</v>
      </c>
    </row>
    <row r="2056" spans="1:1">
      <c r="A2056" t="s">
        <v>6013</v>
      </c>
    </row>
    <row r="2057" spans="1:1">
      <c r="A2057" t="s">
        <v>6014</v>
      </c>
    </row>
    <row r="2058" spans="1:1">
      <c r="A2058" t="s">
        <v>6015</v>
      </c>
    </row>
    <row r="2059" spans="1:1">
      <c r="A2059" t="s">
        <v>6016</v>
      </c>
    </row>
    <row r="2060" spans="1:1">
      <c r="A2060" t="s">
        <v>6017</v>
      </c>
    </row>
    <row r="2061" spans="1:1">
      <c r="A2061" t="s">
        <v>6018</v>
      </c>
    </row>
    <row r="2062" spans="1:1">
      <c r="A2062" t="s">
        <v>6019</v>
      </c>
    </row>
    <row r="2063" spans="1:1">
      <c r="A2063" t="s">
        <v>6020</v>
      </c>
    </row>
    <row r="2064" spans="1:1">
      <c r="A2064" t="s">
        <v>6021</v>
      </c>
    </row>
    <row r="2065" spans="1:1">
      <c r="A2065" t="s">
        <v>6022</v>
      </c>
    </row>
    <row r="2066" spans="1:1">
      <c r="A2066" t="s">
        <v>6023</v>
      </c>
    </row>
    <row r="2067" spans="1:1">
      <c r="A2067" t="s">
        <v>6024</v>
      </c>
    </row>
    <row r="2068" spans="1:1">
      <c r="A2068" t="s">
        <v>6025</v>
      </c>
    </row>
    <row r="2069" spans="1:1">
      <c r="A2069" t="s">
        <v>6026</v>
      </c>
    </row>
    <row r="2070" spans="1:1">
      <c r="A2070" t="s">
        <v>6027</v>
      </c>
    </row>
    <row r="2071" spans="1:1">
      <c r="A2071" t="s">
        <v>6028</v>
      </c>
    </row>
    <row r="2072" spans="1:1">
      <c r="A2072" t="s">
        <v>6029</v>
      </c>
    </row>
    <row r="2073" spans="1:1">
      <c r="A2073" t="s">
        <v>6030</v>
      </c>
    </row>
    <row r="2074" spans="1:1">
      <c r="A2074" t="s">
        <v>6031</v>
      </c>
    </row>
    <row r="2075" spans="1:1">
      <c r="A2075" t="s">
        <v>6032</v>
      </c>
    </row>
    <row r="2076" spans="1:1">
      <c r="A2076" t="s">
        <v>6033</v>
      </c>
    </row>
    <row r="2077" spans="1:1">
      <c r="A2077" t="s">
        <v>6034</v>
      </c>
    </row>
    <row r="2078" spans="1:1">
      <c r="A2078" t="s">
        <v>6035</v>
      </c>
    </row>
    <row r="2079" spans="1:1">
      <c r="A2079" t="s">
        <v>6036</v>
      </c>
    </row>
    <row r="2080" spans="1:1">
      <c r="A2080" t="s">
        <v>6037</v>
      </c>
    </row>
    <row r="2081" spans="1:1">
      <c r="A2081" t="s">
        <v>6038</v>
      </c>
    </row>
    <row r="2082" spans="1:1">
      <c r="A2082" t="s">
        <v>6039</v>
      </c>
    </row>
    <row r="2083" spans="1:1">
      <c r="A2083" t="s">
        <v>6040</v>
      </c>
    </row>
    <row r="2084" spans="1:1">
      <c r="A2084" t="s">
        <v>6041</v>
      </c>
    </row>
    <row r="2085" spans="1:1">
      <c r="A2085" t="s">
        <v>6042</v>
      </c>
    </row>
    <row r="2086" spans="1:1">
      <c r="A2086" t="s">
        <v>6043</v>
      </c>
    </row>
    <row r="2087" spans="1:1">
      <c r="A2087" t="s">
        <v>6044</v>
      </c>
    </row>
    <row r="2088" spans="1:1">
      <c r="A2088" t="s">
        <v>6045</v>
      </c>
    </row>
    <row r="2089" spans="1:1">
      <c r="A2089" t="s">
        <v>6046</v>
      </c>
    </row>
    <row r="2090" spans="1:1">
      <c r="A2090" t="s">
        <v>6047</v>
      </c>
    </row>
    <row r="2091" spans="1:1">
      <c r="A2091" t="s">
        <v>6048</v>
      </c>
    </row>
    <row r="2092" spans="1:1">
      <c r="A2092" t="s">
        <v>6049</v>
      </c>
    </row>
    <row r="2093" spans="1:1">
      <c r="A2093" t="s">
        <v>6050</v>
      </c>
    </row>
    <row r="2094" spans="1:1">
      <c r="A2094" t="s">
        <v>6051</v>
      </c>
    </row>
    <row r="2095" spans="1:1">
      <c r="A2095" t="s">
        <v>6052</v>
      </c>
    </row>
    <row r="2096" spans="1:1">
      <c r="A2096" t="s">
        <v>6053</v>
      </c>
    </row>
    <row r="2097" spans="1:1">
      <c r="A2097" t="s">
        <v>6054</v>
      </c>
    </row>
    <row r="2098" spans="1:1">
      <c r="A2098" t="s">
        <v>6055</v>
      </c>
    </row>
    <row r="2099" spans="1:1">
      <c r="A2099" t="s">
        <v>6056</v>
      </c>
    </row>
    <row r="2100" spans="1:1">
      <c r="A2100" t="s">
        <v>6057</v>
      </c>
    </row>
    <row r="2101" spans="1:1">
      <c r="A2101" t="s">
        <v>6058</v>
      </c>
    </row>
    <row r="2102" spans="1:1">
      <c r="A2102" t="s">
        <v>6059</v>
      </c>
    </row>
    <row r="2103" spans="1:1">
      <c r="A2103" t="s">
        <v>6060</v>
      </c>
    </row>
    <row r="2104" spans="1:1">
      <c r="A2104" t="s">
        <v>6061</v>
      </c>
    </row>
    <row r="2105" spans="1:1">
      <c r="A2105" t="s">
        <v>6062</v>
      </c>
    </row>
    <row r="2106" spans="1:1">
      <c r="A2106" t="s">
        <v>6063</v>
      </c>
    </row>
    <row r="2107" spans="1:1">
      <c r="A2107" t="s">
        <v>6064</v>
      </c>
    </row>
    <row r="2108" spans="1:1">
      <c r="A2108" t="s">
        <v>6065</v>
      </c>
    </row>
    <row r="2109" spans="1:1">
      <c r="A2109" t="s">
        <v>6066</v>
      </c>
    </row>
    <row r="2110" spans="1:1">
      <c r="A2110" t="s">
        <v>6067</v>
      </c>
    </row>
    <row r="2111" spans="1:1">
      <c r="A2111" t="s">
        <v>6068</v>
      </c>
    </row>
    <row r="2112" spans="1:1">
      <c r="A2112" t="s">
        <v>6069</v>
      </c>
    </row>
    <row r="2113" spans="1:1">
      <c r="A2113" t="s">
        <v>6070</v>
      </c>
    </row>
    <row r="2114" spans="1:1">
      <c r="A2114" t="s">
        <v>6071</v>
      </c>
    </row>
    <row r="2115" spans="1:1">
      <c r="A2115" t="s">
        <v>6072</v>
      </c>
    </row>
    <row r="2116" spans="1:1">
      <c r="A2116" t="s">
        <v>6073</v>
      </c>
    </row>
    <row r="2117" spans="1:1">
      <c r="A2117" t="s">
        <v>6074</v>
      </c>
    </row>
    <row r="2118" spans="1:1">
      <c r="A2118" t="s">
        <v>6075</v>
      </c>
    </row>
    <row r="2119" spans="1:1">
      <c r="A2119" t="s">
        <v>6076</v>
      </c>
    </row>
    <row r="2120" spans="1:1">
      <c r="A2120" t="s">
        <v>6077</v>
      </c>
    </row>
    <row r="2121" spans="1:1">
      <c r="A2121" t="s">
        <v>6078</v>
      </c>
    </row>
    <row r="2122" spans="1:1">
      <c r="A2122" t="s">
        <v>6079</v>
      </c>
    </row>
    <row r="2123" spans="1:1">
      <c r="A2123" t="s">
        <v>6080</v>
      </c>
    </row>
    <row r="2124" spans="1:1">
      <c r="A2124" t="s">
        <v>6081</v>
      </c>
    </row>
    <row r="2125" spans="1:1">
      <c r="A2125" t="s">
        <v>6082</v>
      </c>
    </row>
    <row r="2126" spans="1:1">
      <c r="A2126" t="s">
        <v>6083</v>
      </c>
    </row>
    <row r="2127" spans="1:1">
      <c r="A2127" t="s">
        <v>6084</v>
      </c>
    </row>
    <row r="2128" spans="1:1">
      <c r="A2128" t="s">
        <v>6085</v>
      </c>
    </row>
    <row r="2129" spans="1:1">
      <c r="A2129" t="s">
        <v>6086</v>
      </c>
    </row>
    <row r="2130" spans="1:1">
      <c r="A2130" t="s">
        <v>6087</v>
      </c>
    </row>
    <row r="2131" spans="1:1">
      <c r="A2131" t="s">
        <v>6088</v>
      </c>
    </row>
    <row r="2132" spans="1:1">
      <c r="A2132" t="s">
        <v>6089</v>
      </c>
    </row>
    <row r="2133" spans="1:1">
      <c r="A2133" t="s">
        <v>6090</v>
      </c>
    </row>
    <row r="2134" spans="1:1">
      <c r="A2134" t="s">
        <v>6091</v>
      </c>
    </row>
    <row r="2135" spans="1:1">
      <c r="A2135" t="s">
        <v>6092</v>
      </c>
    </row>
    <row r="2136" spans="1:1">
      <c r="A2136" t="s">
        <v>6093</v>
      </c>
    </row>
    <row r="2137" spans="1:1">
      <c r="A2137" t="s">
        <v>6094</v>
      </c>
    </row>
    <row r="2138" spans="1:1">
      <c r="A2138" t="s">
        <v>6095</v>
      </c>
    </row>
    <row r="2139" spans="1:1">
      <c r="A2139" t="s">
        <v>6096</v>
      </c>
    </row>
    <row r="2140" spans="1:1">
      <c r="A2140" t="s">
        <v>6097</v>
      </c>
    </row>
    <row r="2141" spans="1:1">
      <c r="A2141" t="s">
        <v>6098</v>
      </c>
    </row>
    <row r="2142" spans="1:1">
      <c r="A2142" t="s">
        <v>6099</v>
      </c>
    </row>
    <row r="2143" spans="1:1">
      <c r="A2143" t="s">
        <v>6100</v>
      </c>
    </row>
    <row r="2144" spans="1:1">
      <c r="A2144" t="s">
        <v>6101</v>
      </c>
    </row>
    <row r="2145" spans="1:1">
      <c r="A2145" t="s">
        <v>6102</v>
      </c>
    </row>
    <row r="2146" spans="1:1">
      <c r="A2146" t="s">
        <v>6103</v>
      </c>
    </row>
    <row r="2147" spans="1:1">
      <c r="A2147" t="s">
        <v>6104</v>
      </c>
    </row>
    <row r="2148" spans="1:1">
      <c r="A2148" t="s">
        <v>6105</v>
      </c>
    </row>
    <row r="2149" spans="1:1">
      <c r="A2149" t="s">
        <v>6106</v>
      </c>
    </row>
    <row r="2150" spans="1:1">
      <c r="A2150" t="s">
        <v>6107</v>
      </c>
    </row>
    <row r="2151" spans="1:1">
      <c r="A2151" t="s">
        <v>6108</v>
      </c>
    </row>
    <row r="2152" spans="1:1">
      <c r="A2152" t="s">
        <v>6109</v>
      </c>
    </row>
    <row r="2153" spans="1:1">
      <c r="A2153" t="s">
        <v>6110</v>
      </c>
    </row>
    <row r="2154" spans="1:1">
      <c r="A2154" t="s">
        <v>6111</v>
      </c>
    </row>
    <row r="2155" spans="1:1">
      <c r="A2155" t="s">
        <v>6112</v>
      </c>
    </row>
    <row r="2156" spans="1:1">
      <c r="A2156" t="s">
        <v>6113</v>
      </c>
    </row>
    <row r="2157" spans="1:1">
      <c r="A2157" t="s">
        <v>6114</v>
      </c>
    </row>
    <row r="2158" spans="1:1">
      <c r="A2158" t="s">
        <v>6115</v>
      </c>
    </row>
    <row r="2159" spans="1:1">
      <c r="A2159" t="s">
        <v>6116</v>
      </c>
    </row>
    <row r="2160" spans="1:1">
      <c r="A2160" t="s">
        <v>6117</v>
      </c>
    </row>
    <row r="2161" spans="1:1">
      <c r="A2161" t="s">
        <v>6118</v>
      </c>
    </row>
    <row r="2162" spans="1:1">
      <c r="A2162" t="s">
        <v>6119</v>
      </c>
    </row>
    <row r="2163" spans="1:1">
      <c r="A2163" t="s">
        <v>6120</v>
      </c>
    </row>
    <row r="2164" spans="1:1">
      <c r="A2164" t="s">
        <v>6121</v>
      </c>
    </row>
    <row r="2165" spans="1:1">
      <c r="A2165" t="s">
        <v>6122</v>
      </c>
    </row>
    <row r="2166" spans="1:1">
      <c r="A2166" t="s">
        <v>6123</v>
      </c>
    </row>
    <row r="2167" spans="1:1">
      <c r="A2167" t="s">
        <v>6124</v>
      </c>
    </row>
    <row r="2168" spans="1:1">
      <c r="A2168" t="s">
        <v>6125</v>
      </c>
    </row>
    <row r="2169" spans="1:1">
      <c r="A2169" t="s">
        <v>6126</v>
      </c>
    </row>
    <row r="2170" spans="1:1">
      <c r="A2170" t="s">
        <v>6127</v>
      </c>
    </row>
    <row r="2171" spans="1:1">
      <c r="A2171" t="s">
        <v>6128</v>
      </c>
    </row>
    <row r="2172" spans="1:1">
      <c r="A2172" t="s">
        <v>6129</v>
      </c>
    </row>
    <row r="2173" spans="1:1">
      <c r="A2173" t="s">
        <v>6130</v>
      </c>
    </row>
    <row r="2174" spans="1:1">
      <c r="A2174" t="s">
        <v>6131</v>
      </c>
    </row>
    <row r="2175" spans="1:1">
      <c r="A2175" t="s">
        <v>6132</v>
      </c>
    </row>
    <row r="2176" spans="1:1">
      <c r="A2176" t="s">
        <v>6133</v>
      </c>
    </row>
    <row r="2177" spans="1:1">
      <c r="A2177" t="s">
        <v>6134</v>
      </c>
    </row>
    <row r="2178" spans="1:1">
      <c r="A2178" t="s">
        <v>6135</v>
      </c>
    </row>
    <row r="2179" spans="1:1">
      <c r="A2179" t="s">
        <v>6136</v>
      </c>
    </row>
    <row r="2180" spans="1:1">
      <c r="A2180" t="s">
        <v>6137</v>
      </c>
    </row>
    <row r="2181" spans="1:1">
      <c r="A2181" t="s">
        <v>6138</v>
      </c>
    </row>
    <row r="2182" spans="1:1">
      <c r="A2182" t="s">
        <v>6139</v>
      </c>
    </row>
    <row r="2183" spans="1:1">
      <c r="A2183" t="s">
        <v>6140</v>
      </c>
    </row>
    <row r="2184" spans="1:1">
      <c r="A2184" t="s">
        <v>6141</v>
      </c>
    </row>
    <row r="2185" spans="1:1">
      <c r="A2185" t="s">
        <v>6142</v>
      </c>
    </row>
    <row r="2186" spans="1:1">
      <c r="A2186" t="s">
        <v>6143</v>
      </c>
    </row>
    <row r="2187" spans="1:1">
      <c r="A2187" t="s">
        <v>6144</v>
      </c>
    </row>
    <row r="2188" spans="1:1">
      <c r="A2188" t="s">
        <v>6145</v>
      </c>
    </row>
    <row r="2189" spans="1:1">
      <c r="A2189" t="s">
        <v>6146</v>
      </c>
    </row>
    <row r="2190" spans="1:1">
      <c r="A2190" t="s">
        <v>6147</v>
      </c>
    </row>
    <row r="2191" spans="1:1">
      <c r="A2191" t="s">
        <v>6148</v>
      </c>
    </row>
    <row r="2192" spans="1:1">
      <c r="A2192" t="s">
        <v>6149</v>
      </c>
    </row>
    <row r="2193" spans="1:1">
      <c r="A2193" t="s">
        <v>6150</v>
      </c>
    </row>
    <row r="2194" spans="1:1">
      <c r="A2194" t="s">
        <v>6151</v>
      </c>
    </row>
    <row r="2195" spans="1:1">
      <c r="A2195" t="s">
        <v>6152</v>
      </c>
    </row>
    <row r="2196" spans="1:1">
      <c r="A2196" t="s">
        <v>6153</v>
      </c>
    </row>
    <row r="2197" spans="1:1">
      <c r="A2197" t="s">
        <v>6154</v>
      </c>
    </row>
    <row r="2198" spans="1:1">
      <c r="A2198" t="s">
        <v>6155</v>
      </c>
    </row>
    <row r="2199" spans="1:1">
      <c r="A2199" t="s">
        <v>6156</v>
      </c>
    </row>
    <row r="2200" spans="1:1">
      <c r="A2200" t="s">
        <v>6157</v>
      </c>
    </row>
    <row r="2201" spans="1:1">
      <c r="A2201" t="s">
        <v>6158</v>
      </c>
    </row>
    <row r="2202" spans="1:1">
      <c r="A2202" t="s">
        <v>6159</v>
      </c>
    </row>
    <row r="2203" spans="1:1">
      <c r="A2203" t="s">
        <v>6160</v>
      </c>
    </row>
    <row r="2204" spans="1:1">
      <c r="A2204" t="s">
        <v>6161</v>
      </c>
    </row>
    <row r="2205" spans="1:1">
      <c r="A2205" t="s">
        <v>6162</v>
      </c>
    </row>
    <row r="2206" spans="1:1">
      <c r="A2206" t="s">
        <v>6163</v>
      </c>
    </row>
    <row r="2207" spans="1:1">
      <c r="A2207" t="s">
        <v>6164</v>
      </c>
    </row>
    <row r="2208" spans="1:1">
      <c r="A2208" t="s">
        <v>6165</v>
      </c>
    </row>
    <row r="2209" spans="1:1">
      <c r="A2209" t="s">
        <v>6166</v>
      </c>
    </row>
    <row r="2210" spans="1:1">
      <c r="A2210" t="s">
        <v>6167</v>
      </c>
    </row>
    <row r="2211" spans="1:1">
      <c r="A2211" t="s">
        <v>6168</v>
      </c>
    </row>
    <row r="2212" spans="1:1">
      <c r="A2212" t="s">
        <v>6169</v>
      </c>
    </row>
    <row r="2213" spans="1:1">
      <c r="A2213" t="s">
        <v>6170</v>
      </c>
    </row>
    <row r="2214" spans="1:1">
      <c r="A2214" t="s">
        <v>6171</v>
      </c>
    </row>
    <row r="2215" spans="1:1">
      <c r="A2215" t="s">
        <v>6172</v>
      </c>
    </row>
    <row r="2216" spans="1:1">
      <c r="A2216" t="s">
        <v>6173</v>
      </c>
    </row>
    <row r="2217" spans="1:1">
      <c r="A2217" t="s">
        <v>6174</v>
      </c>
    </row>
    <row r="2218" spans="1:1">
      <c r="A2218" t="s">
        <v>6175</v>
      </c>
    </row>
    <row r="2219" spans="1:1">
      <c r="A2219" t="s">
        <v>6176</v>
      </c>
    </row>
    <row r="2220" spans="1:1">
      <c r="A2220" t="s">
        <v>6177</v>
      </c>
    </row>
    <row r="2221" spans="1:1">
      <c r="A2221" t="s">
        <v>6178</v>
      </c>
    </row>
    <row r="2222" spans="1:1">
      <c r="A2222" t="s">
        <v>6179</v>
      </c>
    </row>
    <row r="2223" spans="1:1">
      <c r="A2223" t="s">
        <v>6180</v>
      </c>
    </row>
    <row r="2224" spans="1:1">
      <c r="A2224" t="s">
        <v>6181</v>
      </c>
    </row>
    <row r="2225" spans="1:1">
      <c r="A2225" t="s">
        <v>6182</v>
      </c>
    </row>
    <row r="2226" spans="1:1">
      <c r="A2226" t="s">
        <v>6183</v>
      </c>
    </row>
    <row r="2227" spans="1:1">
      <c r="A2227" t="s">
        <v>6184</v>
      </c>
    </row>
    <row r="2228" spans="1:1">
      <c r="A2228" t="s">
        <v>6185</v>
      </c>
    </row>
    <row r="2229" spans="1:1">
      <c r="A2229" t="s">
        <v>6186</v>
      </c>
    </row>
    <row r="2230" spans="1:1">
      <c r="A2230" t="s">
        <v>6187</v>
      </c>
    </row>
    <row r="2231" spans="1:1">
      <c r="A2231" t="s">
        <v>6188</v>
      </c>
    </row>
    <row r="2232" spans="1:1">
      <c r="A2232" t="s">
        <v>6189</v>
      </c>
    </row>
    <row r="2233" spans="1:1">
      <c r="A2233" t="s">
        <v>6190</v>
      </c>
    </row>
    <row r="2234" spans="1:1">
      <c r="A2234" t="s">
        <v>6191</v>
      </c>
    </row>
    <row r="2235" spans="1:1">
      <c r="A2235" t="s">
        <v>6192</v>
      </c>
    </row>
    <row r="2236" spans="1:1">
      <c r="A2236" t="s">
        <v>6193</v>
      </c>
    </row>
    <row r="2237" spans="1:1">
      <c r="A2237" t="s">
        <v>6194</v>
      </c>
    </row>
    <row r="2238" spans="1:1">
      <c r="A2238" t="s">
        <v>6195</v>
      </c>
    </row>
    <row r="2239" spans="1:1">
      <c r="A2239" t="s">
        <v>6196</v>
      </c>
    </row>
    <row r="2240" spans="1:1">
      <c r="A2240" t="s">
        <v>6197</v>
      </c>
    </row>
    <row r="2241" spans="1:1">
      <c r="A2241" t="s">
        <v>6198</v>
      </c>
    </row>
    <row r="2242" spans="1:1">
      <c r="A2242" t="s">
        <v>6199</v>
      </c>
    </row>
    <row r="2243" spans="1:1">
      <c r="A2243" t="s">
        <v>6200</v>
      </c>
    </row>
    <row r="2244" spans="1:1">
      <c r="A2244" t="s">
        <v>6201</v>
      </c>
    </row>
    <row r="2245" spans="1:1">
      <c r="A2245" t="s">
        <v>6202</v>
      </c>
    </row>
    <row r="2246" spans="1:1">
      <c r="A2246" t="s">
        <v>6203</v>
      </c>
    </row>
    <row r="2247" spans="1:1">
      <c r="A2247" t="s">
        <v>6204</v>
      </c>
    </row>
    <row r="2248" spans="1:1">
      <c r="A2248" t="s">
        <v>6205</v>
      </c>
    </row>
    <row r="2249" spans="1:1">
      <c r="A2249" t="s">
        <v>6206</v>
      </c>
    </row>
    <row r="2250" spans="1:1">
      <c r="A2250" t="s">
        <v>6207</v>
      </c>
    </row>
    <row r="2251" spans="1:1">
      <c r="A2251" t="s">
        <v>6208</v>
      </c>
    </row>
    <row r="2252" spans="1:1">
      <c r="A2252" t="s">
        <v>6209</v>
      </c>
    </row>
    <row r="2253" spans="1:1">
      <c r="A2253" t="s">
        <v>6210</v>
      </c>
    </row>
    <row r="2254" spans="1:1">
      <c r="A2254" t="s">
        <v>6211</v>
      </c>
    </row>
    <row r="2255" spans="1:1">
      <c r="A2255" t="s">
        <v>6212</v>
      </c>
    </row>
    <row r="2256" spans="1:1">
      <c r="A2256" t="s">
        <v>6213</v>
      </c>
    </row>
    <row r="2257" spans="1:1">
      <c r="A2257" t="s">
        <v>6214</v>
      </c>
    </row>
    <row r="2258" spans="1:1">
      <c r="A2258" t="s">
        <v>6215</v>
      </c>
    </row>
    <row r="2259" spans="1:1">
      <c r="A2259" t="s">
        <v>6216</v>
      </c>
    </row>
    <row r="2260" spans="1:1">
      <c r="A2260" t="s">
        <v>6217</v>
      </c>
    </row>
    <row r="2261" spans="1:1">
      <c r="A2261" t="s">
        <v>6218</v>
      </c>
    </row>
    <row r="2262" spans="1:1">
      <c r="A2262" t="s">
        <v>6219</v>
      </c>
    </row>
    <row r="2263" spans="1:1">
      <c r="A2263" t="s">
        <v>6220</v>
      </c>
    </row>
    <row r="2264" spans="1:1">
      <c r="A2264" t="s">
        <v>6221</v>
      </c>
    </row>
    <row r="2265" spans="1:1">
      <c r="A2265" t="s">
        <v>6222</v>
      </c>
    </row>
    <row r="2266" spans="1:1">
      <c r="A2266" t="s">
        <v>6223</v>
      </c>
    </row>
    <row r="2267" spans="1:1">
      <c r="A2267" t="s">
        <v>6224</v>
      </c>
    </row>
    <row r="2268" spans="1:1">
      <c r="A2268" t="s">
        <v>6225</v>
      </c>
    </row>
    <row r="2269" spans="1:1">
      <c r="A2269" t="s">
        <v>6226</v>
      </c>
    </row>
    <row r="2270" spans="1:1">
      <c r="A2270" t="s">
        <v>6227</v>
      </c>
    </row>
    <row r="2271" spans="1:1">
      <c r="A2271" t="s">
        <v>6228</v>
      </c>
    </row>
    <row r="2272" spans="1:1">
      <c r="A2272" t="s">
        <v>6229</v>
      </c>
    </row>
    <row r="2273" spans="1:1">
      <c r="A2273" t="s">
        <v>6230</v>
      </c>
    </row>
    <row r="2274" spans="1:1">
      <c r="A2274" t="s">
        <v>6231</v>
      </c>
    </row>
    <row r="2275" spans="1:1">
      <c r="A2275" t="s">
        <v>6232</v>
      </c>
    </row>
    <row r="2276" spans="1:1">
      <c r="A2276" t="s">
        <v>6233</v>
      </c>
    </row>
    <row r="2277" spans="1:1">
      <c r="A2277" t="s">
        <v>6234</v>
      </c>
    </row>
    <row r="2278" spans="1:1">
      <c r="A2278" t="s">
        <v>6235</v>
      </c>
    </row>
    <row r="2279" spans="1:1">
      <c r="A2279" t="s">
        <v>6236</v>
      </c>
    </row>
    <row r="2280" spans="1:1">
      <c r="A2280" t="s">
        <v>6237</v>
      </c>
    </row>
    <row r="2281" spans="1:1">
      <c r="A2281" t="s">
        <v>6238</v>
      </c>
    </row>
    <row r="2282" spans="1:1">
      <c r="A2282" t="s">
        <v>6239</v>
      </c>
    </row>
    <row r="2283" spans="1:1">
      <c r="A2283" t="s">
        <v>6240</v>
      </c>
    </row>
    <row r="2284" spans="1:1">
      <c r="A2284" t="s">
        <v>6241</v>
      </c>
    </row>
    <row r="2285" spans="1:1">
      <c r="A2285" t="s">
        <v>6242</v>
      </c>
    </row>
    <row r="2286" spans="1:1">
      <c r="A2286" t="s">
        <v>6243</v>
      </c>
    </row>
    <row r="2287" spans="1:1">
      <c r="A2287" t="s">
        <v>6244</v>
      </c>
    </row>
    <row r="2288" spans="1:1">
      <c r="A2288" t="s">
        <v>6245</v>
      </c>
    </row>
    <row r="2289" spans="1:1">
      <c r="A2289" t="s">
        <v>6246</v>
      </c>
    </row>
    <row r="2290" spans="1:1">
      <c r="A2290" t="s">
        <v>6247</v>
      </c>
    </row>
    <row r="2291" spans="1:1">
      <c r="A2291" t="s">
        <v>6248</v>
      </c>
    </row>
    <row r="2292" spans="1:1">
      <c r="A2292" t="s">
        <v>6249</v>
      </c>
    </row>
    <row r="2293" spans="1:1">
      <c r="A2293" t="s">
        <v>6250</v>
      </c>
    </row>
    <row r="2294" spans="1:1">
      <c r="A2294" t="s">
        <v>6251</v>
      </c>
    </row>
    <row r="2295" spans="1:1">
      <c r="A2295" t="s">
        <v>6252</v>
      </c>
    </row>
    <row r="2296" spans="1:1">
      <c r="A2296" t="s">
        <v>6253</v>
      </c>
    </row>
    <row r="2297" spans="1:1">
      <c r="A2297" t="s">
        <v>6254</v>
      </c>
    </row>
    <row r="2298" spans="1:1">
      <c r="A2298" t="s">
        <v>6255</v>
      </c>
    </row>
    <row r="2299" spans="1:1">
      <c r="A2299" t="s">
        <v>6256</v>
      </c>
    </row>
    <row r="2300" spans="1:1">
      <c r="A2300" t="s">
        <v>6257</v>
      </c>
    </row>
    <row r="2301" spans="1:1">
      <c r="A2301" t="s">
        <v>6258</v>
      </c>
    </row>
    <row r="2302" spans="1:1">
      <c r="A2302" t="s">
        <v>6259</v>
      </c>
    </row>
    <row r="2303" spans="1:1">
      <c r="A2303" t="s">
        <v>6260</v>
      </c>
    </row>
    <row r="2304" spans="1:1">
      <c r="A2304" t="s">
        <v>6261</v>
      </c>
    </row>
    <row r="2305" spans="1:1">
      <c r="A2305" t="s">
        <v>6262</v>
      </c>
    </row>
    <row r="2306" spans="1:1">
      <c r="A2306" t="s">
        <v>6263</v>
      </c>
    </row>
    <row r="2307" spans="1:1">
      <c r="A2307" t="s">
        <v>6264</v>
      </c>
    </row>
    <row r="2308" spans="1:1">
      <c r="A2308" t="s">
        <v>6265</v>
      </c>
    </row>
    <row r="2309" spans="1:1">
      <c r="A2309" t="s">
        <v>6266</v>
      </c>
    </row>
    <row r="2310" spans="1:1">
      <c r="A2310" t="s">
        <v>6267</v>
      </c>
    </row>
    <row r="2311" spans="1:1">
      <c r="A2311" t="s">
        <v>6268</v>
      </c>
    </row>
    <row r="2312" spans="1:1">
      <c r="A2312" t="s">
        <v>6269</v>
      </c>
    </row>
    <row r="2313" spans="1:1">
      <c r="A2313" t="s">
        <v>6270</v>
      </c>
    </row>
    <row r="2314" spans="1:1">
      <c r="A2314" t="s">
        <v>6271</v>
      </c>
    </row>
    <row r="2315" spans="1:1">
      <c r="A2315" t="s">
        <v>6272</v>
      </c>
    </row>
    <row r="2316" spans="1:1">
      <c r="A2316" t="s">
        <v>6273</v>
      </c>
    </row>
    <row r="2317" spans="1:1">
      <c r="A2317" t="s">
        <v>6274</v>
      </c>
    </row>
    <row r="2318" spans="1:1">
      <c r="A2318" t="s">
        <v>6275</v>
      </c>
    </row>
    <row r="2319" spans="1:1">
      <c r="A2319" t="s">
        <v>6276</v>
      </c>
    </row>
    <row r="2320" spans="1:1">
      <c r="A2320" t="s">
        <v>6277</v>
      </c>
    </row>
    <row r="2321" spans="1:1">
      <c r="A2321" t="s">
        <v>6278</v>
      </c>
    </row>
    <row r="2322" spans="1:1">
      <c r="A2322" t="s">
        <v>6279</v>
      </c>
    </row>
    <row r="2323" spans="1:1">
      <c r="A2323" t="s">
        <v>6280</v>
      </c>
    </row>
    <row r="2324" spans="1:1">
      <c r="A2324" t="s">
        <v>6281</v>
      </c>
    </row>
    <row r="2325" spans="1:1">
      <c r="A2325" t="s">
        <v>6282</v>
      </c>
    </row>
    <row r="2326" spans="1:1">
      <c r="A2326" t="s">
        <v>6283</v>
      </c>
    </row>
    <row r="2327" spans="1:1">
      <c r="A2327" t="s">
        <v>6284</v>
      </c>
    </row>
    <row r="2328" spans="1:1">
      <c r="A2328" t="s">
        <v>6285</v>
      </c>
    </row>
    <row r="2329" spans="1:1">
      <c r="A2329" t="s">
        <v>6286</v>
      </c>
    </row>
    <row r="2330" spans="1:1">
      <c r="A2330" t="s">
        <v>6287</v>
      </c>
    </row>
    <row r="2331" spans="1:1">
      <c r="A2331" t="s">
        <v>6288</v>
      </c>
    </row>
    <row r="2332" spans="1:1">
      <c r="A2332" t="s">
        <v>6289</v>
      </c>
    </row>
    <row r="2333" spans="1:1">
      <c r="A2333" t="s">
        <v>6290</v>
      </c>
    </row>
    <row r="2334" spans="1:1">
      <c r="A2334" t="s">
        <v>6291</v>
      </c>
    </row>
    <row r="2335" spans="1:1">
      <c r="A2335" t="s">
        <v>6292</v>
      </c>
    </row>
    <row r="2336" spans="1:1">
      <c r="A2336" t="s">
        <v>6293</v>
      </c>
    </row>
    <row r="2337" spans="1:1">
      <c r="A2337" t="s">
        <v>6294</v>
      </c>
    </row>
    <row r="2338" spans="1:1">
      <c r="A2338" t="s">
        <v>6295</v>
      </c>
    </row>
    <row r="2339" spans="1:1">
      <c r="A2339" t="s">
        <v>6296</v>
      </c>
    </row>
    <row r="2340" spans="1:1">
      <c r="A2340" t="s">
        <v>6297</v>
      </c>
    </row>
    <row r="2341" spans="1:1">
      <c r="A2341" t="s">
        <v>6298</v>
      </c>
    </row>
    <row r="2342" spans="1:1">
      <c r="A2342" t="s">
        <v>6299</v>
      </c>
    </row>
    <row r="2343" spans="1:1">
      <c r="A2343" t="s">
        <v>6300</v>
      </c>
    </row>
    <row r="2344" spans="1:1">
      <c r="A2344" t="s">
        <v>6301</v>
      </c>
    </row>
    <row r="2345" spans="1:1">
      <c r="A2345" t="s">
        <v>6302</v>
      </c>
    </row>
    <row r="2346" spans="1:1">
      <c r="A2346" t="s">
        <v>6303</v>
      </c>
    </row>
    <row r="2347" spans="1:1">
      <c r="A2347" t="s">
        <v>6304</v>
      </c>
    </row>
    <row r="2348" spans="1:1">
      <c r="A2348" t="s">
        <v>6305</v>
      </c>
    </row>
    <row r="2349" spans="1:1">
      <c r="A2349" t="s">
        <v>6306</v>
      </c>
    </row>
    <row r="2350" spans="1:1">
      <c r="A2350" t="s">
        <v>6307</v>
      </c>
    </row>
    <row r="2351" spans="1:1">
      <c r="A2351" t="s">
        <v>6308</v>
      </c>
    </row>
    <row r="2352" spans="1:1">
      <c r="A2352" t="s">
        <v>6309</v>
      </c>
    </row>
    <row r="2353" spans="1:1">
      <c r="A2353" t="s">
        <v>6310</v>
      </c>
    </row>
    <row r="2354" spans="1:1">
      <c r="A2354" t="s">
        <v>6311</v>
      </c>
    </row>
    <row r="2355" spans="1:1">
      <c r="A2355" t="s">
        <v>6312</v>
      </c>
    </row>
    <row r="2356" spans="1:1">
      <c r="A2356" t="s">
        <v>6313</v>
      </c>
    </row>
    <row r="2357" spans="1:1">
      <c r="A2357" t="s">
        <v>6314</v>
      </c>
    </row>
    <row r="2358" spans="1:1">
      <c r="A2358" t="s">
        <v>6315</v>
      </c>
    </row>
    <row r="2359" spans="1:1">
      <c r="A2359" t="s">
        <v>6316</v>
      </c>
    </row>
    <row r="2360" spans="1:1">
      <c r="A2360" t="s">
        <v>6317</v>
      </c>
    </row>
    <row r="2361" spans="1:1">
      <c r="A2361" t="s">
        <v>6318</v>
      </c>
    </row>
    <row r="2362" spans="1:1">
      <c r="A2362" t="s">
        <v>6319</v>
      </c>
    </row>
    <row r="2363" spans="1:1">
      <c r="A2363" t="s">
        <v>6320</v>
      </c>
    </row>
    <row r="2364" spans="1:1">
      <c r="A2364" t="s">
        <v>6321</v>
      </c>
    </row>
    <row r="2365" spans="1:1">
      <c r="A2365" t="s">
        <v>6322</v>
      </c>
    </row>
    <row r="2366" spans="1:1">
      <c r="A2366" t="s">
        <v>6323</v>
      </c>
    </row>
    <row r="2367" spans="1:1">
      <c r="A2367" t="s">
        <v>6324</v>
      </c>
    </row>
    <row r="2368" spans="1:1">
      <c r="A2368" t="s">
        <v>6325</v>
      </c>
    </row>
    <row r="2369" spans="1:1">
      <c r="A2369" t="s">
        <v>6326</v>
      </c>
    </row>
    <row r="2370" spans="1:1">
      <c r="A2370" t="s">
        <v>6327</v>
      </c>
    </row>
    <row r="2371" spans="1:1">
      <c r="A2371" t="s">
        <v>6328</v>
      </c>
    </row>
    <row r="2372" spans="1:1">
      <c r="A2372" t="s">
        <v>6329</v>
      </c>
    </row>
    <row r="2373" spans="1:1">
      <c r="A2373" t="s">
        <v>6330</v>
      </c>
    </row>
    <row r="2374" spans="1:1">
      <c r="A2374" t="s">
        <v>6331</v>
      </c>
    </row>
    <row r="2375" spans="1:1">
      <c r="A2375" t="s">
        <v>6332</v>
      </c>
    </row>
    <row r="2376" spans="1:1">
      <c r="A2376" t="s">
        <v>6333</v>
      </c>
    </row>
    <row r="2377" spans="1:1">
      <c r="A2377" t="s">
        <v>6334</v>
      </c>
    </row>
    <row r="2378" spans="1:1">
      <c r="A2378" t="s">
        <v>6335</v>
      </c>
    </row>
    <row r="2379" spans="1:1">
      <c r="A2379" t="s">
        <v>6336</v>
      </c>
    </row>
    <row r="2380" spans="1:1">
      <c r="A2380" t="s">
        <v>6337</v>
      </c>
    </row>
    <row r="2381" spans="1:1">
      <c r="A2381" t="s">
        <v>6338</v>
      </c>
    </row>
    <row r="2382" spans="1:1">
      <c r="A2382" t="s">
        <v>6339</v>
      </c>
    </row>
    <row r="2383" spans="1:1">
      <c r="A2383" t="s">
        <v>6340</v>
      </c>
    </row>
    <row r="2384" spans="1:1">
      <c r="A2384" t="s">
        <v>6341</v>
      </c>
    </row>
    <row r="2385" spans="1:1">
      <c r="A2385" t="s">
        <v>6342</v>
      </c>
    </row>
    <row r="2386" spans="1:1">
      <c r="A2386" t="s">
        <v>6343</v>
      </c>
    </row>
    <row r="2387" spans="1:1">
      <c r="A2387" t="s">
        <v>6344</v>
      </c>
    </row>
    <row r="2388" spans="1:1">
      <c r="A2388" t="s">
        <v>6345</v>
      </c>
    </row>
    <row r="2389" spans="1:1">
      <c r="A2389" t="s">
        <v>6346</v>
      </c>
    </row>
    <row r="2390" spans="1:1">
      <c r="A2390" t="s">
        <v>6347</v>
      </c>
    </row>
    <row r="2391" spans="1:1">
      <c r="A2391" t="s">
        <v>6348</v>
      </c>
    </row>
    <row r="2392" spans="1:1">
      <c r="A2392" t="s">
        <v>6349</v>
      </c>
    </row>
    <row r="2393" spans="1:1">
      <c r="A2393" t="s">
        <v>6350</v>
      </c>
    </row>
    <row r="2394" spans="1:1">
      <c r="A2394" t="s">
        <v>6351</v>
      </c>
    </row>
    <row r="2395" spans="1:1">
      <c r="A2395" t="s">
        <v>6352</v>
      </c>
    </row>
    <row r="2396" spans="1:1">
      <c r="A2396" t="s">
        <v>6353</v>
      </c>
    </row>
    <row r="2397" spans="1:1">
      <c r="A2397" t="s">
        <v>6354</v>
      </c>
    </row>
    <row r="2398" spans="1:1">
      <c r="A2398" t="s">
        <v>6355</v>
      </c>
    </row>
    <row r="2399" spans="1:1">
      <c r="A2399" t="s">
        <v>6356</v>
      </c>
    </row>
    <row r="2400" spans="1:1">
      <c r="A2400" t="s">
        <v>6357</v>
      </c>
    </row>
    <row r="2401" spans="1:1">
      <c r="A2401" t="s">
        <v>6358</v>
      </c>
    </row>
    <row r="2402" spans="1:1">
      <c r="A2402" t="s">
        <v>6359</v>
      </c>
    </row>
    <row r="2403" spans="1:1">
      <c r="A2403" t="s">
        <v>6360</v>
      </c>
    </row>
    <row r="2404" spans="1:1">
      <c r="A2404" t="s">
        <v>6361</v>
      </c>
    </row>
    <row r="2405" spans="1:1">
      <c r="A2405" t="s">
        <v>6362</v>
      </c>
    </row>
    <row r="2406" spans="1:1">
      <c r="A2406" t="s">
        <v>6363</v>
      </c>
    </row>
    <row r="2407" spans="1:1">
      <c r="A2407" t="s">
        <v>6364</v>
      </c>
    </row>
    <row r="2408" spans="1:1">
      <c r="A2408" t="s">
        <v>6365</v>
      </c>
    </row>
    <row r="2409" spans="1:1">
      <c r="A2409" t="s">
        <v>6366</v>
      </c>
    </row>
    <row r="2410" spans="1:1">
      <c r="A2410" t="s">
        <v>6367</v>
      </c>
    </row>
    <row r="2411" spans="1:1">
      <c r="A2411" t="s">
        <v>6368</v>
      </c>
    </row>
    <row r="2412" spans="1:1">
      <c r="A2412" t="s">
        <v>6369</v>
      </c>
    </row>
    <row r="2413" spans="1:1">
      <c r="A2413" t="s">
        <v>6370</v>
      </c>
    </row>
    <row r="2414" spans="1:1">
      <c r="A2414" t="s">
        <v>6371</v>
      </c>
    </row>
    <row r="2415" spans="1:1">
      <c r="A2415" t="s">
        <v>6372</v>
      </c>
    </row>
    <row r="2416" spans="1:1">
      <c r="A2416" t="s">
        <v>6373</v>
      </c>
    </row>
    <row r="2417" spans="1:1">
      <c r="A2417" t="s">
        <v>6374</v>
      </c>
    </row>
    <row r="2418" spans="1:1">
      <c r="A2418" t="s">
        <v>6375</v>
      </c>
    </row>
    <row r="2419" spans="1:1">
      <c r="A2419" t="s">
        <v>6376</v>
      </c>
    </row>
    <row r="2420" spans="1:1">
      <c r="A2420" t="s">
        <v>6377</v>
      </c>
    </row>
    <row r="2421" spans="1:1">
      <c r="A2421" t="s">
        <v>6378</v>
      </c>
    </row>
    <row r="2422" spans="1:1">
      <c r="A2422" t="s">
        <v>6379</v>
      </c>
    </row>
    <row r="2423" spans="1:1">
      <c r="A2423" t="s">
        <v>6380</v>
      </c>
    </row>
    <row r="2424" spans="1:1">
      <c r="A2424" t="s">
        <v>6381</v>
      </c>
    </row>
    <row r="2425" spans="1:1">
      <c r="A2425" t="s">
        <v>6382</v>
      </c>
    </row>
    <row r="2426" spans="1:1">
      <c r="A2426" t="s">
        <v>6383</v>
      </c>
    </row>
    <row r="2427" spans="1:1">
      <c r="A2427" t="s">
        <v>6384</v>
      </c>
    </row>
    <row r="2428" spans="1:1">
      <c r="A2428" t="s">
        <v>6385</v>
      </c>
    </row>
    <row r="2429" spans="1:1">
      <c r="A2429" t="s">
        <v>6386</v>
      </c>
    </row>
    <row r="2430" spans="1:1">
      <c r="A2430" t="s">
        <v>6387</v>
      </c>
    </row>
    <row r="2431" spans="1:1">
      <c r="A2431" t="s">
        <v>6388</v>
      </c>
    </row>
    <row r="2432" spans="1:1">
      <c r="A2432" t="s">
        <v>6389</v>
      </c>
    </row>
    <row r="2433" spans="1:1">
      <c r="A2433" t="s">
        <v>6390</v>
      </c>
    </row>
    <row r="2434" spans="1:1">
      <c r="A2434" t="s">
        <v>6391</v>
      </c>
    </row>
    <row r="2435" spans="1:1">
      <c r="A2435" t="s">
        <v>6392</v>
      </c>
    </row>
    <row r="2436" spans="1:1">
      <c r="A2436" t="s">
        <v>6393</v>
      </c>
    </row>
    <row r="2437" spans="1:1">
      <c r="A2437" t="s">
        <v>6394</v>
      </c>
    </row>
    <row r="2438" spans="1:1">
      <c r="A2438" t="s">
        <v>6395</v>
      </c>
    </row>
    <row r="2439" spans="1:1">
      <c r="A2439" t="s">
        <v>6396</v>
      </c>
    </row>
    <row r="2440" spans="1:1">
      <c r="A2440" t="s">
        <v>6397</v>
      </c>
    </row>
    <row r="2441" spans="1:1">
      <c r="A2441" t="s">
        <v>6398</v>
      </c>
    </row>
    <row r="2442" spans="1:1">
      <c r="A2442" t="s">
        <v>6399</v>
      </c>
    </row>
    <row r="2443" spans="1:1">
      <c r="A2443" t="s">
        <v>6400</v>
      </c>
    </row>
    <row r="2444" spans="1:1">
      <c r="A2444" t="s">
        <v>6401</v>
      </c>
    </row>
    <row r="2445" spans="1:1">
      <c r="A2445" t="s">
        <v>6402</v>
      </c>
    </row>
    <row r="2446" spans="1:1">
      <c r="A2446" t="s">
        <v>6403</v>
      </c>
    </row>
    <row r="2447" spans="1:1">
      <c r="A2447" t="s">
        <v>6404</v>
      </c>
    </row>
    <row r="2448" spans="1:1">
      <c r="A2448" t="s">
        <v>6405</v>
      </c>
    </row>
    <row r="2449" spans="1:1">
      <c r="A2449" t="s">
        <v>6406</v>
      </c>
    </row>
    <row r="2450" spans="1:1">
      <c r="A2450" t="s">
        <v>6407</v>
      </c>
    </row>
    <row r="2451" spans="1:1">
      <c r="A2451" t="s">
        <v>6408</v>
      </c>
    </row>
    <row r="2452" spans="1:1">
      <c r="A2452" t="s">
        <v>6409</v>
      </c>
    </row>
    <row r="2453" spans="1:1">
      <c r="A2453" t="s">
        <v>6410</v>
      </c>
    </row>
    <row r="2454" spans="1:1">
      <c r="A2454" t="s">
        <v>6411</v>
      </c>
    </row>
    <row r="2455" spans="1:1">
      <c r="A2455" t="s">
        <v>6412</v>
      </c>
    </row>
  </sheetData>
  <sheetProtection password="E3ED" sheet="1"/>
  <pageMargins left="0.74791666666666667" right="0.74791666666666667" top="0.98402777777777783" bottom="0.98402777777777783" header="0.51181102362204722" footer="0.51181102362204722"/>
  <pageSetup paperSize="9" firstPageNumber="0"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8D643-19C8-46CB-9F2B-F10B98971830}">
  <dimension ref="A1:E1087"/>
  <sheetViews>
    <sheetView showGridLines="0" topLeftCell="A994" workbookViewId="0">
      <pane xSplit="1" topLeftCell="B1" activePane="topRight" state="frozen"/>
      <selection pane="topRight" activeCell="B1080" sqref="B1080"/>
    </sheetView>
  </sheetViews>
  <sheetFormatPr defaultRowHeight="13.2"/>
  <cols>
    <col min="1" max="1" width="71.109375" customWidth="1"/>
    <col min="2" max="2" width="28" customWidth="1"/>
    <col min="3" max="3" width="40" customWidth="1"/>
    <col min="4" max="4" width="21.5546875" customWidth="1"/>
    <col min="5" max="5" width="29.44140625" customWidth="1"/>
  </cols>
  <sheetData>
    <row r="1" spans="1:5" ht="74.099999999999994" customHeight="1">
      <c r="A1" s="8"/>
    </row>
    <row r="2" spans="1:5">
      <c r="A2" s="14" t="s">
        <v>0</v>
      </c>
    </row>
    <row r="3" spans="1:5" ht="20.100000000000001" customHeight="1">
      <c r="A3" s="1" t="s">
        <v>1</v>
      </c>
    </row>
    <row r="4" spans="1:5" ht="20.100000000000001" customHeight="1">
      <c r="A4" s="1" t="s">
        <v>2</v>
      </c>
    </row>
    <row r="5" spans="1:5" ht="20.100000000000001" customHeight="1">
      <c r="A5" s="1" t="s">
        <v>3</v>
      </c>
      <c r="E5" s="10"/>
    </row>
    <row r="7" spans="1:5">
      <c r="A7" s="2" t="s">
        <v>4</v>
      </c>
    </row>
    <row r="8" spans="1:5">
      <c r="A8" s="2" t="s">
        <v>5</v>
      </c>
    </row>
    <row r="9" spans="1:5">
      <c r="A9" s="2" t="s">
        <v>6</v>
      </c>
    </row>
    <row r="10" spans="1:5">
      <c r="A10" s="2" t="s">
        <v>7</v>
      </c>
    </row>
    <row r="11" spans="1:5">
      <c r="A11" s="2" t="s">
        <v>8</v>
      </c>
    </row>
    <row r="12" spans="1:5">
      <c r="A12" s="2" t="s">
        <v>9</v>
      </c>
    </row>
    <row r="14" spans="1:5" ht="12.75" customHeight="1">
      <c r="A14" s="7" t="s">
        <v>1087</v>
      </c>
    </row>
    <row r="15" spans="1:5" ht="12.75" customHeight="1">
      <c r="A15" s="7" t="s">
        <v>1088</v>
      </c>
    </row>
    <row r="16" spans="1:5" ht="12.75" customHeight="1">
      <c r="A16" s="7" t="s">
        <v>12</v>
      </c>
    </row>
    <row r="17" spans="1:5" ht="30" customHeight="1">
      <c r="A17" s="21" t="s">
        <v>1089</v>
      </c>
      <c r="B17" s="21" t="s">
        <v>1090</v>
      </c>
      <c r="C17" s="21"/>
      <c r="D17" s="21"/>
      <c r="E17" s="21"/>
    </row>
    <row r="18" spans="1:5" ht="30" customHeight="1">
      <c r="A18" s="22"/>
      <c r="B18" s="21" t="s">
        <v>1091</v>
      </c>
      <c r="C18" s="21" t="s">
        <v>1092</v>
      </c>
      <c r="D18" s="21" t="s">
        <v>1093</v>
      </c>
      <c r="E18" s="21" t="s">
        <v>1094</v>
      </c>
    </row>
    <row r="19" spans="1:5" ht="12.75" customHeight="1">
      <c r="A19" s="3" t="s">
        <v>1089</v>
      </c>
      <c r="B19" s="5"/>
      <c r="C19" s="5"/>
      <c r="D19" s="5"/>
      <c r="E19" s="5"/>
    </row>
    <row r="20" spans="1:5" ht="12.75" customHeight="1">
      <c r="A20" s="4" t="s">
        <v>1095</v>
      </c>
      <c r="B20" s="12">
        <f>+'DCA-Anexo I-C'!B21+'DCA-Anexo I-C'!B690</f>
        <v>150973707.39000002</v>
      </c>
      <c r="C20" s="12">
        <f>+'DCA-Anexo I-C'!C21+'DCA-Anexo I-C'!C690</f>
        <v>0</v>
      </c>
      <c r="D20" s="12">
        <f>+'DCA-Anexo I-C'!D21+'DCA-Anexo I-C'!D690</f>
        <v>15193653.369999999</v>
      </c>
      <c r="E20" s="12">
        <f>+'DCA-Anexo I-C'!E21+'DCA-Anexo I-C'!E690</f>
        <v>0</v>
      </c>
    </row>
    <row r="21" spans="1:5" ht="12.75" customHeight="1">
      <c r="A21" s="3" t="s">
        <v>1096</v>
      </c>
      <c r="B21" s="11">
        <f>+'DCA-Anexo I-C'!B22+'DCA-Anexo I-C'!B90+'DCA-Anexo I-C'!B253+'DCA-Anexo I-C'!B378+'DCA-Anexo I-C'!B379+'DCA-Anexo I-C'!B380+'DCA-Anexo I-C'!B417+'DCA-Anexo I-C'!B551</f>
        <v>149734493.27000001</v>
      </c>
      <c r="C21" s="11">
        <f>+'DCA-Anexo I-C'!C22+'DCA-Anexo I-C'!C90+'DCA-Anexo I-C'!C253+'DCA-Anexo I-C'!C378+'DCA-Anexo I-C'!C379+'DCA-Anexo I-C'!C380+'DCA-Anexo I-C'!C417+'DCA-Anexo I-C'!C551</f>
        <v>0</v>
      </c>
      <c r="D21" s="11">
        <f>+'DCA-Anexo I-C'!D22+'DCA-Anexo I-C'!D90+'DCA-Anexo I-C'!D253+'DCA-Anexo I-C'!D378+'DCA-Anexo I-C'!D379+'DCA-Anexo I-C'!D380+'DCA-Anexo I-C'!D417+'DCA-Anexo I-C'!D551</f>
        <v>15193653.369999999</v>
      </c>
      <c r="E21" s="11">
        <f>+'DCA-Anexo I-C'!E22+'DCA-Anexo I-C'!E90+'DCA-Anexo I-C'!E253+'DCA-Anexo I-C'!E378+'DCA-Anexo I-C'!E379+'DCA-Anexo I-C'!E380+'DCA-Anexo I-C'!E417+'DCA-Anexo I-C'!E551</f>
        <v>0</v>
      </c>
    </row>
    <row r="22" spans="1:5" ht="12.75" customHeight="1">
      <c r="A22" s="4" t="s">
        <v>1097</v>
      </c>
      <c r="B22" s="12">
        <f>+'DCA-Anexo I-C'!B23+'DCA-Anexo I-C'!B59+'DCA-Anexo I-C'!B83</f>
        <v>9603959.8100000005</v>
      </c>
      <c r="C22" s="12">
        <f>+'DCA-Anexo I-C'!C23+'DCA-Anexo I-C'!C59+'DCA-Anexo I-C'!C83</f>
        <v>0</v>
      </c>
      <c r="D22" s="12">
        <f>+'DCA-Anexo I-C'!D23+'DCA-Anexo I-C'!D59+'DCA-Anexo I-C'!D83</f>
        <v>0</v>
      </c>
      <c r="E22" s="12">
        <f>+'DCA-Anexo I-C'!E23+'DCA-Anexo I-C'!E59+'DCA-Anexo I-C'!E83</f>
        <v>0</v>
      </c>
    </row>
    <row r="23" spans="1:5" ht="12.75" customHeight="1">
      <c r="A23" s="3" t="s">
        <v>1098</v>
      </c>
      <c r="B23" s="11">
        <f>+'DCA-Anexo I-C'!B24+'DCA-Anexo I-C'!B27+'DCA-Anexo I-C'!B33+'DCA-Anexo I-C'!B41+'DCA-Anexo I-C'!B55+'DCA-Anexo I-C'!B58</f>
        <v>9413468.25</v>
      </c>
      <c r="C23" s="11">
        <f>+'DCA-Anexo I-C'!C24+'DCA-Anexo I-C'!C27+'DCA-Anexo I-C'!C33+'DCA-Anexo I-C'!C41+'DCA-Anexo I-C'!C55+'DCA-Anexo I-C'!C58</f>
        <v>0</v>
      </c>
      <c r="D23" s="11">
        <f>+'DCA-Anexo I-C'!D24+'DCA-Anexo I-C'!D27+'DCA-Anexo I-C'!D33+'DCA-Anexo I-C'!D41+'DCA-Anexo I-C'!D55+'DCA-Anexo I-C'!D58</f>
        <v>0</v>
      </c>
      <c r="E23" s="11">
        <f>+'DCA-Anexo I-C'!E24+'DCA-Anexo I-C'!E27+'DCA-Anexo I-C'!E33+'DCA-Anexo I-C'!E41+'DCA-Anexo I-C'!E55+'DCA-Anexo I-C'!E58</f>
        <v>0</v>
      </c>
    </row>
    <row r="24" spans="1:5" ht="12.75" customHeight="1">
      <c r="A24" s="4" t="s">
        <v>1099</v>
      </c>
      <c r="B24" s="12">
        <f>+'DCA-Anexo I-C'!B25+'DCA-Anexo I-C'!B26</f>
        <v>0</v>
      </c>
      <c r="C24" s="12">
        <f>+'DCA-Anexo I-C'!C25+'DCA-Anexo I-C'!C26</f>
        <v>0</v>
      </c>
      <c r="D24" s="12">
        <f>+'DCA-Anexo I-C'!D25+'DCA-Anexo I-C'!D26</f>
        <v>0</v>
      </c>
      <c r="E24" s="12">
        <f>+'DCA-Anexo I-C'!E25+'DCA-Anexo I-C'!E26</f>
        <v>0</v>
      </c>
    </row>
    <row r="25" spans="1:5" ht="12.75" customHeight="1">
      <c r="A25" s="3" t="s">
        <v>1100</v>
      </c>
      <c r="B25" s="11"/>
      <c r="C25" s="11"/>
      <c r="D25" s="11"/>
      <c r="E25" s="11"/>
    </row>
    <row r="26" spans="1:5" ht="12.75" customHeight="1">
      <c r="A26" s="4" t="s">
        <v>1101</v>
      </c>
      <c r="B26" s="12"/>
      <c r="C26" s="12"/>
      <c r="D26" s="12"/>
      <c r="E26" s="12"/>
    </row>
    <row r="27" spans="1:5" ht="12.75" customHeight="1">
      <c r="A27" s="3" t="s">
        <v>1102</v>
      </c>
      <c r="B27" s="11">
        <f>+'DCA-Anexo I-C'!B28+'DCA-Anexo I-C'!B29+'DCA-Anexo I-C'!B30+'DCA-Anexo I-C'!B31+'DCA-Anexo I-C'!B32</f>
        <v>809281.85</v>
      </c>
      <c r="C27" s="11">
        <f>+'DCA-Anexo I-C'!C28+'DCA-Anexo I-C'!C29+'DCA-Anexo I-C'!C30+'DCA-Anexo I-C'!C31+'DCA-Anexo I-C'!C32</f>
        <v>0</v>
      </c>
      <c r="D27" s="11">
        <f>+'DCA-Anexo I-C'!D28+'DCA-Anexo I-C'!D29+'DCA-Anexo I-C'!D30+'DCA-Anexo I-C'!D31+'DCA-Anexo I-C'!D32</f>
        <v>0</v>
      </c>
      <c r="E27" s="11">
        <f>+'DCA-Anexo I-C'!E28+'DCA-Anexo I-C'!E29+'DCA-Anexo I-C'!E30+'DCA-Anexo I-C'!E31+'DCA-Anexo I-C'!E32</f>
        <v>0</v>
      </c>
    </row>
    <row r="28" spans="1:5" ht="12.75" customHeight="1">
      <c r="A28" s="4" t="s">
        <v>1103</v>
      </c>
      <c r="B28" s="12"/>
      <c r="C28" s="12"/>
      <c r="D28" s="12"/>
      <c r="E28" s="12"/>
    </row>
    <row r="29" spans="1:5" ht="25.5" customHeight="1">
      <c r="A29" s="3" t="s">
        <v>1104</v>
      </c>
      <c r="B29" s="11">
        <v>146001.28</v>
      </c>
      <c r="C29" s="11"/>
      <c r="D29" s="11"/>
      <c r="E29" s="11"/>
    </row>
    <row r="30" spans="1:5" ht="12.75" customHeight="1">
      <c r="A30" s="4" t="s">
        <v>1105</v>
      </c>
      <c r="B30" s="12"/>
      <c r="C30" s="12"/>
      <c r="D30" s="12"/>
      <c r="E30" s="12"/>
    </row>
    <row r="31" spans="1:5" ht="25.5" customHeight="1">
      <c r="A31" s="3" t="s">
        <v>1106</v>
      </c>
      <c r="B31" s="11"/>
      <c r="C31" s="11"/>
      <c r="D31" s="11"/>
      <c r="E31" s="11"/>
    </row>
    <row r="32" spans="1:5" ht="25.5" customHeight="1">
      <c r="A32" s="4" t="s">
        <v>1107</v>
      </c>
      <c r="B32" s="12">
        <v>663280.56999999995</v>
      </c>
      <c r="C32" s="12"/>
      <c r="D32" s="12"/>
      <c r="E32" s="12"/>
    </row>
    <row r="33" spans="1:5" ht="25.5" customHeight="1">
      <c r="A33" s="3" t="s">
        <v>1108</v>
      </c>
      <c r="B33" s="11">
        <f>+'DCA-Anexo I-C'!B34+'DCA-Anexo I-C'!B35+'DCA-Anexo I-C'!B36</f>
        <v>2414848.63</v>
      </c>
      <c r="C33" s="11">
        <f>+'DCA-Anexo I-C'!C34+'DCA-Anexo I-C'!C35+'DCA-Anexo I-C'!C36</f>
        <v>0</v>
      </c>
      <c r="D33" s="11">
        <f>+'DCA-Anexo I-C'!D34+'DCA-Anexo I-C'!D35+'DCA-Anexo I-C'!D36</f>
        <v>0</v>
      </c>
      <c r="E33" s="11">
        <f>+'DCA-Anexo I-C'!E34+'DCA-Anexo I-C'!E35+'DCA-Anexo I-C'!E36</f>
        <v>0</v>
      </c>
    </row>
    <row r="34" spans="1:5" ht="12.75" customHeight="1">
      <c r="A34" s="4" t="s">
        <v>1109</v>
      </c>
      <c r="B34" s="12"/>
      <c r="C34" s="12"/>
      <c r="D34" s="12"/>
      <c r="E34" s="12"/>
    </row>
    <row r="35" spans="1:5" ht="25.5" customHeight="1">
      <c r="A35" s="3" t="s">
        <v>1110</v>
      </c>
      <c r="B35" s="11"/>
      <c r="C35" s="11"/>
      <c r="D35" s="11"/>
      <c r="E35" s="11"/>
    </row>
    <row r="36" spans="1:5" ht="12.75" customHeight="1">
      <c r="A36" s="4" t="s">
        <v>1111</v>
      </c>
      <c r="B36" s="12">
        <f>+'DCA-Anexo I-C'!B37+'DCA-Anexo I-C'!B38+'DCA-Anexo I-C'!B39+'DCA-Anexo I-C'!B40</f>
        <v>2414848.63</v>
      </c>
      <c r="C36" s="12">
        <f>+'DCA-Anexo I-C'!C37+'DCA-Anexo I-C'!C38+'DCA-Anexo I-C'!C39+'DCA-Anexo I-C'!C40</f>
        <v>0</v>
      </c>
      <c r="D36" s="12">
        <f>+'DCA-Anexo I-C'!D37+'DCA-Anexo I-C'!D38+'DCA-Anexo I-C'!D39+'DCA-Anexo I-C'!D40</f>
        <v>0</v>
      </c>
      <c r="E36" s="12">
        <f>+'DCA-Anexo I-C'!E37+'DCA-Anexo I-C'!E38+'DCA-Anexo I-C'!E39+'DCA-Anexo I-C'!E40</f>
        <v>0</v>
      </c>
    </row>
    <row r="37" spans="1:5" ht="12.75" customHeight="1">
      <c r="A37" s="3" t="s">
        <v>1112</v>
      </c>
      <c r="B37" s="11">
        <v>581523.18000000005</v>
      </c>
      <c r="C37" s="11"/>
      <c r="D37" s="11"/>
      <c r="E37" s="11"/>
    </row>
    <row r="38" spans="1:5" ht="12.75" customHeight="1">
      <c r="A38" s="4" t="s">
        <v>1113</v>
      </c>
      <c r="B38" s="12"/>
      <c r="C38" s="12"/>
      <c r="D38" s="12"/>
      <c r="E38" s="12"/>
    </row>
    <row r="39" spans="1:5" ht="25.5" customHeight="1">
      <c r="A39" s="3" t="s">
        <v>1114</v>
      </c>
      <c r="B39" s="11"/>
      <c r="C39" s="11"/>
      <c r="D39" s="11"/>
      <c r="E39" s="11"/>
    </row>
    <row r="40" spans="1:5" ht="25.5" customHeight="1">
      <c r="A40" s="4" t="s">
        <v>1115</v>
      </c>
      <c r="B40" s="12">
        <v>1833325.45</v>
      </c>
      <c r="C40" s="12"/>
      <c r="D40" s="12"/>
      <c r="E40" s="12"/>
    </row>
    <row r="41" spans="1:5" ht="25.5" customHeight="1">
      <c r="A41" s="3" t="s">
        <v>1116</v>
      </c>
      <c r="B41" s="11">
        <f>+'DCA-Anexo I-C'!B42+'DCA-Anexo I-C'!B48+'DCA-Anexo I-C'!B51+'DCA-Anexo I-C'!B54</f>
        <v>6189337.7699999996</v>
      </c>
      <c r="C41" s="11">
        <f>+'DCA-Anexo I-C'!C42+'DCA-Anexo I-C'!C48+'DCA-Anexo I-C'!C51+'DCA-Anexo I-C'!C54</f>
        <v>0</v>
      </c>
      <c r="D41" s="11">
        <f>+'DCA-Anexo I-C'!D42+'DCA-Anexo I-C'!D48+'DCA-Anexo I-C'!D51+'DCA-Anexo I-C'!D54</f>
        <v>0</v>
      </c>
      <c r="E41" s="11">
        <f>+'DCA-Anexo I-C'!E42+'DCA-Anexo I-C'!E48+'DCA-Anexo I-C'!E51+'DCA-Anexo I-C'!E54</f>
        <v>0</v>
      </c>
    </row>
    <row r="42" spans="1:5" ht="12.75" customHeight="1">
      <c r="A42" s="4" t="s">
        <v>1117</v>
      </c>
      <c r="B42" s="12">
        <f>+'DCA-Anexo I-C'!B43+'DCA-Anexo I-C'!B44+'DCA-Anexo I-C'!B45+'DCA-Anexo I-C'!B46+'DCA-Anexo I-C'!B47</f>
        <v>0</v>
      </c>
      <c r="C42" s="12">
        <f>+'DCA-Anexo I-C'!C43+'DCA-Anexo I-C'!C44+'DCA-Anexo I-C'!C45+'DCA-Anexo I-C'!C46+'DCA-Anexo I-C'!C47</f>
        <v>0</v>
      </c>
      <c r="D42" s="12">
        <f>+'DCA-Anexo I-C'!D43+'DCA-Anexo I-C'!D44+'DCA-Anexo I-C'!D45+'DCA-Anexo I-C'!D46+'DCA-Anexo I-C'!D47</f>
        <v>0</v>
      </c>
      <c r="E42" s="12">
        <f>+'DCA-Anexo I-C'!E43+'DCA-Anexo I-C'!E44+'DCA-Anexo I-C'!E45+'DCA-Anexo I-C'!E46+'DCA-Anexo I-C'!E47</f>
        <v>0</v>
      </c>
    </row>
    <row r="43" spans="1:5" ht="12.75" customHeight="1">
      <c r="A43" s="3" t="s">
        <v>1118</v>
      </c>
      <c r="B43" s="11"/>
      <c r="C43" s="11"/>
      <c r="D43" s="11"/>
      <c r="E43" s="11"/>
    </row>
    <row r="44" spans="1:5" ht="25.5" customHeight="1">
      <c r="A44" s="4" t="s">
        <v>1119</v>
      </c>
      <c r="B44" s="12"/>
      <c r="C44" s="12"/>
      <c r="D44" s="12"/>
      <c r="E44" s="12"/>
    </row>
    <row r="45" spans="1:5" ht="25.5" customHeight="1">
      <c r="A45" s="3" t="s">
        <v>1120</v>
      </c>
      <c r="B45" s="11"/>
      <c r="C45" s="11"/>
      <c r="D45" s="11"/>
      <c r="E45" s="11"/>
    </row>
    <row r="46" spans="1:5" ht="25.5" customHeight="1">
      <c r="A46" s="4" t="s">
        <v>1121</v>
      </c>
      <c r="B46" s="12"/>
      <c r="C46" s="12"/>
      <c r="D46" s="12"/>
      <c r="E46" s="12"/>
    </row>
    <row r="47" spans="1:5" ht="25.5" customHeight="1">
      <c r="A47" s="3" t="s">
        <v>1122</v>
      </c>
      <c r="B47" s="11"/>
      <c r="C47" s="11"/>
      <c r="D47" s="11"/>
      <c r="E47" s="11"/>
    </row>
    <row r="48" spans="1:5" ht="25.5" customHeight="1">
      <c r="A48" s="4" t="s">
        <v>1123</v>
      </c>
      <c r="B48" s="12">
        <f>+'DCA-Anexo I-C'!B49+'DCA-Anexo I-C'!B50</f>
        <v>0</v>
      </c>
      <c r="C48" s="12">
        <f>+'DCA-Anexo I-C'!C49+'DCA-Anexo I-C'!C50</f>
        <v>0</v>
      </c>
      <c r="D48" s="12">
        <f>+'DCA-Anexo I-C'!D49+'DCA-Anexo I-C'!D50</f>
        <v>0</v>
      </c>
      <c r="E48" s="12">
        <f>+'DCA-Anexo I-C'!E49+'DCA-Anexo I-C'!E50</f>
        <v>0</v>
      </c>
    </row>
    <row r="49" spans="1:5" ht="38.25" customHeight="1">
      <c r="A49" s="3" t="s">
        <v>1124</v>
      </c>
      <c r="B49" s="11"/>
      <c r="C49" s="11"/>
      <c r="D49" s="11"/>
      <c r="E49" s="11"/>
    </row>
    <row r="50" spans="1:5" ht="12.75" customHeight="1">
      <c r="A50" s="4" t="s">
        <v>1125</v>
      </c>
      <c r="B50" s="12"/>
      <c r="C50" s="12"/>
      <c r="D50" s="12"/>
      <c r="E50" s="12"/>
    </row>
    <row r="51" spans="1:5" ht="12.75" customHeight="1">
      <c r="A51" s="3" t="s">
        <v>1126</v>
      </c>
      <c r="B51" s="11">
        <f>+'DCA-Anexo I-C'!B52+'DCA-Anexo I-C'!B53</f>
        <v>6189337.7699999996</v>
      </c>
      <c r="C51" s="11">
        <f>+'DCA-Anexo I-C'!C52+'DCA-Anexo I-C'!C53</f>
        <v>0</v>
      </c>
      <c r="D51" s="11">
        <f>+'DCA-Anexo I-C'!D52+'DCA-Anexo I-C'!D53</f>
        <v>0</v>
      </c>
      <c r="E51" s="11">
        <f>+'DCA-Anexo I-C'!E52+'DCA-Anexo I-C'!E53</f>
        <v>0</v>
      </c>
    </row>
    <row r="52" spans="1:5" ht="12.75" customHeight="1">
      <c r="A52" s="4" t="s">
        <v>1127</v>
      </c>
      <c r="B52" s="12">
        <v>6189337.7699999996</v>
      </c>
      <c r="C52" s="12"/>
      <c r="D52" s="12"/>
      <c r="E52" s="12"/>
    </row>
    <row r="53" spans="1:5" ht="12.75" customHeight="1">
      <c r="A53" s="3" t="s">
        <v>1128</v>
      </c>
      <c r="B53" s="11"/>
      <c r="C53" s="11"/>
      <c r="D53" s="11"/>
      <c r="E53" s="11"/>
    </row>
    <row r="54" spans="1:5" ht="25.5" customHeight="1">
      <c r="A54" s="4" t="s">
        <v>1129</v>
      </c>
      <c r="B54" s="12"/>
      <c r="C54" s="12"/>
      <c r="D54" s="12"/>
      <c r="E54" s="12"/>
    </row>
    <row r="55" spans="1:5" ht="25.5" customHeight="1">
      <c r="A55" s="3" t="s">
        <v>1130</v>
      </c>
      <c r="B55" s="11">
        <f>+'DCA-Anexo I-C'!B56+'DCA-Anexo I-C'!B57</f>
        <v>0</v>
      </c>
      <c r="C55" s="11">
        <f>+'DCA-Anexo I-C'!C56+'DCA-Anexo I-C'!C57</f>
        <v>0</v>
      </c>
      <c r="D55" s="11">
        <f>+'DCA-Anexo I-C'!D56+'DCA-Anexo I-C'!D57</f>
        <v>0</v>
      </c>
      <c r="E55" s="11">
        <f>+'DCA-Anexo I-C'!E56+'DCA-Anexo I-C'!E57</f>
        <v>0</v>
      </c>
    </row>
    <row r="56" spans="1:5" ht="25.5" customHeight="1">
      <c r="A56" s="4" t="s">
        <v>1131</v>
      </c>
      <c r="B56" s="12"/>
      <c r="C56" s="12"/>
      <c r="D56" s="12"/>
      <c r="E56" s="12"/>
    </row>
    <row r="57" spans="1:5" ht="25.5" customHeight="1">
      <c r="A57" s="3" t="s">
        <v>1132</v>
      </c>
      <c r="B57" s="11"/>
      <c r="C57" s="11"/>
      <c r="D57" s="11"/>
      <c r="E57" s="11"/>
    </row>
    <row r="58" spans="1:5" ht="12.75" customHeight="1">
      <c r="A58" s="4" t="s">
        <v>1133</v>
      </c>
      <c r="B58" s="12"/>
      <c r="C58" s="12"/>
      <c r="D58" s="12"/>
      <c r="E58" s="12"/>
    </row>
    <row r="59" spans="1:5" ht="12.75" customHeight="1">
      <c r="A59" s="3" t="s">
        <v>1134</v>
      </c>
      <c r="B59" s="11">
        <f>+'DCA-Anexo I-C'!B60+'DCA-Anexo I-C'!B76</f>
        <v>190491.56</v>
      </c>
      <c r="C59" s="11">
        <f>+'DCA-Anexo I-C'!C60+'DCA-Anexo I-C'!C76</f>
        <v>0</v>
      </c>
      <c r="D59" s="11">
        <f>+'DCA-Anexo I-C'!D60+'DCA-Anexo I-C'!D76</f>
        <v>0</v>
      </c>
      <c r="E59" s="11">
        <f>+'DCA-Anexo I-C'!E60+'DCA-Anexo I-C'!E76</f>
        <v>0</v>
      </c>
    </row>
    <row r="60" spans="1:5" ht="12.75" customHeight="1">
      <c r="A60" s="4" t="s">
        <v>1135</v>
      </c>
      <c r="B60" s="12">
        <f>+'DCA-Anexo I-C'!B61+'DCA-Anexo I-C'!B62+'DCA-Anexo I-C'!B67+'DCA-Anexo I-C'!B68+'DCA-Anexo I-C'!B69+'DCA-Anexo I-C'!B70+'DCA-Anexo I-C'!B71+'DCA-Anexo I-C'!B72+'DCA-Anexo I-C'!B73+'DCA-Anexo I-C'!B74+'DCA-Anexo I-C'!B75</f>
        <v>189091.26</v>
      </c>
      <c r="C60" s="12">
        <f>+'DCA-Anexo I-C'!C61+'DCA-Anexo I-C'!C62+'DCA-Anexo I-C'!C67+'DCA-Anexo I-C'!C68+'DCA-Anexo I-C'!C69+'DCA-Anexo I-C'!C70+'DCA-Anexo I-C'!C71+'DCA-Anexo I-C'!C72+'DCA-Anexo I-C'!C73+'DCA-Anexo I-C'!C74+'DCA-Anexo I-C'!C75</f>
        <v>0</v>
      </c>
      <c r="D60" s="12">
        <f>+'DCA-Anexo I-C'!D61+'DCA-Anexo I-C'!D62+'DCA-Anexo I-C'!D67+'DCA-Anexo I-C'!D68+'DCA-Anexo I-C'!D69+'DCA-Anexo I-C'!D70+'DCA-Anexo I-C'!D71+'DCA-Anexo I-C'!D72+'DCA-Anexo I-C'!D73+'DCA-Anexo I-C'!D74+'DCA-Anexo I-C'!D75</f>
        <v>0</v>
      </c>
      <c r="E60" s="12">
        <f>+'DCA-Anexo I-C'!E61+'DCA-Anexo I-C'!E62+'DCA-Anexo I-C'!E67+'DCA-Anexo I-C'!E68+'DCA-Anexo I-C'!E69+'DCA-Anexo I-C'!E70+'DCA-Anexo I-C'!E71+'DCA-Anexo I-C'!E72+'DCA-Anexo I-C'!E73+'DCA-Anexo I-C'!E74+'DCA-Anexo I-C'!E75</f>
        <v>0</v>
      </c>
    </row>
    <row r="61" spans="1:5" ht="12.75" customHeight="1">
      <c r="A61" s="3" t="s">
        <v>1136</v>
      </c>
      <c r="B61" s="11">
        <v>150479.10999999999</v>
      </c>
      <c r="C61" s="11"/>
      <c r="D61" s="11"/>
      <c r="E61" s="11"/>
    </row>
    <row r="62" spans="1:5" ht="12.75" customHeight="1">
      <c r="A62" s="4" t="s">
        <v>1137</v>
      </c>
      <c r="B62" s="12">
        <f>+'DCA-Anexo I-C'!B63+'DCA-Anexo I-C'!B64+'DCA-Anexo I-C'!B65+'DCA-Anexo I-C'!B66</f>
        <v>0</v>
      </c>
      <c r="C62" s="12">
        <f>+'DCA-Anexo I-C'!C63+'DCA-Anexo I-C'!C64+'DCA-Anexo I-C'!C65+'DCA-Anexo I-C'!C66</f>
        <v>0</v>
      </c>
      <c r="D62" s="12">
        <f>+'DCA-Anexo I-C'!D63+'DCA-Anexo I-C'!D64+'DCA-Anexo I-C'!D65+'DCA-Anexo I-C'!D66</f>
        <v>0</v>
      </c>
      <c r="E62" s="12">
        <f>+'DCA-Anexo I-C'!E63+'DCA-Anexo I-C'!E64+'DCA-Anexo I-C'!E65+'DCA-Anexo I-C'!E66</f>
        <v>0</v>
      </c>
    </row>
    <row r="63" spans="1:5" ht="25.5" customHeight="1">
      <c r="A63" s="3" t="s">
        <v>1138</v>
      </c>
      <c r="B63" s="11"/>
      <c r="C63" s="11"/>
      <c r="D63" s="11"/>
      <c r="E63" s="11"/>
    </row>
    <row r="64" spans="1:5" ht="25.5" customHeight="1">
      <c r="A64" s="4" t="s">
        <v>1139</v>
      </c>
      <c r="B64" s="12"/>
      <c r="C64" s="12"/>
      <c r="D64" s="12"/>
      <c r="E64" s="12"/>
    </row>
    <row r="65" spans="1:5" ht="25.5" customHeight="1">
      <c r="A65" s="3" t="s">
        <v>1140</v>
      </c>
      <c r="B65" s="11"/>
      <c r="C65" s="11"/>
      <c r="D65" s="11"/>
      <c r="E65" s="11"/>
    </row>
    <row r="66" spans="1:5" ht="25.5" customHeight="1">
      <c r="A66" s="4" t="s">
        <v>1141</v>
      </c>
      <c r="B66" s="12"/>
      <c r="C66" s="12"/>
      <c r="D66" s="12"/>
      <c r="E66" s="12"/>
    </row>
    <row r="67" spans="1:5" ht="12.75" customHeight="1">
      <c r="A67" s="3" t="s">
        <v>1142</v>
      </c>
      <c r="B67" s="11"/>
      <c r="C67" s="11"/>
      <c r="D67" s="11"/>
      <c r="E67" s="11"/>
    </row>
    <row r="68" spans="1:5" ht="12.75" customHeight="1">
      <c r="A68" s="4" t="s">
        <v>1143</v>
      </c>
      <c r="B68" s="12">
        <v>19673.64</v>
      </c>
      <c r="C68" s="12"/>
      <c r="D68" s="12"/>
      <c r="E68" s="12"/>
    </row>
    <row r="69" spans="1:5" ht="25.5" customHeight="1">
      <c r="A69" s="3" t="s">
        <v>1144</v>
      </c>
      <c r="B69" s="11"/>
      <c r="C69" s="11"/>
      <c r="D69" s="11"/>
      <c r="E69" s="11"/>
    </row>
    <row r="70" spans="1:5" ht="25.5" customHeight="1">
      <c r="A70" s="4" t="s">
        <v>1145</v>
      </c>
      <c r="B70" s="12"/>
      <c r="C70" s="12"/>
      <c r="D70" s="12"/>
      <c r="E70" s="12"/>
    </row>
    <row r="71" spans="1:5" ht="12.75" customHeight="1">
      <c r="A71" s="3" t="s">
        <v>1146</v>
      </c>
      <c r="B71" s="11"/>
      <c r="C71" s="11"/>
      <c r="D71" s="11"/>
      <c r="E71" s="11"/>
    </row>
    <row r="72" spans="1:5" ht="25.5" customHeight="1">
      <c r="A72" s="4" t="s">
        <v>1147</v>
      </c>
      <c r="B72" s="12"/>
      <c r="C72" s="12"/>
      <c r="D72" s="12"/>
      <c r="E72" s="12"/>
    </row>
    <row r="73" spans="1:5" ht="25.5" customHeight="1">
      <c r="A73" s="3" t="s">
        <v>1148</v>
      </c>
      <c r="B73" s="11"/>
      <c r="C73" s="11"/>
      <c r="D73" s="11"/>
      <c r="E73" s="11"/>
    </row>
    <row r="74" spans="1:5" ht="12.75" customHeight="1">
      <c r="A74" s="4" t="s">
        <v>1149</v>
      </c>
      <c r="B74" s="12">
        <v>18938.509999999998</v>
      </c>
      <c r="C74" s="12"/>
      <c r="D74" s="12"/>
      <c r="E74" s="12"/>
    </row>
    <row r="75" spans="1:5" ht="12.75" customHeight="1">
      <c r="A75" s="3" t="s">
        <v>1150</v>
      </c>
      <c r="B75" s="11"/>
      <c r="C75" s="11"/>
      <c r="D75" s="11"/>
      <c r="E75" s="11"/>
    </row>
    <row r="76" spans="1:5" ht="12.75" customHeight="1">
      <c r="A76" s="4" t="s">
        <v>1151</v>
      </c>
      <c r="B76" s="12">
        <f>+'DCA-Anexo I-C'!B77+'DCA-Anexo I-C'!B78+'DCA-Anexo I-C'!B79+'DCA-Anexo I-C'!B80+'DCA-Anexo I-C'!B81+'DCA-Anexo I-C'!B82</f>
        <v>1400.3</v>
      </c>
      <c r="C76" s="12">
        <f>+'DCA-Anexo I-C'!C77+'DCA-Anexo I-C'!C78+'DCA-Anexo I-C'!C79+'DCA-Anexo I-C'!C80+'DCA-Anexo I-C'!C81+'DCA-Anexo I-C'!C82</f>
        <v>0</v>
      </c>
      <c r="D76" s="12">
        <f>+'DCA-Anexo I-C'!D77+'DCA-Anexo I-C'!D78+'DCA-Anexo I-C'!D79+'DCA-Anexo I-C'!D80+'DCA-Anexo I-C'!D81+'DCA-Anexo I-C'!D82</f>
        <v>0</v>
      </c>
      <c r="E76" s="12">
        <f>+'DCA-Anexo I-C'!E77+'DCA-Anexo I-C'!E78+'DCA-Anexo I-C'!E79+'DCA-Anexo I-C'!E80+'DCA-Anexo I-C'!E81+'DCA-Anexo I-C'!E82</f>
        <v>0</v>
      </c>
    </row>
    <row r="77" spans="1:5" ht="12.75" customHeight="1">
      <c r="A77" s="3" t="s">
        <v>1152</v>
      </c>
      <c r="B77" s="11">
        <v>1400.3</v>
      </c>
      <c r="C77" s="11"/>
      <c r="D77" s="11"/>
      <c r="E77" s="11"/>
    </row>
    <row r="78" spans="1:5" ht="12.75" customHeight="1">
      <c r="A78" s="4" t="s">
        <v>1153</v>
      </c>
      <c r="B78" s="12"/>
      <c r="C78" s="12"/>
      <c r="D78" s="12"/>
      <c r="E78" s="12"/>
    </row>
    <row r="79" spans="1:5" ht="12.75" customHeight="1">
      <c r="A79" s="3" t="s">
        <v>1154</v>
      </c>
      <c r="B79" s="11"/>
      <c r="C79" s="11"/>
      <c r="D79" s="11"/>
      <c r="E79" s="11"/>
    </row>
    <row r="80" spans="1:5" ht="12.75" customHeight="1">
      <c r="A80" s="4" t="s">
        <v>1155</v>
      </c>
      <c r="B80" s="12"/>
      <c r="C80" s="12"/>
      <c r="D80" s="12"/>
      <c r="E80" s="12"/>
    </row>
    <row r="81" spans="1:5" ht="12.75" customHeight="1">
      <c r="A81" s="3" t="s">
        <v>1156</v>
      </c>
      <c r="B81" s="11"/>
      <c r="C81" s="11"/>
      <c r="D81" s="11"/>
      <c r="E81" s="11"/>
    </row>
    <row r="82" spans="1:5" ht="25.5" customHeight="1">
      <c r="A82" s="4" t="s">
        <v>1157</v>
      </c>
      <c r="B82" s="12"/>
      <c r="C82" s="12"/>
      <c r="D82" s="12"/>
      <c r="E82" s="12"/>
    </row>
    <row r="83" spans="1:5" ht="12.75" customHeight="1">
      <c r="A83" s="3" t="s">
        <v>1158</v>
      </c>
      <c r="B83" s="11">
        <f>+'DCA-Anexo I-C'!B84</f>
        <v>0</v>
      </c>
      <c r="C83" s="11">
        <f>+'DCA-Anexo I-C'!C84</f>
        <v>0</v>
      </c>
      <c r="D83" s="11">
        <f>+'DCA-Anexo I-C'!D84</f>
        <v>0</v>
      </c>
      <c r="E83" s="11">
        <f>+'DCA-Anexo I-C'!E84</f>
        <v>0</v>
      </c>
    </row>
    <row r="84" spans="1:5" ht="12.75" customHeight="1">
      <c r="A84" s="4" t="s">
        <v>1159</v>
      </c>
      <c r="B84" s="12">
        <f>+'DCA-Anexo I-C'!B85+'DCA-Anexo I-C'!B86+'DCA-Anexo I-C'!B87+'DCA-Anexo I-C'!B88+'DCA-Anexo I-C'!B89</f>
        <v>0</v>
      </c>
      <c r="C84" s="12">
        <f>+'DCA-Anexo I-C'!C85+'DCA-Anexo I-C'!C86+'DCA-Anexo I-C'!C87+'DCA-Anexo I-C'!C88+'DCA-Anexo I-C'!C89</f>
        <v>0</v>
      </c>
      <c r="D84" s="12">
        <f>+'DCA-Anexo I-C'!D85+'DCA-Anexo I-C'!D86+'DCA-Anexo I-C'!D87+'DCA-Anexo I-C'!D88+'DCA-Anexo I-C'!D89</f>
        <v>0</v>
      </c>
      <c r="E84" s="12">
        <f>+'DCA-Anexo I-C'!E85+'DCA-Anexo I-C'!E86+'DCA-Anexo I-C'!E87+'DCA-Anexo I-C'!E88+'DCA-Anexo I-C'!E89</f>
        <v>0</v>
      </c>
    </row>
    <row r="85" spans="1:5" ht="25.5" customHeight="1">
      <c r="A85" s="3" t="s">
        <v>1160</v>
      </c>
      <c r="B85" s="11"/>
      <c r="C85" s="11"/>
      <c r="D85" s="11"/>
      <c r="E85" s="11"/>
    </row>
    <row r="86" spans="1:5" ht="25.5" customHeight="1">
      <c r="A86" s="4" t="s">
        <v>1161</v>
      </c>
      <c r="B86" s="12"/>
      <c r="C86" s="12"/>
      <c r="D86" s="12"/>
      <c r="E86" s="12"/>
    </row>
    <row r="87" spans="1:5" ht="25.5" customHeight="1">
      <c r="A87" s="3" t="s">
        <v>1162</v>
      </c>
      <c r="B87" s="11"/>
      <c r="C87" s="11"/>
      <c r="D87" s="11"/>
      <c r="E87" s="11"/>
    </row>
    <row r="88" spans="1:5" ht="25.5" customHeight="1">
      <c r="A88" s="4" t="s">
        <v>1163</v>
      </c>
      <c r="B88" s="12"/>
      <c r="C88" s="12"/>
      <c r="D88" s="12"/>
      <c r="E88" s="12"/>
    </row>
    <row r="89" spans="1:5" ht="12.75" customHeight="1">
      <c r="A89" s="3" t="s">
        <v>1164</v>
      </c>
      <c r="B89" s="11"/>
      <c r="C89" s="11"/>
      <c r="D89" s="11"/>
      <c r="E89" s="11"/>
    </row>
    <row r="90" spans="1:5" ht="12.75" customHeight="1">
      <c r="A90" s="4" t="s">
        <v>1165</v>
      </c>
      <c r="B90" s="12">
        <f>+'DCA-Anexo I-C'!B91+'DCA-Anexo I-C'!B228+'DCA-Anexo I-C'!B251+'DCA-Anexo I-C'!B252</f>
        <v>0</v>
      </c>
      <c r="C90" s="12">
        <f>+'DCA-Anexo I-C'!C91+'DCA-Anexo I-C'!C228+'DCA-Anexo I-C'!C251+'DCA-Anexo I-C'!C252</f>
        <v>0</v>
      </c>
      <c r="D90" s="12">
        <f>+'DCA-Anexo I-C'!D91+'DCA-Anexo I-C'!D228+'DCA-Anexo I-C'!D251+'DCA-Anexo I-C'!D252</f>
        <v>0</v>
      </c>
      <c r="E90" s="12">
        <f>+'DCA-Anexo I-C'!E91+'DCA-Anexo I-C'!E228+'DCA-Anexo I-C'!E251+'DCA-Anexo I-C'!E252</f>
        <v>0</v>
      </c>
    </row>
    <row r="91" spans="1:5" ht="12.75" customHeight="1">
      <c r="A91" s="3" t="s">
        <v>1166</v>
      </c>
      <c r="B91" s="11">
        <f>+'DCA-Anexo I-C'!B92+'DCA-Anexo I-C'!B96+'DCA-Anexo I-C'!B100+'DCA-Anexo I-C'!B104+'DCA-Anexo I-C'!B108+'DCA-Anexo I-C'!B156+'DCA-Anexo I-C'!B172+'DCA-Anexo I-C'!B194</f>
        <v>0</v>
      </c>
      <c r="C91" s="11">
        <f>+'DCA-Anexo I-C'!C92+'DCA-Anexo I-C'!C96+'DCA-Anexo I-C'!C100+'DCA-Anexo I-C'!C104+'DCA-Anexo I-C'!C108+'DCA-Anexo I-C'!C156+'DCA-Anexo I-C'!C172+'DCA-Anexo I-C'!C194</f>
        <v>0</v>
      </c>
      <c r="D91" s="11">
        <f>+'DCA-Anexo I-C'!D92+'DCA-Anexo I-C'!D96+'DCA-Anexo I-C'!D100+'DCA-Anexo I-C'!D104+'DCA-Anexo I-C'!D108+'DCA-Anexo I-C'!D156+'DCA-Anexo I-C'!D172+'DCA-Anexo I-C'!D194</f>
        <v>0</v>
      </c>
      <c r="E91" s="11">
        <f>+'DCA-Anexo I-C'!E92+'DCA-Anexo I-C'!E96+'DCA-Anexo I-C'!E100+'DCA-Anexo I-C'!E104+'DCA-Anexo I-C'!E108+'DCA-Anexo I-C'!E156+'DCA-Anexo I-C'!E172+'DCA-Anexo I-C'!E194</f>
        <v>0</v>
      </c>
    </row>
    <row r="92" spans="1:5" ht="25.5" customHeight="1">
      <c r="A92" s="4" t="s">
        <v>1167</v>
      </c>
      <c r="B92" s="12">
        <f>+'DCA-Anexo I-C'!B93+'DCA-Anexo I-C'!B94+'DCA-Anexo I-C'!B95</f>
        <v>0</v>
      </c>
      <c r="C92" s="12">
        <f>+'DCA-Anexo I-C'!C93+'DCA-Anexo I-C'!C94+'DCA-Anexo I-C'!C95</f>
        <v>0</v>
      </c>
      <c r="D92" s="12">
        <f>+'DCA-Anexo I-C'!D93+'DCA-Anexo I-C'!D94+'DCA-Anexo I-C'!D95</f>
        <v>0</v>
      </c>
      <c r="E92" s="12">
        <f>+'DCA-Anexo I-C'!E93+'DCA-Anexo I-C'!E94+'DCA-Anexo I-C'!E95</f>
        <v>0</v>
      </c>
    </row>
    <row r="93" spans="1:5" ht="38.25" customHeight="1">
      <c r="A93" s="3" t="s">
        <v>1168</v>
      </c>
      <c r="B93" s="11"/>
      <c r="C93" s="11"/>
      <c r="D93" s="11"/>
      <c r="E93" s="11"/>
    </row>
    <row r="94" spans="1:5" ht="25.5" customHeight="1">
      <c r="A94" s="4" t="s">
        <v>1169</v>
      </c>
      <c r="B94" s="12"/>
      <c r="C94" s="12"/>
      <c r="D94" s="12"/>
      <c r="E94" s="12"/>
    </row>
    <row r="95" spans="1:5" ht="25.5" customHeight="1">
      <c r="A95" s="3" t="s">
        <v>1170</v>
      </c>
      <c r="B95" s="11"/>
      <c r="C95" s="11"/>
      <c r="D95" s="11"/>
      <c r="E95" s="11"/>
    </row>
    <row r="96" spans="1:5" ht="25.5" customHeight="1">
      <c r="A96" s="4" t="s">
        <v>1171</v>
      </c>
      <c r="B96" s="12">
        <f>+'DCA-Anexo I-C'!B97+'DCA-Anexo I-C'!B98+'DCA-Anexo I-C'!B99</f>
        <v>0</v>
      </c>
      <c r="C96" s="12">
        <f>+'DCA-Anexo I-C'!C97+'DCA-Anexo I-C'!C98+'DCA-Anexo I-C'!C99</f>
        <v>0</v>
      </c>
      <c r="D96" s="12">
        <f>+'DCA-Anexo I-C'!D97+'DCA-Anexo I-C'!D98+'DCA-Anexo I-C'!D99</f>
        <v>0</v>
      </c>
      <c r="E96" s="12">
        <f>+'DCA-Anexo I-C'!E97+'DCA-Anexo I-C'!E98+'DCA-Anexo I-C'!E99</f>
        <v>0</v>
      </c>
    </row>
    <row r="97" spans="1:5" ht="25.5" customHeight="1">
      <c r="A97" s="3" t="s">
        <v>1172</v>
      </c>
      <c r="B97" s="11"/>
      <c r="C97" s="11"/>
      <c r="D97" s="11"/>
      <c r="E97" s="11"/>
    </row>
    <row r="98" spans="1:5" ht="25.5" customHeight="1">
      <c r="A98" s="4" t="s">
        <v>1173</v>
      </c>
      <c r="B98" s="12"/>
      <c r="C98" s="12"/>
      <c r="D98" s="12"/>
      <c r="E98" s="12"/>
    </row>
    <row r="99" spans="1:5" ht="12.75" customHeight="1">
      <c r="A99" s="3" t="s">
        <v>1174</v>
      </c>
      <c r="B99" s="11"/>
      <c r="C99" s="11"/>
      <c r="D99" s="11"/>
      <c r="E99" s="11"/>
    </row>
    <row r="100" spans="1:5" ht="12.75" customHeight="1">
      <c r="A100" s="4" t="s">
        <v>1175</v>
      </c>
      <c r="B100" s="12">
        <f>+'DCA-Anexo I-C'!B101+'DCA-Anexo I-C'!B102+'DCA-Anexo I-C'!B103</f>
        <v>0</v>
      </c>
      <c r="C100" s="12">
        <f>+'DCA-Anexo I-C'!C101+'DCA-Anexo I-C'!C102+'DCA-Anexo I-C'!C103</f>
        <v>0</v>
      </c>
      <c r="D100" s="12">
        <f>+'DCA-Anexo I-C'!D101+'DCA-Anexo I-C'!D102+'DCA-Anexo I-C'!D103</f>
        <v>0</v>
      </c>
      <c r="E100" s="12">
        <f>+'DCA-Anexo I-C'!E101+'DCA-Anexo I-C'!E102+'DCA-Anexo I-C'!E103</f>
        <v>0</v>
      </c>
    </row>
    <row r="101" spans="1:5" ht="25.5" customHeight="1">
      <c r="A101" s="3" t="s">
        <v>1176</v>
      </c>
      <c r="B101" s="11"/>
      <c r="C101" s="11"/>
      <c r="D101" s="11"/>
      <c r="E101" s="11"/>
    </row>
    <row r="102" spans="1:5" ht="25.5" customHeight="1">
      <c r="A102" s="4" t="s">
        <v>1177</v>
      </c>
      <c r="B102" s="12"/>
      <c r="C102" s="12"/>
      <c r="D102" s="12"/>
      <c r="E102" s="12"/>
    </row>
    <row r="103" spans="1:5" ht="25.5" customHeight="1">
      <c r="A103" s="3" t="s">
        <v>1178</v>
      </c>
      <c r="B103" s="11"/>
      <c r="C103" s="11"/>
      <c r="D103" s="11"/>
      <c r="E103" s="11"/>
    </row>
    <row r="104" spans="1:5" ht="25.5" customHeight="1">
      <c r="A104" s="4" t="s">
        <v>1179</v>
      </c>
      <c r="B104" s="12">
        <f>+'DCA-Anexo I-C'!B105+'DCA-Anexo I-C'!B106+'DCA-Anexo I-C'!B107</f>
        <v>0</v>
      </c>
      <c r="C104" s="12">
        <f>+'DCA-Anexo I-C'!C105+'DCA-Anexo I-C'!C106+'DCA-Anexo I-C'!C107</f>
        <v>0</v>
      </c>
      <c r="D104" s="12">
        <f>+'DCA-Anexo I-C'!D105+'DCA-Anexo I-C'!D106+'DCA-Anexo I-C'!D107</f>
        <v>0</v>
      </c>
      <c r="E104" s="12">
        <f>+'DCA-Anexo I-C'!E105+'DCA-Anexo I-C'!E106+'DCA-Anexo I-C'!E107</f>
        <v>0</v>
      </c>
    </row>
    <row r="105" spans="1:5" ht="25.5" customHeight="1">
      <c r="A105" s="3" t="s">
        <v>1180</v>
      </c>
      <c r="B105" s="11"/>
      <c r="C105" s="11"/>
      <c r="D105" s="11"/>
      <c r="E105" s="11"/>
    </row>
    <row r="106" spans="1:5" ht="12.75" customHeight="1">
      <c r="A106" s="4" t="s">
        <v>1181</v>
      </c>
      <c r="B106" s="12"/>
      <c r="C106" s="12"/>
      <c r="D106" s="12"/>
      <c r="E106" s="12"/>
    </row>
    <row r="107" spans="1:5" ht="25.5" customHeight="1">
      <c r="A107" s="3" t="s">
        <v>1182</v>
      </c>
      <c r="B107" s="11"/>
      <c r="C107" s="11"/>
      <c r="D107" s="11"/>
      <c r="E107" s="11"/>
    </row>
    <row r="108" spans="1:5" ht="25.5" customHeight="1">
      <c r="A108" s="4" t="s">
        <v>1183</v>
      </c>
      <c r="B108" s="12">
        <f>+'DCA-Anexo I-C'!B109+'DCA-Anexo I-C'!B116+'DCA-Anexo I-C'!B119+'DCA-Anexo I-C'!B120+'DCA-Anexo I-C'!B124+'DCA-Anexo I-C'!B129+'DCA-Anexo I-C'!B133+'DCA-Anexo I-C'!B137+'DCA-Anexo I-C'!B144+'DCA-Anexo I-C'!B148+'DCA-Anexo I-C'!B152</f>
        <v>0</v>
      </c>
      <c r="C108" s="12">
        <f>+'DCA-Anexo I-C'!C109+'DCA-Anexo I-C'!C116+'DCA-Anexo I-C'!C119+'DCA-Anexo I-C'!C120+'DCA-Anexo I-C'!C124+'DCA-Anexo I-C'!C129+'DCA-Anexo I-C'!C133+'DCA-Anexo I-C'!C137+'DCA-Anexo I-C'!C144+'DCA-Anexo I-C'!C148+'DCA-Anexo I-C'!C152</f>
        <v>0</v>
      </c>
      <c r="D108" s="12">
        <f>+'DCA-Anexo I-C'!D109+'DCA-Anexo I-C'!D116+'DCA-Anexo I-C'!D119+'DCA-Anexo I-C'!D120+'DCA-Anexo I-C'!D124+'DCA-Anexo I-C'!D129+'DCA-Anexo I-C'!D133+'DCA-Anexo I-C'!D137+'DCA-Anexo I-C'!D144+'DCA-Anexo I-C'!D148+'DCA-Anexo I-C'!D152</f>
        <v>0</v>
      </c>
      <c r="E108" s="12">
        <f>+'DCA-Anexo I-C'!E109+'DCA-Anexo I-C'!E116+'DCA-Anexo I-C'!E119+'DCA-Anexo I-C'!E120+'DCA-Anexo I-C'!E124+'DCA-Anexo I-C'!E129+'DCA-Anexo I-C'!E133+'DCA-Anexo I-C'!E137+'DCA-Anexo I-C'!E144+'DCA-Anexo I-C'!E148+'DCA-Anexo I-C'!E152</f>
        <v>0</v>
      </c>
    </row>
    <row r="109" spans="1:5" ht="12.75" customHeight="1">
      <c r="A109" s="3" t="s">
        <v>1184</v>
      </c>
      <c r="B109" s="11">
        <f>+'DCA-Anexo I-C'!B110+'DCA-Anexo I-C'!B111+'DCA-Anexo I-C'!B112+'DCA-Anexo I-C'!B113+'DCA-Anexo I-C'!B114+'DCA-Anexo I-C'!B115</f>
        <v>0</v>
      </c>
      <c r="C109" s="11">
        <f>+'DCA-Anexo I-C'!C110+'DCA-Anexo I-C'!C111+'DCA-Anexo I-C'!C112+'DCA-Anexo I-C'!C113+'DCA-Anexo I-C'!C114+'DCA-Anexo I-C'!C115</f>
        <v>0</v>
      </c>
      <c r="D109" s="11">
        <f>+'DCA-Anexo I-C'!D110+'DCA-Anexo I-C'!D111+'DCA-Anexo I-C'!D112+'DCA-Anexo I-C'!D113+'DCA-Anexo I-C'!D114+'DCA-Anexo I-C'!D115</f>
        <v>0</v>
      </c>
      <c r="E109" s="11">
        <f>+'DCA-Anexo I-C'!E110+'DCA-Anexo I-C'!E111+'DCA-Anexo I-C'!E112+'DCA-Anexo I-C'!E113+'DCA-Anexo I-C'!E114+'DCA-Anexo I-C'!E115</f>
        <v>0</v>
      </c>
    </row>
    <row r="110" spans="1:5" ht="12.75" customHeight="1">
      <c r="A110" s="4" t="s">
        <v>1185</v>
      </c>
      <c r="B110" s="12"/>
      <c r="C110" s="12"/>
      <c r="D110" s="12"/>
      <c r="E110" s="12"/>
    </row>
    <row r="111" spans="1:5" ht="12.75" customHeight="1">
      <c r="A111" s="3" t="s">
        <v>1186</v>
      </c>
      <c r="B111" s="11"/>
      <c r="C111" s="11"/>
      <c r="D111" s="11"/>
      <c r="E111" s="11"/>
    </row>
    <row r="112" spans="1:5" ht="12.75" customHeight="1">
      <c r="A112" s="4" t="s">
        <v>1187</v>
      </c>
      <c r="B112" s="12"/>
      <c r="C112" s="12"/>
      <c r="D112" s="12"/>
      <c r="E112" s="12"/>
    </row>
    <row r="113" spans="1:5" ht="25.5" customHeight="1">
      <c r="A113" s="3" t="s">
        <v>1188</v>
      </c>
      <c r="B113" s="11"/>
      <c r="C113" s="11"/>
      <c r="D113" s="11"/>
      <c r="E113" s="11"/>
    </row>
    <row r="114" spans="1:5" ht="25.5" customHeight="1">
      <c r="A114" s="4" t="s">
        <v>1189</v>
      </c>
      <c r="B114" s="12"/>
      <c r="C114" s="12"/>
      <c r="D114" s="12"/>
      <c r="E114" s="12"/>
    </row>
    <row r="115" spans="1:5" ht="25.5" customHeight="1">
      <c r="A115" s="3" t="s">
        <v>1190</v>
      </c>
      <c r="B115" s="11"/>
      <c r="C115" s="11"/>
      <c r="D115" s="11"/>
      <c r="E115" s="11"/>
    </row>
    <row r="116" spans="1:5" ht="12.75" customHeight="1">
      <c r="A116" s="4" t="s">
        <v>1191</v>
      </c>
      <c r="B116" s="12">
        <f>+'DCA-Anexo I-C'!B117+'DCA-Anexo I-C'!B118</f>
        <v>0</v>
      </c>
      <c r="C116" s="12">
        <f>+'DCA-Anexo I-C'!C117+'DCA-Anexo I-C'!C118</f>
        <v>0</v>
      </c>
      <c r="D116" s="12">
        <f>+'DCA-Anexo I-C'!D117+'DCA-Anexo I-C'!D118</f>
        <v>0</v>
      </c>
      <c r="E116" s="12">
        <f>+'DCA-Anexo I-C'!E117+'DCA-Anexo I-C'!E118</f>
        <v>0</v>
      </c>
    </row>
    <row r="117" spans="1:5" ht="12.75" customHeight="1">
      <c r="A117" s="3" t="s">
        <v>1192</v>
      </c>
      <c r="B117" s="11"/>
      <c r="C117" s="11"/>
      <c r="D117" s="11"/>
      <c r="E117" s="11"/>
    </row>
    <row r="118" spans="1:5" ht="25.5" customHeight="1">
      <c r="A118" s="4" t="s">
        <v>1193</v>
      </c>
      <c r="B118" s="12"/>
      <c r="C118" s="12"/>
      <c r="D118" s="12"/>
      <c r="E118" s="12"/>
    </row>
    <row r="119" spans="1:5" ht="12.75" customHeight="1">
      <c r="A119" s="3" t="s">
        <v>1194</v>
      </c>
      <c r="B119" s="11"/>
      <c r="C119" s="11"/>
      <c r="D119" s="11"/>
      <c r="E119" s="11"/>
    </row>
    <row r="120" spans="1:5" ht="25.5" customHeight="1">
      <c r="A120" s="4" t="s">
        <v>1195</v>
      </c>
      <c r="B120" s="12">
        <f>+'DCA-Anexo I-C'!B121+'DCA-Anexo I-C'!B122+'DCA-Anexo I-C'!B123</f>
        <v>0</v>
      </c>
      <c r="C120" s="12">
        <f>+'DCA-Anexo I-C'!C121+'DCA-Anexo I-C'!C122+'DCA-Anexo I-C'!C123</f>
        <v>0</v>
      </c>
      <c r="D120" s="12">
        <f>+'DCA-Anexo I-C'!D121+'DCA-Anexo I-C'!D122+'DCA-Anexo I-C'!D123</f>
        <v>0</v>
      </c>
      <c r="E120" s="12">
        <f>+'DCA-Anexo I-C'!E121+'DCA-Anexo I-C'!E122+'DCA-Anexo I-C'!E123</f>
        <v>0</v>
      </c>
    </row>
    <row r="121" spans="1:5" ht="25.5" customHeight="1">
      <c r="A121" s="3" t="s">
        <v>1196</v>
      </c>
      <c r="B121" s="11"/>
      <c r="C121" s="11"/>
      <c r="D121" s="11"/>
      <c r="E121" s="11"/>
    </row>
    <row r="122" spans="1:5" ht="25.5" customHeight="1">
      <c r="A122" s="4" t="s">
        <v>1197</v>
      </c>
      <c r="B122" s="12"/>
      <c r="C122" s="12"/>
      <c r="D122" s="12"/>
      <c r="E122" s="12"/>
    </row>
    <row r="123" spans="1:5" ht="25.5" customHeight="1">
      <c r="A123" s="3" t="s">
        <v>1198</v>
      </c>
      <c r="B123" s="11"/>
      <c r="C123" s="11"/>
      <c r="D123" s="11"/>
      <c r="E123" s="11"/>
    </row>
    <row r="124" spans="1:5" ht="25.5" customHeight="1">
      <c r="A124" s="4" t="s">
        <v>1199</v>
      </c>
      <c r="B124" s="12">
        <f>+'DCA-Anexo I-C'!B125+'DCA-Anexo I-C'!B126+'DCA-Anexo I-C'!B127+'DCA-Anexo I-C'!B128</f>
        <v>0</v>
      </c>
      <c r="C124" s="12">
        <f>+'DCA-Anexo I-C'!C125+'DCA-Anexo I-C'!C126+'DCA-Anexo I-C'!C127+'DCA-Anexo I-C'!C128</f>
        <v>0</v>
      </c>
      <c r="D124" s="12">
        <f>+'DCA-Anexo I-C'!D125+'DCA-Anexo I-C'!D126+'DCA-Anexo I-C'!D127+'DCA-Anexo I-C'!D128</f>
        <v>0</v>
      </c>
      <c r="E124" s="12">
        <f>+'DCA-Anexo I-C'!E125+'DCA-Anexo I-C'!E126+'DCA-Anexo I-C'!E127+'DCA-Anexo I-C'!E128</f>
        <v>0</v>
      </c>
    </row>
    <row r="125" spans="1:5" ht="12.75" customHeight="1">
      <c r="A125" s="3" t="s">
        <v>1200</v>
      </c>
      <c r="B125" s="11"/>
      <c r="C125" s="11"/>
      <c r="D125" s="11"/>
      <c r="E125" s="11"/>
    </row>
    <row r="126" spans="1:5" ht="25.5" customHeight="1">
      <c r="A126" s="4" t="s">
        <v>1201</v>
      </c>
      <c r="B126" s="12"/>
      <c r="C126" s="12"/>
      <c r="D126" s="12"/>
      <c r="E126" s="12"/>
    </row>
    <row r="127" spans="1:5" ht="25.5" customHeight="1">
      <c r="A127" s="3" t="s">
        <v>1202</v>
      </c>
      <c r="B127" s="11"/>
      <c r="C127" s="11"/>
      <c r="D127" s="11"/>
      <c r="E127" s="11"/>
    </row>
    <row r="128" spans="1:5" ht="25.5" customHeight="1">
      <c r="A128" s="4" t="s">
        <v>1203</v>
      </c>
      <c r="B128" s="12"/>
      <c r="C128" s="12"/>
      <c r="D128" s="12"/>
      <c r="E128" s="12"/>
    </row>
    <row r="129" spans="1:5" ht="12.75" customHeight="1">
      <c r="A129" s="3" t="s">
        <v>1204</v>
      </c>
      <c r="B129" s="11">
        <f>+'DCA-Anexo I-C'!B130+'DCA-Anexo I-C'!B131+'DCA-Anexo I-C'!B132</f>
        <v>0</v>
      </c>
      <c r="C129" s="11">
        <f>+'DCA-Anexo I-C'!C130+'DCA-Anexo I-C'!C131+'DCA-Anexo I-C'!C132</f>
        <v>0</v>
      </c>
      <c r="D129" s="11">
        <f>+'DCA-Anexo I-C'!D130+'DCA-Anexo I-C'!D131+'DCA-Anexo I-C'!D132</f>
        <v>0</v>
      </c>
      <c r="E129" s="11">
        <f>+'DCA-Anexo I-C'!E130+'DCA-Anexo I-C'!E131+'DCA-Anexo I-C'!E132</f>
        <v>0</v>
      </c>
    </row>
    <row r="130" spans="1:5" ht="25.5" customHeight="1">
      <c r="A130" s="4" t="s">
        <v>1205</v>
      </c>
      <c r="B130" s="12"/>
      <c r="C130" s="12"/>
      <c r="D130" s="12"/>
      <c r="E130" s="12"/>
    </row>
    <row r="131" spans="1:5" ht="25.5" customHeight="1">
      <c r="A131" s="3" t="s">
        <v>1206</v>
      </c>
      <c r="B131" s="11"/>
      <c r="C131" s="11"/>
      <c r="D131" s="11"/>
      <c r="E131" s="11"/>
    </row>
    <row r="132" spans="1:5" ht="25.5" customHeight="1">
      <c r="A132" s="4" t="s">
        <v>1207</v>
      </c>
      <c r="B132" s="12"/>
      <c r="C132" s="12"/>
      <c r="D132" s="12"/>
      <c r="E132" s="12"/>
    </row>
    <row r="133" spans="1:5" ht="25.5" customHeight="1">
      <c r="A133" s="3" t="s">
        <v>1208</v>
      </c>
      <c r="B133" s="11">
        <f>+'DCA-Anexo I-C'!B134+'DCA-Anexo I-C'!B135+'DCA-Anexo I-C'!B136</f>
        <v>0</v>
      </c>
      <c r="C133" s="11">
        <f>+'DCA-Anexo I-C'!C134+'DCA-Anexo I-C'!C135+'DCA-Anexo I-C'!C136</f>
        <v>0</v>
      </c>
      <c r="D133" s="11">
        <f>+'DCA-Anexo I-C'!D134+'DCA-Anexo I-C'!D135+'DCA-Anexo I-C'!D136</f>
        <v>0</v>
      </c>
      <c r="E133" s="11">
        <f>+'DCA-Anexo I-C'!E134+'DCA-Anexo I-C'!E135+'DCA-Anexo I-C'!E136</f>
        <v>0</v>
      </c>
    </row>
    <row r="134" spans="1:5" ht="12.75" customHeight="1">
      <c r="A134" s="4" t="s">
        <v>1209</v>
      </c>
      <c r="B134" s="12"/>
      <c r="C134" s="12"/>
      <c r="D134" s="12"/>
      <c r="E134" s="12"/>
    </row>
    <row r="135" spans="1:5" ht="12.75" customHeight="1">
      <c r="A135" s="3" t="s">
        <v>1210</v>
      </c>
      <c r="B135" s="11"/>
      <c r="C135" s="11"/>
      <c r="D135" s="11"/>
      <c r="E135" s="11"/>
    </row>
    <row r="136" spans="1:5" ht="12.75" customHeight="1">
      <c r="A136" s="4" t="s">
        <v>1211</v>
      </c>
      <c r="B136" s="12"/>
      <c r="C136" s="12"/>
      <c r="D136" s="12"/>
      <c r="E136" s="12"/>
    </row>
    <row r="137" spans="1:5" ht="25.5" customHeight="1">
      <c r="A137" s="3" t="s">
        <v>1212</v>
      </c>
      <c r="B137" s="11">
        <f>+'DCA-Anexo I-C'!B138+'DCA-Anexo I-C'!B139+'DCA-Anexo I-C'!B140+'DCA-Anexo I-C'!B141+'DCA-Anexo I-C'!B142+'DCA-Anexo I-C'!B143</f>
        <v>0</v>
      </c>
      <c r="C137" s="11">
        <f>+'DCA-Anexo I-C'!C138+'DCA-Anexo I-C'!C139+'DCA-Anexo I-C'!C140+'DCA-Anexo I-C'!C141+'DCA-Anexo I-C'!C142+'DCA-Anexo I-C'!C143</f>
        <v>0</v>
      </c>
      <c r="D137" s="11">
        <f>+'DCA-Anexo I-C'!D138+'DCA-Anexo I-C'!D139+'DCA-Anexo I-C'!D140+'DCA-Anexo I-C'!D141+'DCA-Anexo I-C'!D142+'DCA-Anexo I-C'!D143</f>
        <v>0</v>
      </c>
      <c r="E137" s="11">
        <f>+'DCA-Anexo I-C'!E138+'DCA-Anexo I-C'!E139+'DCA-Anexo I-C'!E140+'DCA-Anexo I-C'!E141+'DCA-Anexo I-C'!E142+'DCA-Anexo I-C'!E143</f>
        <v>0</v>
      </c>
    </row>
    <row r="138" spans="1:5" ht="12.75" customHeight="1">
      <c r="A138" s="4" t="s">
        <v>1213</v>
      </c>
      <c r="B138" s="12"/>
      <c r="C138" s="12"/>
      <c r="D138" s="12"/>
      <c r="E138" s="12"/>
    </row>
    <row r="139" spans="1:5" ht="12.75" customHeight="1">
      <c r="A139" s="3" t="s">
        <v>1214</v>
      </c>
      <c r="B139" s="11"/>
      <c r="C139" s="11"/>
      <c r="D139" s="11"/>
      <c r="E139" s="11"/>
    </row>
    <row r="140" spans="1:5" ht="12.75" customHeight="1">
      <c r="A140" s="4" t="s">
        <v>1215</v>
      </c>
      <c r="B140" s="12"/>
      <c r="C140" s="12"/>
      <c r="D140" s="12"/>
      <c r="E140" s="12"/>
    </row>
    <row r="141" spans="1:5" ht="25.5" customHeight="1">
      <c r="A141" s="3" t="s">
        <v>1216</v>
      </c>
      <c r="B141" s="11"/>
      <c r="C141" s="11"/>
      <c r="D141" s="11"/>
      <c r="E141" s="11"/>
    </row>
    <row r="142" spans="1:5" ht="25.5" customHeight="1">
      <c r="A142" s="4" t="s">
        <v>1217</v>
      </c>
      <c r="B142" s="12"/>
      <c r="C142" s="12"/>
      <c r="D142" s="12"/>
      <c r="E142" s="12"/>
    </row>
    <row r="143" spans="1:5" ht="25.5" customHeight="1">
      <c r="A143" s="3" t="s">
        <v>1218</v>
      </c>
      <c r="B143" s="11"/>
      <c r="C143" s="11"/>
      <c r="D143" s="11"/>
      <c r="E143" s="11"/>
    </row>
    <row r="144" spans="1:5" ht="25.5" customHeight="1">
      <c r="A144" s="4" t="s">
        <v>1219</v>
      </c>
      <c r="B144" s="12">
        <f>+'DCA-Anexo I-C'!B145+'DCA-Anexo I-C'!B146+'DCA-Anexo I-C'!B147</f>
        <v>0</v>
      </c>
      <c r="C144" s="12">
        <f>+'DCA-Anexo I-C'!C145+'DCA-Anexo I-C'!C146+'DCA-Anexo I-C'!C147</f>
        <v>0</v>
      </c>
      <c r="D144" s="12">
        <f>+'DCA-Anexo I-C'!D145+'DCA-Anexo I-C'!D146+'DCA-Anexo I-C'!D147</f>
        <v>0</v>
      </c>
      <c r="E144" s="12">
        <f>+'DCA-Anexo I-C'!E145+'DCA-Anexo I-C'!E146+'DCA-Anexo I-C'!E147</f>
        <v>0</v>
      </c>
    </row>
    <row r="145" spans="1:5" ht="25.5" customHeight="1">
      <c r="A145" s="3" t="s">
        <v>1220</v>
      </c>
      <c r="B145" s="11"/>
      <c r="C145" s="11"/>
      <c r="D145" s="11"/>
      <c r="E145" s="11"/>
    </row>
    <row r="146" spans="1:5" ht="25.5" customHeight="1">
      <c r="A146" s="4" t="s">
        <v>1221</v>
      </c>
      <c r="B146" s="12"/>
      <c r="C146" s="12"/>
      <c r="D146" s="12"/>
      <c r="E146" s="12"/>
    </row>
    <row r="147" spans="1:5" ht="25.5" customHeight="1">
      <c r="A147" s="3" t="s">
        <v>1222</v>
      </c>
      <c r="B147" s="11"/>
      <c r="C147" s="11"/>
      <c r="D147" s="11"/>
      <c r="E147" s="11"/>
    </row>
    <row r="148" spans="1:5" ht="25.5" customHeight="1">
      <c r="A148" s="4" t="s">
        <v>1223</v>
      </c>
      <c r="B148" s="12">
        <f>+'DCA-Anexo I-C'!B149+'DCA-Anexo I-C'!B150+'DCA-Anexo I-C'!B151</f>
        <v>0</v>
      </c>
      <c r="C148" s="12">
        <f>+'DCA-Anexo I-C'!C149+'DCA-Anexo I-C'!C150+'DCA-Anexo I-C'!C151</f>
        <v>0</v>
      </c>
      <c r="D148" s="12">
        <f>+'DCA-Anexo I-C'!D149+'DCA-Anexo I-C'!D150+'DCA-Anexo I-C'!D151</f>
        <v>0</v>
      </c>
      <c r="E148" s="12">
        <f>+'DCA-Anexo I-C'!E149+'DCA-Anexo I-C'!E150+'DCA-Anexo I-C'!E151</f>
        <v>0</v>
      </c>
    </row>
    <row r="149" spans="1:5" ht="12.75" customHeight="1">
      <c r="A149" s="3" t="s">
        <v>1224</v>
      </c>
      <c r="B149" s="11"/>
      <c r="C149" s="11"/>
      <c r="D149" s="11"/>
      <c r="E149" s="11"/>
    </row>
    <row r="150" spans="1:5" ht="12.75" customHeight="1">
      <c r="A150" s="4" t="s">
        <v>1225</v>
      </c>
      <c r="B150" s="12"/>
      <c r="C150" s="12"/>
      <c r="D150" s="12"/>
      <c r="E150" s="12"/>
    </row>
    <row r="151" spans="1:5" ht="25.5" customHeight="1">
      <c r="A151" s="3" t="s">
        <v>1226</v>
      </c>
      <c r="B151" s="11"/>
      <c r="C151" s="11"/>
      <c r="D151" s="11"/>
      <c r="E151" s="11"/>
    </row>
    <row r="152" spans="1:5" ht="25.5" customHeight="1">
      <c r="A152" s="4" t="s">
        <v>1227</v>
      </c>
      <c r="B152" s="12">
        <f>+'DCA-Anexo I-C'!B153+'DCA-Anexo I-C'!B154+'DCA-Anexo I-C'!B155</f>
        <v>0</v>
      </c>
      <c r="C152" s="12">
        <f>+'DCA-Anexo I-C'!C153+'DCA-Anexo I-C'!C154+'DCA-Anexo I-C'!C155</f>
        <v>0</v>
      </c>
      <c r="D152" s="12">
        <f>+'DCA-Anexo I-C'!D153+'DCA-Anexo I-C'!D154+'DCA-Anexo I-C'!D155</f>
        <v>0</v>
      </c>
      <c r="E152" s="12">
        <f>+'DCA-Anexo I-C'!E153+'DCA-Anexo I-C'!E154+'DCA-Anexo I-C'!E155</f>
        <v>0</v>
      </c>
    </row>
    <row r="153" spans="1:5" ht="25.5" customHeight="1">
      <c r="A153" s="3" t="s">
        <v>1228</v>
      </c>
      <c r="B153" s="11"/>
      <c r="C153" s="11"/>
      <c r="D153" s="11"/>
      <c r="E153" s="11"/>
    </row>
    <row r="154" spans="1:5" ht="25.5" customHeight="1">
      <c r="A154" s="4" t="s">
        <v>1229</v>
      </c>
      <c r="B154" s="12"/>
      <c r="C154" s="12"/>
      <c r="D154" s="12"/>
      <c r="E154" s="12"/>
    </row>
    <row r="155" spans="1:5" ht="25.5" customHeight="1">
      <c r="A155" s="3" t="s">
        <v>1230</v>
      </c>
      <c r="B155" s="11"/>
      <c r="C155" s="11"/>
      <c r="D155" s="11"/>
      <c r="E155" s="11"/>
    </row>
    <row r="156" spans="1:5" ht="25.5" customHeight="1">
      <c r="A156" s="4" t="s">
        <v>1231</v>
      </c>
      <c r="B156" s="12">
        <f>+'DCA-Anexo I-C'!B157+'DCA-Anexo I-C'!B160+'DCA-Anexo I-C'!B163+'DCA-Anexo I-C'!B166+'DCA-Anexo I-C'!B169</f>
        <v>0</v>
      </c>
      <c r="C156" s="12">
        <f>+'DCA-Anexo I-C'!C157+'DCA-Anexo I-C'!C160+'DCA-Anexo I-C'!C163+'DCA-Anexo I-C'!C166+'DCA-Anexo I-C'!C169</f>
        <v>0</v>
      </c>
      <c r="D156" s="12">
        <f>+'DCA-Anexo I-C'!D157+'DCA-Anexo I-C'!D160+'DCA-Anexo I-C'!D163+'DCA-Anexo I-C'!D166+'DCA-Anexo I-C'!D169</f>
        <v>0</v>
      </c>
      <c r="E156" s="12">
        <f>+'DCA-Anexo I-C'!E157+'DCA-Anexo I-C'!E160+'DCA-Anexo I-C'!E163+'DCA-Anexo I-C'!E166+'DCA-Anexo I-C'!E169</f>
        <v>0</v>
      </c>
    </row>
    <row r="157" spans="1:5" ht="25.5" customHeight="1">
      <c r="A157" s="3" t="s">
        <v>1232</v>
      </c>
      <c r="B157" s="11">
        <f>+'DCA-Anexo I-C'!B158+'DCA-Anexo I-C'!B159</f>
        <v>0</v>
      </c>
      <c r="C157" s="11">
        <f>+'DCA-Anexo I-C'!C158+'DCA-Anexo I-C'!C159</f>
        <v>0</v>
      </c>
      <c r="D157" s="11">
        <f>+'DCA-Anexo I-C'!D158+'DCA-Anexo I-C'!D159</f>
        <v>0</v>
      </c>
      <c r="E157" s="11">
        <f>+'DCA-Anexo I-C'!E158+'DCA-Anexo I-C'!E159</f>
        <v>0</v>
      </c>
    </row>
    <row r="158" spans="1:5" ht="25.5" customHeight="1">
      <c r="A158" s="4" t="s">
        <v>1233</v>
      </c>
      <c r="B158" s="12"/>
      <c r="C158" s="12"/>
      <c r="D158" s="12"/>
      <c r="E158" s="12"/>
    </row>
    <row r="159" spans="1:5" ht="25.5" customHeight="1">
      <c r="A159" s="3" t="s">
        <v>1234</v>
      </c>
      <c r="B159" s="11"/>
      <c r="C159" s="11"/>
      <c r="D159" s="11"/>
      <c r="E159" s="11"/>
    </row>
    <row r="160" spans="1:5" ht="25.5" customHeight="1">
      <c r="A160" s="4" t="s">
        <v>1235</v>
      </c>
      <c r="B160" s="12">
        <f>+'DCA-Anexo I-C'!B161+'DCA-Anexo I-C'!B162</f>
        <v>0</v>
      </c>
      <c r="C160" s="12">
        <f>+'DCA-Anexo I-C'!C161+'DCA-Anexo I-C'!C162</f>
        <v>0</v>
      </c>
      <c r="D160" s="12">
        <f>+'DCA-Anexo I-C'!D161+'DCA-Anexo I-C'!D162</f>
        <v>0</v>
      </c>
      <c r="E160" s="12">
        <f>+'DCA-Anexo I-C'!E161+'DCA-Anexo I-C'!E162</f>
        <v>0</v>
      </c>
    </row>
    <row r="161" spans="1:5" ht="25.5" customHeight="1">
      <c r="A161" s="3" t="s">
        <v>1236</v>
      </c>
      <c r="B161" s="11"/>
      <c r="C161" s="11"/>
      <c r="D161" s="11"/>
      <c r="E161" s="11"/>
    </row>
    <row r="162" spans="1:5" ht="25.5" customHeight="1">
      <c r="A162" s="4" t="s">
        <v>1237</v>
      </c>
      <c r="B162" s="12"/>
      <c r="C162" s="12"/>
      <c r="D162" s="12"/>
      <c r="E162" s="12"/>
    </row>
    <row r="163" spans="1:5" ht="25.5" customHeight="1">
      <c r="A163" s="3" t="s">
        <v>1238</v>
      </c>
      <c r="B163" s="11">
        <f>+'DCA-Anexo I-C'!B164+'DCA-Anexo I-C'!B165</f>
        <v>0</v>
      </c>
      <c r="C163" s="11">
        <f>+'DCA-Anexo I-C'!C164+'DCA-Anexo I-C'!C165</f>
        <v>0</v>
      </c>
      <c r="D163" s="11">
        <f>+'DCA-Anexo I-C'!D164+'DCA-Anexo I-C'!D165</f>
        <v>0</v>
      </c>
      <c r="E163" s="11">
        <f>+'DCA-Anexo I-C'!E164+'DCA-Anexo I-C'!E165</f>
        <v>0</v>
      </c>
    </row>
    <row r="164" spans="1:5" ht="25.5" customHeight="1">
      <c r="A164" s="4" t="s">
        <v>1239</v>
      </c>
      <c r="B164" s="12"/>
      <c r="C164" s="12"/>
      <c r="D164" s="12"/>
      <c r="E164" s="12"/>
    </row>
    <row r="165" spans="1:5" ht="25.5" customHeight="1">
      <c r="A165" s="3" t="s">
        <v>1240</v>
      </c>
      <c r="B165" s="11"/>
      <c r="C165" s="11"/>
      <c r="D165" s="11"/>
      <c r="E165" s="11"/>
    </row>
    <row r="166" spans="1:5" ht="25.5" customHeight="1">
      <c r="A166" s="4" t="s">
        <v>1241</v>
      </c>
      <c r="B166" s="12">
        <f>+'DCA-Anexo I-C'!B167+'DCA-Anexo I-C'!B168</f>
        <v>0</v>
      </c>
      <c r="C166" s="12">
        <f>+'DCA-Anexo I-C'!C167+'DCA-Anexo I-C'!C168</f>
        <v>0</v>
      </c>
      <c r="D166" s="12">
        <f>+'DCA-Anexo I-C'!D167+'DCA-Anexo I-C'!D168</f>
        <v>0</v>
      </c>
      <c r="E166" s="12">
        <f>+'DCA-Anexo I-C'!E167+'DCA-Anexo I-C'!E168</f>
        <v>0</v>
      </c>
    </row>
    <row r="167" spans="1:5" ht="25.5" customHeight="1">
      <c r="A167" s="3" t="s">
        <v>1242</v>
      </c>
      <c r="B167" s="11"/>
      <c r="C167" s="11"/>
      <c r="D167" s="11"/>
      <c r="E167" s="11"/>
    </row>
    <row r="168" spans="1:5" ht="25.5" customHeight="1">
      <c r="A168" s="4" t="s">
        <v>1243</v>
      </c>
      <c r="B168" s="12"/>
      <c r="C168" s="12"/>
      <c r="D168" s="12"/>
      <c r="E168" s="12"/>
    </row>
    <row r="169" spans="1:5" ht="25.5" customHeight="1">
      <c r="A169" s="3" t="s">
        <v>1244</v>
      </c>
      <c r="B169" s="11">
        <f>+'DCA-Anexo I-C'!B170+'DCA-Anexo I-C'!B171</f>
        <v>0</v>
      </c>
      <c r="C169" s="11">
        <f>+'DCA-Anexo I-C'!C170+'DCA-Anexo I-C'!C171</f>
        <v>0</v>
      </c>
      <c r="D169" s="11">
        <f>+'DCA-Anexo I-C'!D170+'DCA-Anexo I-C'!D171</f>
        <v>0</v>
      </c>
      <c r="E169" s="11">
        <f>+'DCA-Anexo I-C'!E170+'DCA-Anexo I-C'!E171</f>
        <v>0</v>
      </c>
    </row>
    <row r="170" spans="1:5" ht="25.5" customHeight="1">
      <c r="A170" s="4" t="s">
        <v>1245</v>
      </c>
      <c r="B170" s="12"/>
      <c r="C170" s="12"/>
      <c r="D170" s="12"/>
      <c r="E170" s="12"/>
    </row>
    <row r="171" spans="1:5" ht="25.5" customHeight="1">
      <c r="A171" s="3" t="s">
        <v>1246</v>
      </c>
      <c r="B171" s="11"/>
      <c r="C171" s="11"/>
      <c r="D171" s="11"/>
      <c r="E171" s="11"/>
    </row>
    <row r="172" spans="1:5" ht="25.5" customHeight="1">
      <c r="A172" s="4" t="s">
        <v>1247</v>
      </c>
      <c r="B172" s="12">
        <f>+'DCA-Anexo I-C'!B173+'DCA-Anexo I-C'!B176+'DCA-Anexo I-C'!B179+'DCA-Anexo I-C'!B182+'DCA-Anexo I-C'!B185+'DCA-Anexo I-C'!B188+'DCA-Anexo I-C'!B191</f>
        <v>0</v>
      </c>
      <c r="C172" s="12">
        <f>+'DCA-Anexo I-C'!C173+'DCA-Anexo I-C'!C176+'DCA-Anexo I-C'!C179+'DCA-Anexo I-C'!C182+'DCA-Anexo I-C'!C185+'DCA-Anexo I-C'!C188+'DCA-Anexo I-C'!C191</f>
        <v>0</v>
      </c>
      <c r="D172" s="12">
        <f>+'DCA-Anexo I-C'!D173+'DCA-Anexo I-C'!D176+'DCA-Anexo I-C'!D179+'DCA-Anexo I-C'!D182+'DCA-Anexo I-C'!D185+'DCA-Anexo I-C'!D188+'DCA-Anexo I-C'!D191</f>
        <v>0</v>
      </c>
      <c r="E172" s="12">
        <f>+'DCA-Anexo I-C'!E173+'DCA-Anexo I-C'!E176+'DCA-Anexo I-C'!E179+'DCA-Anexo I-C'!E182+'DCA-Anexo I-C'!E185+'DCA-Anexo I-C'!E188+'DCA-Anexo I-C'!E191</f>
        <v>0</v>
      </c>
    </row>
    <row r="173" spans="1:5" ht="12.75" customHeight="1">
      <c r="A173" s="3" t="s">
        <v>1248</v>
      </c>
      <c r="B173" s="11">
        <f>+'DCA-Anexo I-C'!B174+'DCA-Anexo I-C'!B175</f>
        <v>0</v>
      </c>
      <c r="C173" s="11">
        <f>+'DCA-Anexo I-C'!C174+'DCA-Anexo I-C'!C175</f>
        <v>0</v>
      </c>
      <c r="D173" s="11">
        <f>+'DCA-Anexo I-C'!D174+'DCA-Anexo I-C'!D175</f>
        <v>0</v>
      </c>
      <c r="E173" s="11">
        <f>+'DCA-Anexo I-C'!E174+'DCA-Anexo I-C'!E175</f>
        <v>0</v>
      </c>
    </row>
    <row r="174" spans="1:5" ht="12.75" customHeight="1">
      <c r="A174" s="4" t="s">
        <v>1249</v>
      </c>
      <c r="B174" s="12"/>
      <c r="C174" s="12"/>
      <c r="D174" s="12"/>
      <c r="E174" s="12"/>
    </row>
    <row r="175" spans="1:5" ht="12.75" customHeight="1">
      <c r="A175" s="3" t="s">
        <v>1250</v>
      </c>
      <c r="B175" s="11"/>
      <c r="C175" s="11"/>
      <c r="D175" s="11"/>
      <c r="E175" s="11"/>
    </row>
    <row r="176" spans="1:5" ht="12.75" customHeight="1">
      <c r="A176" s="4" t="s">
        <v>1251</v>
      </c>
      <c r="B176" s="12">
        <f>+'DCA-Anexo I-C'!B177+'DCA-Anexo I-C'!B178</f>
        <v>0</v>
      </c>
      <c r="C176" s="12">
        <f>+'DCA-Anexo I-C'!C177+'DCA-Anexo I-C'!C178</f>
        <v>0</v>
      </c>
      <c r="D176" s="12">
        <f>+'DCA-Anexo I-C'!D177+'DCA-Anexo I-C'!D178</f>
        <v>0</v>
      </c>
      <c r="E176" s="12">
        <f>+'DCA-Anexo I-C'!E177+'DCA-Anexo I-C'!E178</f>
        <v>0</v>
      </c>
    </row>
    <row r="177" spans="1:5" ht="12.75" customHeight="1">
      <c r="A177" s="3" t="s">
        <v>1252</v>
      </c>
      <c r="B177" s="11"/>
      <c r="C177" s="11"/>
      <c r="D177" s="11"/>
      <c r="E177" s="11"/>
    </row>
    <row r="178" spans="1:5" ht="25.5" customHeight="1">
      <c r="A178" s="4" t="s">
        <v>1253</v>
      </c>
      <c r="B178" s="12"/>
      <c r="C178" s="12"/>
      <c r="D178" s="12"/>
      <c r="E178" s="12"/>
    </row>
    <row r="179" spans="1:5" ht="25.5" customHeight="1">
      <c r="A179" s="3" t="s">
        <v>1254</v>
      </c>
      <c r="B179" s="11">
        <f>+'DCA-Anexo I-C'!B180+'DCA-Anexo I-C'!B181</f>
        <v>0</v>
      </c>
      <c r="C179" s="11">
        <f>+'DCA-Anexo I-C'!C180+'DCA-Anexo I-C'!C181</f>
        <v>0</v>
      </c>
      <c r="D179" s="11">
        <f>+'DCA-Anexo I-C'!D180+'DCA-Anexo I-C'!D181</f>
        <v>0</v>
      </c>
      <c r="E179" s="11">
        <f>+'DCA-Anexo I-C'!E180+'DCA-Anexo I-C'!E181</f>
        <v>0</v>
      </c>
    </row>
    <row r="180" spans="1:5" ht="25.5" customHeight="1">
      <c r="A180" s="4" t="s">
        <v>1255</v>
      </c>
      <c r="B180" s="12"/>
      <c r="C180" s="12"/>
      <c r="D180" s="12"/>
      <c r="E180" s="12"/>
    </row>
    <row r="181" spans="1:5" ht="25.5" customHeight="1">
      <c r="A181" s="3" t="s">
        <v>1256</v>
      </c>
      <c r="B181" s="11"/>
      <c r="C181" s="11"/>
      <c r="D181" s="11"/>
      <c r="E181" s="11"/>
    </row>
    <row r="182" spans="1:5" ht="12.75" customHeight="1">
      <c r="A182" s="4" t="s">
        <v>1257</v>
      </c>
      <c r="B182" s="12">
        <f>+'DCA-Anexo I-C'!B183+'DCA-Anexo I-C'!B184</f>
        <v>0</v>
      </c>
      <c r="C182" s="12">
        <f>+'DCA-Anexo I-C'!C183+'DCA-Anexo I-C'!C184</f>
        <v>0</v>
      </c>
      <c r="D182" s="12">
        <f>+'DCA-Anexo I-C'!D183+'DCA-Anexo I-C'!D184</f>
        <v>0</v>
      </c>
      <c r="E182" s="12">
        <f>+'DCA-Anexo I-C'!E183+'DCA-Anexo I-C'!E184</f>
        <v>0</v>
      </c>
    </row>
    <row r="183" spans="1:5" ht="12.75" customHeight="1">
      <c r="A183" s="3" t="s">
        <v>1258</v>
      </c>
      <c r="B183" s="11"/>
      <c r="C183" s="11"/>
      <c r="D183" s="11"/>
      <c r="E183" s="11"/>
    </row>
    <row r="184" spans="1:5" ht="25.5" customHeight="1">
      <c r="A184" s="4" t="s">
        <v>1259</v>
      </c>
      <c r="B184" s="12"/>
      <c r="C184" s="12"/>
      <c r="D184" s="12"/>
      <c r="E184" s="12"/>
    </row>
    <row r="185" spans="1:5" ht="12.75" customHeight="1">
      <c r="A185" s="3" t="s">
        <v>1260</v>
      </c>
      <c r="B185" s="11">
        <f>+'DCA-Anexo I-C'!B186+'DCA-Anexo I-C'!B187</f>
        <v>0</v>
      </c>
      <c r="C185" s="11">
        <f>+'DCA-Anexo I-C'!C186+'DCA-Anexo I-C'!C187</f>
        <v>0</v>
      </c>
      <c r="D185" s="11">
        <f>+'DCA-Anexo I-C'!D186+'DCA-Anexo I-C'!D187</f>
        <v>0</v>
      </c>
      <c r="E185" s="11">
        <f>+'DCA-Anexo I-C'!E186+'DCA-Anexo I-C'!E187</f>
        <v>0</v>
      </c>
    </row>
    <row r="186" spans="1:5" ht="12.75" customHeight="1">
      <c r="A186" s="4" t="s">
        <v>1261</v>
      </c>
      <c r="B186" s="12"/>
      <c r="C186" s="12"/>
      <c r="D186" s="12"/>
      <c r="E186" s="12"/>
    </row>
    <row r="187" spans="1:5" ht="25.5" customHeight="1">
      <c r="A187" s="3" t="s">
        <v>1262</v>
      </c>
      <c r="B187" s="11"/>
      <c r="C187" s="11"/>
      <c r="D187" s="11"/>
      <c r="E187" s="11"/>
    </row>
    <row r="188" spans="1:5" ht="25.5" customHeight="1">
      <c r="A188" s="4" t="s">
        <v>1263</v>
      </c>
      <c r="B188" s="12">
        <f>+'DCA-Anexo I-C'!B189+'DCA-Anexo I-C'!B190</f>
        <v>0</v>
      </c>
      <c r="C188" s="12">
        <f>+'DCA-Anexo I-C'!C189+'DCA-Anexo I-C'!C190</f>
        <v>0</v>
      </c>
      <c r="D188" s="12">
        <f>+'DCA-Anexo I-C'!D189+'DCA-Anexo I-C'!D190</f>
        <v>0</v>
      </c>
      <c r="E188" s="12">
        <f>+'DCA-Anexo I-C'!E189+'DCA-Anexo I-C'!E190</f>
        <v>0</v>
      </c>
    </row>
    <row r="189" spans="1:5" ht="25.5" customHeight="1">
      <c r="A189" s="3" t="s">
        <v>1264</v>
      </c>
      <c r="B189" s="11"/>
      <c r="C189" s="11"/>
      <c r="D189" s="11"/>
      <c r="E189" s="11"/>
    </row>
    <row r="190" spans="1:5" ht="25.5" customHeight="1">
      <c r="A190" s="4" t="s">
        <v>1265</v>
      </c>
      <c r="B190" s="12"/>
      <c r="C190" s="12"/>
      <c r="D190" s="12"/>
      <c r="E190" s="12"/>
    </row>
    <row r="191" spans="1:5" ht="12.75" customHeight="1">
      <c r="A191" s="3" t="s">
        <v>1266</v>
      </c>
      <c r="B191" s="11">
        <f>+'DCA-Anexo I-C'!B192+'DCA-Anexo I-C'!B193</f>
        <v>0</v>
      </c>
      <c r="C191" s="11">
        <f>+'DCA-Anexo I-C'!C192+'DCA-Anexo I-C'!C193</f>
        <v>0</v>
      </c>
      <c r="D191" s="11">
        <f>+'DCA-Anexo I-C'!D192+'DCA-Anexo I-C'!D193</f>
        <v>0</v>
      </c>
      <c r="E191" s="11">
        <f>+'DCA-Anexo I-C'!E192+'DCA-Anexo I-C'!E193</f>
        <v>0</v>
      </c>
    </row>
    <row r="192" spans="1:5" ht="12.75" customHeight="1">
      <c r="A192" s="4" t="s">
        <v>1267</v>
      </c>
      <c r="B192" s="12"/>
      <c r="C192" s="12"/>
      <c r="D192" s="12"/>
      <c r="E192" s="12"/>
    </row>
    <row r="193" spans="1:5" ht="25.5" customHeight="1">
      <c r="A193" s="3" t="s">
        <v>1268</v>
      </c>
      <c r="B193" s="11"/>
      <c r="C193" s="11"/>
      <c r="D193" s="11"/>
      <c r="E193" s="11"/>
    </row>
    <row r="194" spans="1:5" ht="12.75" customHeight="1">
      <c r="A194" s="4" t="s">
        <v>1269</v>
      </c>
      <c r="B194" s="12">
        <f>+'DCA-Anexo I-C'!B195+'DCA-Anexo I-C'!B198+'DCA-Anexo I-C'!B201+'DCA-Anexo I-C'!B205+'DCA-Anexo I-C'!B208+'DCA-Anexo I-C'!B211+'DCA-Anexo I-C'!B214+'DCA-Anexo I-C'!B217+'DCA-Anexo I-C'!B223+'DCA-Anexo I-C'!B220</f>
        <v>0</v>
      </c>
      <c r="C194" s="12">
        <f>+'DCA-Anexo I-C'!C195+'DCA-Anexo I-C'!C198+'DCA-Anexo I-C'!C201+'DCA-Anexo I-C'!C205+'DCA-Anexo I-C'!C208+'DCA-Anexo I-C'!C211+'DCA-Anexo I-C'!C214+'DCA-Anexo I-C'!C217+'DCA-Anexo I-C'!C223+'DCA-Anexo I-C'!C220</f>
        <v>0</v>
      </c>
      <c r="D194" s="12">
        <f>+'DCA-Anexo I-C'!D195+'DCA-Anexo I-C'!D198+'DCA-Anexo I-C'!D201+'DCA-Anexo I-C'!D205+'DCA-Anexo I-C'!D208+'DCA-Anexo I-C'!D211+'DCA-Anexo I-C'!D214+'DCA-Anexo I-C'!D217+'DCA-Anexo I-C'!D223+'DCA-Anexo I-C'!D220</f>
        <v>0</v>
      </c>
      <c r="E194" s="12">
        <f>+'DCA-Anexo I-C'!E195+'DCA-Anexo I-C'!E198+'DCA-Anexo I-C'!E201+'DCA-Anexo I-C'!E205+'DCA-Anexo I-C'!E208+'DCA-Anexo I-C'!E211+'DCA-Anexo I-C'!E214+'DCA-Anexo I-C'!E217+'DCA-Anexo I-C'!E223+'DCA-Anexo I-C'!E220</f>
        <v>0</v>
      </c>
    </row>
    <row r="195" spans="1:5" ht="25.5" customHeight="1">
      <c r="A195" s="3" t="s">
        <v>1270</v>
      </c>
      <c r="B195" s="11">
        <f>+'DCA-Anexo I-C'!B196+'DCA-Anexo I-C'!B197</f>
        <v>0</v>
      </c>
      <c r="C195" s="11">
        <f>+'DCA-Anexo I-C'!C196+'DCA-Anexo I-C'!C197</f>
        <v>0</v>
      </c>
      <c r="D195" s="11">
        <f>+'DCA-Anexo I-C'!D196+'DCA-Anexo I-C'!D197</f>
        <v>0</v>
      </c>
      <c r="E195" s="11">
        <f>+'DCA-Anexo I-C'!E196+'DCA-Anexo I-C'!E197</f>
        <v>0</v>
      </c>
    </row>
    <row r="196" spans="1:5" ht="25.5" customHeight="1">
      <c r="A196" s="4" t="s">
        <v>1271</v>
      </c>
      <c r="B196" s="12"/>
      <c r="C196" s="12"/>
      <c r="D196" s="12"/>
      <c r="E196" s="12"/>
    </row>
    <row r="197" spans="1:5" ht="25.5" customHeight="1">
      <c r="A197" s="3" t="s">
        <v>1272</v>
      </c>
      <c r="B197" s="11"/>
      <c r="C197" s="11"/>
      <c r="D197" s="11"/>
      <c r="E197" s="11"/>
    </row>
    <row r="198" spans="1:5" ht="12.75" customHeight="1">
      <c r="A198" s="4" t="s">
        <v>1273</v>
      </c>
      <c r="B198" s="12">
        <f>+'DCA-Anexo I-C'!B199+'DCA-Anexo I-C'!B200</f>
        <v>0</v>
      </c>
      <c r="C198" s="12">
        <f>+'DCA-Anexo I-C'!C199+'DCA-Anexo I-C'!C200</f>
        <v>0</v>
      </c>
      <c r="D198" s="12">
        <f>+'DCA-Anexo I-C'!D199+'DCA-Anexo I-C'!D200</f>
        <v>0</v>
      </c>
      <c r="E198" s="12">
        <f>+'DCA-Anexo I-C'!E199+'DCA-Anexo I-C'!E200</f>
        <v>0</v>
      </c>
    </row>
    <row r="199" spans="1:5" ht="12.75" customHeight="1">
      <c r="A199" s="3" t="s">
        <v>1274</v>
      </c>
      <c r="B199" s="11"/>
      <c r="C199" s="11"/>
      <c r="D199" s="11"/>
      <c r="E199" s="11"/>
    </row>
    <row r="200" spans="1:5" ht="12.75" customHeight="1">
      <c r="A200" s="4" t="s">
        <v>1275</v>
      </c>
      <c r="B200" s="12"/>
      <c r="C200" s="12"/>
      <c r="D200" s="12"/>
      <c r="E200" s="12"/>
    </row>
    <row r="201" spans="1:5" ht="25.5" customHeight="1">
      <c r="A201" s="3" t="s">
        <v>1276</v>
      </c>
      <c r="B201" s="11">
        <f>+'DCA-Anexo I-C'!B202+'DCA-Anexo I-C'!B203+'DCA-Anexo I-C'!B204</f>
        <v>0</v>
      </c>
      <c r="C201" s="11">
        <f>+'DCA-Anexo I-C'!C202+'DCA-Anexo I-C'!C203+'DCA-Anexo I-C'!C204</f>
        <v>0</v>
      </c>
      <c r="D201" s="11">
        <f>+'DCA-Anexo I-C'!D202+'DCA-Anexo I-C'!D203+'DCA-Anexo I-C'!D204</f>
        <v>0</v>
      </c>
      <c r="E201" s="11">
        <f>+'DCA-Anexo I-C'!E202+'DCA-Anexo I-C'!E203+'DCA-Anexo I-C'!E204</f>
        <v>0</v>
      </c>
    </row>
    <row r="202" spans="1:5" ht="25.5" customHeight="1">
      <c r="A202" s="4" t="s">
        <v>1277</v>
      </c>
      <c r="B202" s="12"/>
      <c r="C202" s="12"/>
      <c r="D202" s="12"/>
      <c r="E202" s="12"/>
    </row>
    <row r="203" spans="1:5" ht="25.5" customHeight="1">
      <c r="A203" s="3" t="s">
        <v>1278</v>
      </c>
      <c r="B203" s="11"/>
      <c r="C203" s="11"/>
      <c r="D203" s="11"/>
      <c r="E203" s="11"/>
    </row>
    <row r="204" spans="1:5" ht="25.5" customHeight="1">
      <c r="A204" s="4" t="s">
        <v>1279</v>
      </c>
      <c r="B204" s="12"/>
      <c r="C204" s="12"/>
      <c r="D204" s="12"/>
      <c r="E204" s="12"/>
    </row>
    <row r="205" spans="1:5" ht="12.75" customHeight="1">
      <c r="A205" s="3" t="s">
        <v>1280</v>
      </c>
      <c r="B205" s="11">
        <f>+'DCA-Anexo I-C'!B206+'DCA-Anexo I-C'!B207</f>
        <v>0</v>
      </c>
      <c r="C205" s="11">
        <f>+'DCA-Anexo I-C'!C206+'DCA-Anexo I-C'!C207</f>
        <v>0</v>
      </c>
      <c r="D205" s="11">
        <f>+'DCA-Anexo I-C'!D206+'DCA-Anexo I-C'!D207</f>
        <v>0</v>
      </c>
      <c r="E205" s="11">
        <f>+'DCA-Anexo I-C'!E206+'DCA-Anexo I-C'!E207</f>
        <v>0</v>
      </c>
    </row>
    <row r="206" spans="1:5" ht="12.75" customHeight="1">
      <c r="A206" s="4" t="s">
        <v>1281</v>
      </c>
      <c r="B206" s="12"/>
      <c r="C206" s="12"/>
      <c r="D206" s="12"/>
      <c r="E206" s="12"/>
    </row>
    <row r="207" spans="1:5" ht="25.5" customHeight="1">
      <c r="A207" s="3" t="s">
        <v>1282</v>
      </c>
      <c r="B207" s="11"/>
      <c r="C207" s="11"/>
      <c r="D207" s="11"/>
      <c r="E207" s="11"/>
    </row>
    <row r="208" spans="1:5" ht="12.75" customHeight="1">
      <c r="A208" s="4" t="s">
        <v>1283</v>
      </c>
      <c r="B208" s="12">
        <f>+'DCA-Anexo I-C'!B209+'DCA-Anexo I-C'!B210</f>
        <v>0</v>
      </c>
      <c r="C208" s="12">
        <f>+'DCA-Anexo I-C'!C209+'DCA-Anexo I-C'!C210</f>
        <v>0</v>
      </c>
      <c r="D208" s="12">
        <f>+'DCA-Anexo I-C'!D209+'DCA-Anexo I-C'!D210</f>
        <v>0</v>
      </c>
      <c r="E208" s="12">
        <f>+'DCA-Anexo I-C'!E209+'DCA-Anexo I-C'!E210</f>
        <v>0</v>
      </c>
    </row>
    <row r="209" spans="1:5" ht="12.75" customHeight="1">
      <c r="A209" s="3" t="s">
        <v>1284</v>
      </c>
      <c r="B209" s="11"/>
      <c r="C209" s="11"/>
      <c r="D209" s="11"/>
      <c r="E209" s="11"/>
    </row>
    <row r="210" spans="1:5" ht="25.5" customHeight="1">
      <c r="A210" s="4" t="s">
        <v>1285</v>
      </c>
      <c r="B210" s="12"/>
      <c r="C210" s="12"/>
      <c r="D210" s="12"/>
      <c r="E210" s="12"/>
    </row>
    <row r="211" spans="1:5" ht="25.5" customHeight="1">
      <c r="A211" s="3" t="s">
        <v>1286</v>
      </c>
      <c r="B211" s="11">
        <f>+'DCA-Anexo I-C'!B212+'DCA-Anexo I-C'!B213</f>
        <v>0</v>
      </c>
      <c r="C211" s="11">
        <f>+'DCA-Anexo I-C'!C212+'DCA-Anexo I-C'!C213</f>
        <v>0</v>
      </c>
      <c r="D211" s="11">
        <f>+'DCA-Anexo I-C'!D212+'DCA-Anexo I-C'!D213</f>
        <v>0</v>
      </c>
      <c r="E211" s="11">
        <f>+'DCA-Anexo I-C'!E212+'DCA-Anexo I-C'!E213</f>
        <v>0</v>
      </c>
    </row>
    <row r="212" spans="1:5" ht="25.5" customHeight="1">
      <c r="A212" s="4" t="s">
        <v>1287</v>
      </c>
      <c r="B212" s="12"/>
      <c r="C212" s="12"/>
      <c r="D212" s="12"/>
      <c r="E212" s="12"/>
    </row>
    <row r="213" spans="1:5" ht="25.5" customHeight="1">
      <c r="A213" s="3" t="s">
        <v>1288</v>
      </c>
      <c r="B213" s="11"/>
      <c r="C213" s="11"/>
      <c r="D213" s="11"/>
      <c r="E213" s="11"/>
    </row>
    <row r="214" spans="1:5" ht="25.5" customHeight="1">
      <c r="A214" s="4" t="s">
        <v>1289</v>
      </c>
      <c r="B214" s="12">
        <f>+'DCA-Anexo I-C'!B215+'DCA-Anexo I-C'!B216</f>
        <v>0</v>
      </c>
      <c r="C214" s="12">
        <f>+'DCA-Anexo I-C'!C215+'DCA-Anexo I-C'!C216</f>
        <v>0</v>
      </c>
      <c r="D214" s="12">
        <f>+'DCA-Anexo I-C'!D215+'DCA-Anexo I-C'!D216</f>
        <v>0</v>
      </c>
      <c r="E214" s="12">
        <f>+'DCA-Anexo I-C'!E215+'DCA-Anexo I-C'!E216</f>
        <v>0</v>
      </c>
    </row>
    <row r="215" spans="1:5" ht="25.5" customHeight="1">
      <c r="A215" s="3" t="s">
        <v>1290</v>
      </c>
      <c r="B215" s="11"/>
      <c r="C215" s="11"/>
      <c r="D215" s="11"/>
      <c r="E215" s="11"/>
    </row>
    <row r="216" spans="1:5" ht="25.5" customHeight="1">
      <c r="A216" s="4" t="s">
        <v>1291</v>
      </c>
      <c r="B216" s="12"/>
      <c r="C216" s="12"/>
      <c r="D216" s="12"/>
      <c r="E216" s="12"/>
    </row>
    <row r="217" spans="1:5" ht="25.5" customHeight="1">
      <c r="A217" s="3" t="s">
        <v>1292</v>
      </c>
      <c r="B217" s="11">
        <f>+'DCA-Anexo I-C'!B218+'DCA-Anexo I-C'!B219</f>
        <v>0</v>
      </c>
      <c r="C217" s="11">
        <f>+'DCA-Anexo I-C'!C218+'DCA-Anexo I-C'!C219</f>
        <v>0</v>
      </c>
      <c r="D217" s="11">
        <f>+'DCA-Anexo I-C'!D218+'DCA-Anexo I-C'!D219</f>
        <v>0</v>
      </c>
      <c r="E217" s="11">
        <f>+'DCA-Anexo I-C'!E218+'DCA-Anexo I-C'!E219</f>
        <v>0</v>
      </c>
    </row>
    <row r="218" spans="1:5" ht="25.5" customHeight="1">
      <c r="A218" s="4" t="s">
        <v>1293</v>
      </c>
      <c r="B218" s="12"/>
      <c r="C218" s="12"/>
      <c r="D218" s="12"/>
      <c r="E218" s="12"/>
    </row>
    <row r="219" spans="1:5" ht="38.25" customHeight="1">
      <c r="A219" s="3" t="s">
        <v>1294</v>
      </c>
      <c r="B219" s="11"/>
      <c r="C219" s="11"/>
      <c r="D219" s="11"/>
      <c r="E219" s="11"/>
    </row>
    <row r="220" spans="1:5" ht="12.75" customHeight="1">
      <c r="A220" s="4" t="s">
        <v>1295</v>
      </c>
      <c r="B220" s="12">
        <f>+'DCA-Anexo I-C'!B221+'DCA-Anexo I-C'!B222</f>
        <v>0</v>
      </c>
      <c r="C220" s="12">
        <f>+'DCA-Anexo I-C'!C221+'DCA-Anexo I-C'!C222</f>
        <v>0</v>
      </c>
      <c r="D220" s="12">
        <f>+'DCA-Anexo I-C'!D221+'DCA-Anexo I-C'!D222</f>
        <v>0</v>
      </c>
      <c r="E220" s="12">
        <f>+'DCA-Anexo I-C'!E221+'DCA-Anexo I-C'!E222</f>
        <v>0</v>
      </c>
    </row>
    <row r="221" spans="1:5" ht="25.5" customHeight="1">
      <c r="A221" s="3" t="s">
        <v>1296</v>
      </c>
      <c r="B221" s="11"/>
      <c r="C221" s="11"/>
      <c r="D221" s="11"/>
      <c r="E221" s="11"/>
    </row>
    <row r="222" spans="1:5" ht="12.75" customHeight="1">
      <c r="A222" s="4" t="s">
        <v>1297</v>
      </c>
      <c r="B222" s="12"/>
      <c r="C222" s="12"/>
      <c r="D222" s="12"/>
      <c r="E222" s="12"/>
    </row>
    <row r="223" spans="1:5" ht="12.75" customHeight="1">
      <c r="A223" s="3" t="s">
        <v>1298</v>
      </c>
      <c r="B223" s="11">
        <f>+'DCA-Anexo I-C'!B224+'DCA-Anexo I-C'!B225+'DCA-Anexo I-C'!B226+'DCA-Anexo I-C'!B227</f>
        <v>0</v>
      </c>
      <c r="C223" s="11">
        <f>+'DCA-Anexo I-C'!C224+'DCA-Anexo I-C'!C225+'DCA-Anexo I-C'!C226+'DCA-Anexo I-C'!C227</f>
        <v>0</v>
      </c>
      <c r="D223" s="11">
        <f>+'DCA-Anexo I-C'!D224+'DCA-Anexo I-C'!D225+'DCA-Anexo I-C'!D226+'DCA-Anexo I-C'!D227</f>
        <v>0</v>
      </c>
      <c r="E223" s="11">
        <f>+'DCA-Anexo I-C'!E224+'DCA-Anexo I-C'!E225+'DCA-Anexo I-C'!E226+'DCA-Anexo I-C'!E227</f>
        <v>0</v>
      </c>
    </row>
    <row r="224" spans="1:5" ht="25.5" customHeight="1">
      <c r="A224" s="4" t="s">
        <v>1299</v>
      </c>
      <c r="B224" s="12"/>
      <c r="C224" s="12"/>
      <c r="D224" s="12"/>
      <c r="E224" s="12"/>
    </row>
    <row r="225" spans="1:5" ht="25.5" customHeight="1">
      <c r="A225" s="3" t="s">
        <v>1300</v>
      </c>
      <c r="B225" s="11"/>
      <c r="C225" s="11"/>
      <c r="D225" s="11"/>
      <c r="E225" s="11"/>
    </row>
    <row r="226" spans="1:5" ht="25.5" customHeight="1">
      <c r="A226" s="4" t="s">
        <v>1301</v>
      </c>
      <c r="B226" s="12"/>
      <c r="C226" s="12"/>
      <c r="D226" s="12"/>
      <c r="E226" s="12"/>
    </row>
    <row r="227" spans="1:5" ht="25.5" customHeight="1">
      <c r="A227" s="3" t="s">
        <v>1302</v>
      </c>
      <c r="B227" s="11"/>
      <c r="C227" s="11"/>
      <c r="D227" s="11"/>
      <c r="E227" s="11"/>
    </row>
    <row r="228" spans="1:5" ht="12.75" customHeight="1">
      <c r="A228" s="4" t="s">
        <v>1303</v>
      </c>
      <c r="B228" s="12">
        <f>+'DCA-Anexo I-C'!B229</f>
        <v>0</v>
      </c>
      <c r="C228" s="12">
        <f>+'DCA-Anexo I-C'!C229</f>
        <v>0</v>
      </c>
      <c r="D228" s="12">
        <f>+'DCA-Anexo I-C'!D229</f>
        <v>0</v>
      </c>
      <c r="E228" s="12">
        <f>+'DCA-Anexo I-C'!E229</f>
        <v>0</v>
      </c>
    </row>
    <row r="229" spans="1:5" ht="12.75" customHeight="1">
      <c r="A229" s="3" t="s">
        <v>1304</v>
      </c>
      <c r="B229" s="11">
        <f>+'DCA-Anexo I-C'!B230+'DCA-Anexo I-C'!B233+'DCA-Anexo I-C'!B234+'DCA-Anexo I-C'!B235+'DCA-Anexo I-C'!B236+'DCA-Anexo I-C'!B237+'DCA-Anexo I-C'!B238+'DCA-Anexo I-C'!B239+'DCA-Anexo I-C'!B242+'DCA-Anexo I-C'!B245+'DCA-Anexo I-C'!B246+'DCA-Anexo I-C'!B247+'DCA-Anexo I-C'!B248+'DCA-Anexo I-C'!B249+'DCA-Anexo I-C'!B250</f>
        <v>0</v>
      </c>
      <c r="C229" s="11">
        <f>+'DCA-Anexo I-C'!C230+'DCA-Anexo I-C'!C233+'DCA-Anexo I-C'!C234+'DCA-Anexo I-C'!C235+'DCA-Anexo I-C'!C236+'DCA-Anexo I-C'!C237+'DCA-Anexo I-C'!C238+'DCA-Anexo I-C'!C239+'DCA-Anexo I-C'!C242+'DCA-Anexo I-C'!C245+'DCA-Anexo I-C'!C246+'DCA-Anexo I-C'!C247+'DCA-Anexo I-C'!C248+'DCA-Anexo I-C'!C249+'DCA-Anexo I-C'!C250</f>
        <v>0</v>
      </c>
      <c r="D229" s="11">
        <f>+'DCA-Anexo I-C'!D230+'DCA-Anexo I-C'!D233+'DCA-Anexo I-C'!D234+'DCA-Anexo I-C'!D235+'DCA-Anexo I-C'!D236+'DCA-Anexo I-C'!D237+'DCA-Anexo I-C'!D238+'DCA-Anexo I-C'!D239+'DCA-Anexo I-C'!D242+'DCA-Anexo I-C'!D245+'DCA-Anexo I-C'!D246+'DCA-Anexo I-C'!D247+'DCA-Anexo I-C'!D248+'DCA-Anexo I-C'!D249+'DCA-Anexo I-C'!D250</f>
        <v>0</v>
      </c>
      <c r="E229" s="11">
        <f>+'DCA-Anexo I-C'!E230+'DCA-Anexo I-C'!E233+'DCA-Anexo I-C'!E234+'DCA-Anexo I-C'!E235+'DCA-Anexo I-C'!E236+'DCA-Anexo I-C'!E237+'DCA-Anexo I-C'!E238+'DCA-Anexo I-C'!E239+'DCA-Anexo I-C'!E242+'DCA-Anexo I-C'!E245+'DCA-Anexo I-C'!E246+'DCA-Anexo I-C'!E247+'DCA-Anexo I-C'!E248+'DCA-Anexo I-C'!E249+'DCA-Anexo I-C'!E250</f>
        <v>0</v>
      </c>
    </row>
    <row r="230" spans="1:5" ht="38.25" customHeight="1">
      <c r="A230" s="4" t="s">
        <v>1305</v>
      </c>
      <c r="B230" s="12">
        <f>+'DCA-Anexo I-C'!B231+'DCA-Anexo I-C'!B232</f>
        <v>0</v>
      </c>
      <c r="C230" s="12">
        <f>+'DCA-Anexo I-C'!C231+'DCA-Anexo I-C'!C232</f>
        <v>0</v>
      </c>
      <c r="D230" s="12">
        <f>+'DCA-Anexo I-C'!D231+'DCA-Anexo I-C'!D232</f>
        <v>0</v>
      </c>
      <c r="E230" s="12">
        <f>+'DCA-Anexo I-C'!E231+'DCA-Anexo I-C'!E232</f>
        <v>0</v>
      </c>
    </row>
    <row r="231" spans="1:5" ht="25.5" customHeight="1">
      <c r="A231" s="3" t="s">
        <v>1306</v>
      </c>
      <c r="B231" s="11"/>
      <c r="C231" s="11"/>
      <c r="D231" s="11"/>
      <c r="E231" s="11"/>
    </row>
    <row r="232" spans="1:5" ht="38.25" customHeight="1">
      <c r="A232" s="4" t="s">
        <v>1307</v>
      </c>
      <c r="B232" s="12"/>
      <c r="C232" s="12"/>
      <c r="D232" s="12"/>
      <c r="E232" s="12"/>
    </row>
    <row r="233" spans="1:5" ht="25.5" customHeight="1">
      <c r="A233" s="3" t="s">
        <v>1308</v>
      </c>
      <c r="B233" s="11"/>
      <c r="C233" s="11"/>
      <c r="D233" s="11"/>
      <c r="E233" s="11"/>
    </row>
    <row r="234" spans="1:5" ht="12.75" customHeight="1">
      <c r="A234" s="4" t="s">
        <v>1309</v>
      </c>
      <c r="B234" s="12"/>
      <c r="C234" s="12"/>
      <c r="D234" s="12"/>
      <c r="E234" s="12"/>
    </row>
    <row r="235" spans="1:5" ht="25.5" customHeight="1">
      <c r="A235" s="3" t="s">
        <v>1310</v>
      </c>
      <c r="B235" s="11"/>
      <c r="C235" s="11"/>
      <c r="D235" s="11"/>
      <c r="E235" s="11"/>
    </row>
    <row r="236" spans="1:5" ht="25.5" customHeight="1">
      <c r="A236" s="4" t="s">
        <v>1311</v>
      </c>
      <c r="B236" s="12"/>
      <c r="C236" s="12"/>
      <c r="D236" s="12"/>
      <c r="E236" s="12"/>
    </row>
    <row r="237" spans="1:5" ht="25.5" customHeight="1">
      <c r="A237" s="3" t="s">
        <v>1312</v>
      </c>
      <c r="B237" s="11"/>
      <c r="C237" s="11"/>
      <c r="D237" s="11"/>
      <c r="E237" s="11"/>
    </row>
    <row r="238" spans="1:5" ht="25.5" customHeight="1">
      <c r="A238" s="4" t="s">
        <v>1313</v>
      </c>
      <c r="B238" s="12"/>
      <c r="C238" s="12"/>
      <c r="D238" s="12"/>
      <c r="E238" s="12"/>
    </row>
    <row r="239" spans="1:5" ht="38.25" customHeight="1">
      <c r="A239" s="3" t="s">
        <v>1314</v>
      </c>
      <c r="B239" s="11">
        <f>+'DCA-Anexo I-C'!B240+'DCA-Anexo I-C'!B241</f>
        <v>0</v>
      </c>
      <c r="C239" s="11">
        <f>+'DCA-Anexo I-C'!C240+'DCA-Anexo I-C'!C241</f>
        <v>0</v>
      </c>
      <c r="D239" s="11">
        <f>+'DCA-Anexo I-C'!D240+'DCA-Anexo I-C'!D241</f>
        <v>0</v>
      </c>
      <c r="E239" s="11">
        <f>+'DCA-Anexo I-C'!E240+'DCA-Anexo I-C'!E241</f>
        <v>0</v>
      </c>
    </row>
    <row r="240" spans="1:5" ht="25.5" customHeight="1">
      <c r="A240" s="4" t="s">
        <v>1315</v>
      </c>
      <c r="B240" s="12"/>
      <c r="C240" s="12"/>
      <c r="D240" s="12"/>
      <c r="E240" s="12"/>
    </row>
    <row r="241" spans="1:5" ht="25.5" customHeight="1">
      <c r="A241" s="3" t="s">
        <v>1316</v>
      </c>
      <c r="B241" s="11"/>
      <c r="C241" s="11"/>
      <c r="D241" s="11"/>
      <c r="E241" s="11"/>
    </row>
    <row r="242" spans="1:5" ht="25.5" customHeight="1">
      <c r="A242" s="4" t="s">
        <v>1317</v>
      </c>
      <c r="B242" s="12">
        <f>+'DCA-Anexo I-C'!B243+'DCA-Anexo I-C'!B244</f>
        <v>0</v>
      </c>
      <c r="C242" s="12">
        <f>+'DCA-Anexo I-C'!C243+'DCA-Anexo I-C'!C244</f>
        <v>0</v>
      </c>
      <c r="D242" s="12">
        <f>+'DCA-Anexo I-C'!D243+'DCA-Anexo I-C'!D244</f>
        <v>0</v>
      </c>
      <c r="E242" s="12">
        <f>+'DCA-Anexo I-C'!E243+'DCA-Anexo I-C'!E244</f>
        <v>0</v>
      </c>
    </row>
    <row r="243" spans="1:5" ht="25.5" customHeight="1">
      <c r="A243" s="3" t="s">
        <v>1318</v>
      </c>
      <c r="B243" s="11"/>
      <c r="C243" s="11"/>
      <c r="D243" s="11"/>
      <c r="E243" s="11"/>
    </row>
    <row r="244" spans="1:5" ht="25.5" customHeight="1">
      <c r="A244" s="4" t="s">
        <v>1319</v>
      </c>
      <c r="B244" s="12"/>
      <c r="C244" s="12"/>
      <c r="D244" s="12"/>
      <c r="E244" s="12"/>
    </row>
    <row r="245" spans="1:5" ht="12.75" customHeight="1">
      <c r="A245" s="3" t="s">
        <v>1320</v>
      </c>
      <c r="B245" s="11"/>
      <c r="C245" s="11"/>
      <c r="D245" s="11"/>
      <c r="E245" s="11"/>
    </row>
    <row r="246" spans="1:5" ht="25.5" customHeight="1">
      <c r="A246" s="4" t="s">
        <v>1321</v>
      </c>
      <c r="B246" s="12"/>
      <c r="C246" s="12"/>
      <c r="D246" s="12"/>
      <c r="E246" s="12"/>
    </row>
    <row r="247" spans="1:5" ht="25.5" customHeight="1">
      <c r="A247" s="3" t="s">
        <v>1322</v>
      </c>
      <c r="B247" s="11"/>
      <c r="C247" s="11"/>
      <c r="D247" s="11"/>
      <c r="E247" s="11"/>
    </row>
    <row r="248" spans="1:5" ht="25.5" customHeight="1">
      <c r="A248" s="4" t="s">
        <v>1323</v>
      </c>
      <c r="B248" s="12"/>
      <c r="C248" s="12"/>
      <c r="D248" s="12"/>
      <c r="E248" s="12"/>
    </row>
    <row r="249" spans="1:5" ht="12.75" customHeight="1">
      <c r="A249" s="3" t="s">
        <v>1324</v>
      </c>
      <c r="B249" s="11"/>
      <c r="C249" s="11"/>
      <c r="D249" s="11"/>
      <c r="E249" s="11"/>
    </row>
    <row r="250" spans="1:5" ht="12.75" customHeight="1">
      <c r="A250" s="4" t="s">
        <v>1325</v>
      </c>
      <c r="B250" s="12"/>
      <c r="C250" s="12"/>
      <c r="D250" s="12"/>
      <c r="E250" s="12"/>
    </row>
    <row r="251" spans="1:5" ht="25.5" customHeight="1">
      <c r="A251" s="3" t="s">
        <v>1326</v>
      </c>
      <c r="B251" s="11"/>
      <c r="C251" s="11"/>
      <c r="D251" s="11"/>
      <c r="E251" s="11"/>
    </row>
    <row r="252" spans="1:5" ht="25.5" customHeight="1">
      <c r="A252" s="4" t="s">
        <v>1327</v>
      </c>
      <c r="B252" s="12"/>
      <c r="C252" s="12"/>
      <c r="D252" s="12"/>
      <c r="E252" s="12"/>
    </row>
    <row r="253" spans="1:5" ht="12.75" customHeight="1">
      <c r="A253" s="3" t="s">
        <v>1328</v>
      </c>
      <c r="B253" s="11">
        <f>+'DCA-Anexo I-C'!B254+'DCA-Anexo I-C'!B261+'DCA-Anexo I-C'!B272+'DCA-Anexo I-C'!B306+'DCA-Anexo I-C'!B366+'DCA-Anexo I-C'!B372+'DCA-Anexo I-C'!B377</f>
        <v>1248131.48</v>
      </c>
      <c r="C253" s="11">
        <f>+'DCA-Anexo I-C'!C254+'DCA-Anexo I-C'!C261+'DCA-Anexo I-C'!C272+'DCA-Anexo I-C'!C306+'DCA-Anexo I-C'!C366+'DCA-Anexo I-C'!C372+'DCA-Anexo I-C'!C377</f>
        <v>0</v>
      </c>
      <c r="D253" s="11">
        <f>+'DCA-Anexo I-C'!D254+'DCA-Anexo I-C'!D261+'DCA-Anexo I-C'!D272+'DCA-Anexo I-C'!D306+'DCA-Anexo I-C'!D366+'DCA-Anexo I-C'!D372+'DCA-Anexo I-C'!D377</f>
        <v>0</v>
      </c>
      <c r="E253" s="11">
        <f>+'DCA-Anexo I-C'!E254+'DCA-Anexo I-C'!E261+'DCA-Anexo I-C'!E272+'DCA-Anexo I-C'!E306+'DCA-Anexo I-C'!E366+'DCA-Anexo I-C'!E372+'DCA-Anexo I-C'!E377</f>
        <v>0</v>
      </c>
    </row>
    <row r="254" spans="1:5" ht="12.75" customHeight="1">
      <c r="A254" s="4" t="s">
        <v>1329</v>
      </c>
      <c r="B254" s="12">
        <f>+'DCA-Anexo I-C'!B255</f>
        <v>362.22</v>
      </c>
      <c r="C254" s="12">
        <f>+'DCA-Anexo I-C'!C255</f>
        <v>0</v>
      </c>
      <c r="D254" s="12">
        <f>+'DCA-Anexo I-C'!D255</f>
        <v>0</v>
      </c>
      <c r="E254" s="12">
        <f>+'DCA-Anexo I-C'!E255</f>
        <v>0</v>
      </c>
    </row>
    <row r="255" spans="1:5" ht="12.75" customHeight="1">
      <c r="A255" s="3" t="s">
        <v>1330</v>
      </c>
      <c r="B255" s="11">
        <f>+'DCA-Anexo I-C'!B256+'DCA-Anexo I-C'!B259+'DCA-Anexo I-C'!B260</f>
        <v>362.22</v>
      </c>
      <c r="C255" s="11">
        <f>+'DCA-Anexo I-C'!C256+'DCA-Anexo I-C'!C259+'DCA-Anexo I-C'!C260</f>
        <v>0</v>
      </c>
      <c r="D255" s="11">
        <f>+'DCA-Anexo I-C'!D256+'DCA-Anexo I-C'!D259+'DCA-Anexo I-C'!D260</f>
        <v>0</v>
      </c>
      <c r="E255" s="11">
        <f>+'DCA-Anexo I-C'!E256+'DCA-Anexo I-C'!E259+'DCA-Anexo I-C'!E260</f>
        <v>0</v>
      </c>
    </row>
    <row r="256" spans="1:5" ht="25.5" customHeight="1">
      <c r="A256" s="4" t="s">
        <v>1331</v>
      </c>
      <c r="B256" s="12">
        <f>+'DCA-Anexo I-C'!B257+'DCA-Anexo I-C'!B258</f>
        <v>362.22</v>
      </c>
      <c r="C256" s="12">
        <f>+'DCA-Anexo I-C'!C257+'DCA-Anexo I-C'!C258</f>
        <v>0</v>
      </c>
      <c r="D256" s="12">
        <f>+'DCA-Anexo I-C'!D257+'DCA-Anexo I-C'!D258</f>
        <v>0</v>
      </c>
      <c r="E256" s="12">
        <f>+'DCA-Anexo I-C'!E257+'DCA-Anexo I-C'!E258</f>
        <v>0</v>
      </c>
    </row>
    <row r="257" spans="1:5" ht="12.75" customHeight="1">
      <c r="A257" s="3" t="s">
        <v>1332</v>
      </c>
      <c r="B257" s="11">
        <v>362.22</v>
      </c>
      <c r="C257" s="11"/>
      <c r="D257" s="11"/>
      <c r="E257" s="11"/>
    </row>
    <row r="258" spans="1:5" ht="12.75" customHeight="1">
      <c r="A258" s="4" t="s">
        <v>1333</v>
      </c>
      <c r="B258" s="12"/>
      <c r="C258" s="12"/>
      <c r="D258" s="12"/>
      <c r="E258" s="12"/>
    </row>
    <row r="259" spans="1:5" ht="25.5" customHeight="1">
      <c r="A259" s="3" t="s">
        <v>1334</v>
      </c>
      <c r="B259" s="11"/>
      <c r="C259" s="11"/>
      <c r="D259" s="11"/>
      <c r="E259" s="11"/>
    </row>
    <row r="260" spans="1:5" ht="12.75" customHeight="1">
      <c r="A260" s="4" t="s">
        <v>1335</v>
      </c>
      <c r="B260" s="12"/>
      <c r="C260" s="12"/>
      <c r="D260" s="12"/>
      <c r="E260" s="12"/>
    </row>
    <row r="261" spans="1:5" ht="12.75" customHeight="1">
      <c r="A261" s="3" t="s">
        <v>1336</v>
      </c>
      <c r="B261" s="11">
        <f>+'DCA-Anexo I-C'!B262+'DCA-Anexo I-C'!B269+'DCA-Anexo I-C'!B270+'DCA-Anexo I-C'!B271</f>
        <v>1247769.26</v>
      </c>
      <c r="C261" s="11">
        <f>+'DCA-Anexo I-C'!C262+'DCA-Anexo I-C'!C269+'DCA-Anexo I-C'!C270+'DCA-Anexo I-C'!C271</f>
        <v>0</v>
      </c>
      <c r="D261" s="11">
        <f>+'DCA-Anexo I-C'!D262+'DCA-Anexo I-C'!D269+'DCA-Anexo I-C'!D270+'DCA-Anexo I-C'!D271</f>
        <v>0</v>
      </c>
      <c r="E261" s="11">
        <f>+'DCA-Anexo I-C'!E262+'DCA-Anexo I-C'!E269+'DCA-Anexo I-C'!E270+'DCA-Anexo I-C'!E271</f>
        <v>0</v>
      </c>
    </row>
    <row r="262" spans="1:5" ht="12.75" customHeight="1">
      <c r="A262" s="4" t="s">
        <v>1337</v>
      </c>
      <c r="B262" s="12">
        <f>+'DCA-Anexo I-C'!B263+'DCA-Anexo I-C'!B264+'DCA-Anexo I-C'!B265+'DCA-Anexo I-C'!B266+'DCA-Anexo I-C'!B267+'DCA-Anexo I-C'!B268</f>
        <v>1247769.26</v>
      </c>
      <c r="C262" s="12">
        <f>+'DCA-Anexo I-C'!C263+'DCA-Anexo I-C'!C264+'DCA-Anexo I-C'!C265+'DCA-Anexo I-C'!C266+'DCA-Anexo I-C'!C267+'DCA-Anexo I-C'!C268</f>
        <v>0</v>
      </c>
      <c r="D262" s="12">
        <f>+'DCA-Anexo I-C'!D263+'DCA-Anexo I-C'!D264+'DCA-Anexo I-C'!D265+'DCA-Anexo I-C'!D266+'DCA-Anexo I-C'!D267+'DCA-Anexo I-C'!D268</f>
        <v>0</v>
      </c>
      <c r="E262" s="12">
        <f>+'DCA-Anexo I-C'!E263+'DCA-Anexo I-C'!E264+'DCA-Anexo I-C'!E265+'DCA-Anexo I-C'!E266+'DCA-Anexo I-C'!E267+'DCA-Anexo I-C'!E268</f>
        <v>0</v>
      </c>
    </row>
    <row r="263" spans="1:5" ht="12.75" customHeight="1">
      <c r="A263" s="3" t="s">
        <v>1338</v>
      </c>
      <c r="B263" s="11">
        <v>1247769.26</v>
      </c>
      <c r="C263" s="11"/>
      <c r="D263" s="11"/>
      <c r="E263" s="11"/>
    </row>
    <row r="264" spans="1:5" ht="12.75" customHeight="1">
      <c r="A264" s="4" t="s">
        <v>1339</v>
      </c>
      <c r="B264" s="12"/>
      <c r="C264" s="12"/>
      <c r="D264" s="12"/>
      <c r="E264" s="12"/>
    </row>
    <row r="265" spans="1:5" ht="12.75" customHeight="1">
      <c r="A265" s="3" t="s">
        <v>1340</v>
      </c>
      <c r="B265" s="11"/>
      <c r="C265" s="11"/>
      <c r="D265" s="11"/>
      <c r="E265" s="11"/>
    </row>
    <row r="266" spans="1:5" ht="25.5" customHeight="1">
      <c r="A266" s="4" t="s">
        <v>1341</v>
      </c>
      <c r="B266" s="12"/>
      <c r="C266" s="12"/>
      <c r="D266" s="12"/>
      <c r="E266" s="12"/>
    </row>
    <row r="267" spans="1:5" ht="12.75" customHeight="1">
      <c r="A267" s="3" t="s">
        <v>1342</v>
      </c>
      <c r="B267" s="11"/>
      <c r="C267" s="11"/>
      <c r="D267" s="11"/>
      <c r="E267" s="11"/>
    </row>
    <row r="268" spans="1:5" ht="12.75" customHeight="1">
      <c r="A268" s="4" t="s">
        <v>1343</v>
      </c>
      <c r="B268" s="12"/>
      <c r="C268" s="12"/>
      <c r="D268" s="12"/>
      <c r="E268" s="12"/>
    </row>
    <row r="269" spans="1:5" ht="12.75" customHeight="1">
      <c r="A269" s="3" t="s">
        <v>1344</v>
      </c>
      <c r="B269" s="11"/>
      <c r="C269" s="11"/>
      <c r="D269" s="11"/>
      <c r="E269" s="11"/>
    </row>
    <row r="270" spans="1:5" ht="12.75" customHeight="1">
      <c r="A270" s="4" t="s">
        <v>1345</v>
      </c>
      <c r="B270" s="12"/>
      <c r="C270" s="12"/>
      <c r="D270" s="12"/>
      <c r="E270" s="12"/>
    </row>
    <row r="271" spans="1:5" ht="12.75" customHeight="1">
      <c r="A271" s="3" t="s">
        <v>1346</v>
      </c>
      <c r="B271" s="11"/>
      <c r="C271" s="11"/>
      <c r="D271" s="11"/>
      <c r="E271" s="11"/>
    </row>
    <row r="272" spans="1:5" ht="25.5" customHeight="1">
      <c r="A272" s="4" t="s">
        <v>1347</v>
      </c>
      <c r="B272" s="12">
        <f>+'DCA-Anexo I-C'!B273+'DCA-Anexo I-C'!B279+'DCA-Anexo I-C'!B286+'DCA-Anexo I-C'!B295+'DCA-Anexo I-C'!B297+'DCA-Anexo I-C'!B302</f>
        <v>0</v>
      </c>
      <c r="C272" s="12">
        <f>+'DCA-Anexo I-C'!C273+'DCA-Anexo I-C'!C279+'DCA-Anexo I-C'!C286+'DCA-Anexo I-C'!C295+'DCA-Anexo I-C'!C297+'DCA-Anexo I-C'!C302</f>
        <v>0</v>
      </c>
      <c r="D272" s="12">
        <f>+'DCA-Anexo I-C'!D273+'DCA-Anexo I-C'!D279+'DCA-Anexo I-C'!D286+'DCA-Anexo I-C'!D295+'DCA-Anexo I-C'!D297+'DCA-Anexo I-C'!D302</f>
        <v>0</v>
      </c>
      <c r="E272" s="12">
        <f>+'DCA-Anexo I-C'!E273+'DCA-Anexo I-C'!E279+'DCA-Anexo I-C'!E286+'DCA-Anexo I-C'!E295+'DCA-Anexo I-C'!E297+'DCA-Anexo I-C'!E302</f>
        <v>0</v>
      </c>
    </row>
    <row r="273" spans="1:5" ht="12.75" customHeight="1">
      <c r="A273" s="3" t="s">
        <v>1348</v>
      </c>
      <c r="B273" s="11">
        <f>+'DCA-Anexo I-C'!B274+'DCA-Anexo I-C'!B275+'DCA-Anexo I-C'!B276+'DCA-Anexo I-C'!B277+'DCA-Anexo I-C'!B278</f>
        <v>0</v>
      </c>
      <c r="C273" s="11">
        <f>+'DCA-Anexo I-C'!C274+'DCA-Anexo I-C'!C275+'DCA-Anexo I-C'!C276+'DCA-Anexo I-C'!C277+'DCA-Anexo I-C'!C278</f>
        <v>0</v>
      </c>
      <c r="D273" s="11">
        <f>+'DCA-Anexo I-C'!D274+'DCA-Anexo I-C'!D275+'DCA-Anexo I-C'!D276+'DCA-Anexo I-C'!D277+'DCA-Anexo I-C'!D278</f>
        <v>0</v>
      </c>
      <c r="E273" s="11">
        <f>+'DCA-Anexo I-C'!E274+'DCA-Anexo I-C'!E275+'DCA-Anexo I-C'!E276+'DCA-Anexo I-C'!E277+'DCA-Anexo I-C'!E278</f>
        <v>0</v>
      </c>
    </row>
    <row r="274" spans="1:5" ht="25.5" customHeight="1">
      <c r="A274" s="4" t="s">
        <v>1349</v>
      </c>
      <c r="B274" s="12"/>
      <c r="C274" s="12"/>
      <c r="D274" s="12"/>
      <c r="E274" s="12"/>
    </row>
    <row r="275" spans="1:5" ht="25.5" customHeight="1">
      <c r="A275" s="3" t="s">
        <v>1350</v>
      </c>
      <c r="B275" s="11"/>
      <c r="C275" s="11"/>
      <c r="D275" s="11"/>
      <c r="E275" s="11"/>
    </row>
    <row r="276" spans="1:5" ht="25.5" customHeight="1">
      <c r="A276" s="4" t="s">
        <v>1351</v>
      </c>
      <c r="B276" s="12"/>
      <c r="C276" s="12"/>
      <c r="D276" s="12"/>
      <c r="E276" s="12"/>
    </row>
    <row r="277" spans="1:5" ht="25.5" customHeight="1">
      <c r="A277" s="3" t="s">
        <v>1352</v>
      </c>
      <c r="B277" s="11"/>
      <c r="C277" s="11"/>
      <c r="D277" s="11"/>
      <c r="E277" s="11"/>
    </row>
    <row r="278" spans="1:5" ht="25.5" customHeight="1">
      <c r="A278" s="4" t="s">
        <v>1353</v>
      </c>
      <c r="B278" s="12"/>
      <c r="C278" s="12"/>
      <c r="D278" s="12"/>
      <c r="E278" s="12"/>
    </row>
    <row r="279" spans="1:5" ht="12.75" customHeight="1">
      <c r="A279" s="3" t="s">
        <v>1354</v>
      </c>
      <c r="B279" s="11">
        <f>+'DCA-Anexo I-C'!B280+'DCA-Anexo I-C'!B283+'DCA-Anexo I-C'!B284+'DCA-Anexo I-C'!B285</f>
        <v>0</v>
      </c>
      <c r="C279" s="11">
        <f>+'DCA-Anexo I-C'!C280+'DCA-Anexo I-C'!C283+'DCA-Anexo I-C'!C284+'DCA-Anexo I-C'!C285</f>
        <v>0</v>
      </c>
      <c r="D279" s="11">
        <f>+'DCA-Anexo I-C'!D280+'DCA-Anexo I-C'!D283+'DCA-Anexo I-C'!D284+'DCA-Anexo I-C'!D285</f>
        <v>0</v>
      </c>
      <c r="E279" s="11">
        <f>+'DCA-Anexo I-C'!E280+'DCA-Anexo I-C'!E283+'DCA-Anexo I-C'!E284+'DCA-Anexo I-C'!E285</f>
        <v>0</v>
      </c>
    </row>
    <row r="280" spans="1:5" ht="25.5" customHeight="1">
      <c r="A280" s="4" t="s">
        <v>1355</v>
      </c>
      <c r="B280" s="12">
        <f>+'DCA-Anexo I-C'!B281+'DCA-Anexo I-C'!B282</f>
        <v>0</v>
      </c>
      <c r="C280" s="12">
        <f>+'DCA-Anexo I-C'!C281+'DCA-Anexo I-C'!C282</f>
        <v>0</v>
      </c>
      <c r="D280" s="12">
        <f>+'DCA-Anexo I-C'!D281+'DCA-Anexo I-C'!D282</f>
        <v>0</v>
      </c>
      <c r="E280" s="12">
        <f>+'DCA-Anexo I-C'!E281+'DCA-Anexo I-C'!E282</f>
        <v>0</v>
      </c>
    </row>
    <row r="281" spans="1:5" ht="25.5" customHeight="1">
      <c r="A281" s="3" t="s">
        <v>1356</v>
      </c>
      <c r="B281" s="11"/>
      <c r="C281" s="11"/>
      <c r="D281" s="11"/>
      <c r="E281" s="11"/>
    </row>
    <row r="282" spans="1:5" ht="25.5" customHeight="1">
      <c r="A282" s="4" t="s">
        <v>1357</v>
      </c>
      <c r="B282" s="12"/>
      <c r="C282" s="12"/>
      <c r="D282" s="12"/>
      <c r="E282" s="12"/>
    </row>
    <row r="283" spans="1:5" ht="25.5" customHeight="1">
      <c r="A283" s="3" t="s">
        <v>1358</v>
      </c>
      <c r="B283" s="11"/>
      <c r="C283" s="11"/>
      <c r="D283" s="11"/>
      <c r="E283" s="11"/>
    </row>
    <row r="284" spans="1:5" ht="25.5" customHeight="1">
      <c r="A284" s="4" t="s">
        <v>1359</v>
      </c>
      <c r="B284" s="12"/>
      <c r="C284" s="12"/>
      <c r="D284" s="12"/>
      <c r="E284" s="12"/>
    </row>
    <row r="285" spans="1:5" ht="25.5" customHeight="1">
      <c r="A285" s="3" t="s">
        <v>1360</v>
      </c>
      <c r="B285" s="11"/>
      <c r="C285" s="11"/>
      <c r="D285" s="11"/>
      <c r="E285" s="11"/>
    </row>
    <row r="286" spans="1:5" ht="12.75" customHeight="1">
      <c r="A286" s="4" t="s">
        <v>1361</v>
      </c>
      <c r="B286" s="12">
        <f>+'DCA-Anexo I-C'!B287+'DCA-Anexo I-C'!B288+'DCA-Anexo I-C'!B289+'DCA-Anexo I-C'!B290+'DCA-Anexo I-C'!B291+'DCA-Anexo I-C'!B292+'DCA-Anexo I-C'!B293+'DCA-Anexo I-C'!B294</f>
        <v>0</v>
      </c>
      <c r="C286" s="12">
        <f>+'DCA-Anexo I-C'!C287+'DCA-Anexo I-C'!C288+'DCA-Anexo I-C'!C289+'DCA-Anexo I-C'!C290+'DCA-Anexo I-C'!C291+'DCA-Anexo I-C'!C292+'DCA-Anexo I-C'!C293+'DCA-Anexo I-C'!C294</f>
        <v>0</v>
      </c>
      <c r="D286" s="12">
        <f>+'DCA-Anexo I-C'!D287+'DCA-Anexo I-C'!D288+'DCA-Anexo I-C'!D289+'DCA-Anexo I-C'!D290+'DCA-Anexo I-C'!D291+'DCA-Anexo I-C'!D292+'DCA-Anexo I-C'!D293+'DCA-Anexo I-C'!D294</f>
        <v>0</v>
      </c>
      <c r="E286" s="12">
        <f>+'DCA-Anexo I-C'!E287+'DCA-Anexo I-C'!E288+'DCA-Anexo I-C'!E289+'DCA-Anexo I-C'!E290+'DCA-Anexo I-C'!E291+'DCA-Anexo I-C'!E292+'DCA-Anexo I-C'!E293+'DCA-Anexo I-C'!E294</f>
        <v>0</v>
      </c>
    </row>
    <row r="287" spans="1:5" ht="25.5" customHeight="1">
      <c r="A287" s="3" t="s">
        <v>1362</v>
      </c>
      <c r="B287" s="11"/>
      <c r="C287" s="11"/>
      <c r="D287" s="11"/>
      <c r="E287" s="11"/>
    </row>
    <row r="288" spans="1:5" ht="25.5" customHeight="1">
      <c r="A288" s="4" t="s">
        <v>1363</v>
      </c>
      <c r="B288" s="12"/>
      <c r="C288" s="12"/>
      <c r="D288" s="12"/>
      <c r="E288" s="12"/>
    </row>
    <row r="289" spans="1:5" ht="25.5" customHeight="1">
      <c r="A289" s="3" t="s">
        <v>1364</v>
      </c>
      <c r="B289" s="11"/>
      <c r="C289" s="11"/>
      <c r="D289" s="11"/>
      <c r="E289" s="11"/>
    </row>
    <row r="290" spans="1:5" ht="12.75" customHeight="1">
      <c r="A290" s="4" t="s">
        <v>1365</v>
      </c>
      <c r="B290" s="12"/>
      <c r="C290" s="12"/>
      <c r="D290" s="12"/>
      <c r="E290" s="12"/>
    </row>
    <row r="291" spans="1:5" ht="25.5" customHeight="1">
      <c r="A291" s="3" t="s">
        <v>1366</v>
      </c>
      <c r="B291" s="11"/>
      <c r="C291" s="11"/>
      <c r="D291" s="11"/>
      <c r="E291" s="11"/>
    </row>
    <row r="292" spans="1:5" ht="25.5" customHeight="1">
      <c r="A292" s="4" t="s">
        <v>1367</v>
      </c>
      <c r="B292" s="12"/>
      <c r="C292" s="12"/>
      <c r="D292" s="12"/>
      <c r="E292" s="12"/>
    </row>
    <row r="293" spans="1:5" ht="25.5" customHeight="1">
      <c r="A293" s="3" t="s">
        <v>1368</v>
      </c>
      <c r="B293" s="11"/>
      <c r="C293" s="11"/>
      <c r="D293" s="11"/>
      <c r="E293" s="11"/>
    </row>
    <row r="294" spans="1:5" ht="12.75" customHeight="1">
      <c r="A294" s="4" t="s">
        <v>1369</v>
      </c>
      <c r="B294" s="12"/>
      <c r="C294" s="12"/>
      <c r="D294" s="12"/>
      <c r="E294" s="12"/>
    </row>
    <row r="295" spans="1:5" ht="25.5" customHeight="1">
      <c r="A295" s="3" t="s">
        <v>1370</v>
      </c>
      <c r="B295" s="11">
        <f>+'DCA-Anexo I-C'!B296</f>
        <v>0</v>
      </c>
      <c r="C295" s="11">
        <f>+'DCA-Anexo I-C'!C296</f>
        <v>0</v>
      </c>
      <c r="D295" s="11">
        <f>+'DCA-Anexo I-C'!D296</f>
        <v>0</v>
      </c>
      <c r="E295" s="11">
        <f>+'DCA-Anexo I-C'!E296</f>
        <v>0</v>
      </c>
    </row>
    <row r="296" spans="1:5" ht="25.5" customHeight="1">
      <c r="A296" s="4" t="s">
        <v>1371</v>
      </c>
      <c r="B296" s="12"/>
      <c r="C296" s="12"/>
      <c r="D296" s="12"/>
      <c r="E296" s="12"/>
    </row>
    <row r="297" spans="1:5" ht="12.75" customHeight="1">
      <c r="A297" s="3" t="s">
        <v>1372</v>
      </c>
      <c r="B297" s="11">
        <f>+'DCA-Anexo I-C'!B298+'DCA-Anexo I-C'!B299+'DCA-Anexo I-C'!B300+'DCA-Anexo I-C'!B301</f>
        <v>0</v>
      </c>
      <c r="C297" s="11">
        <f>+'DCA-Anexo I-C'!C298+'DCA-Anexo I-C'!C299+'DCA-Anexo I-C'!C300+'DCA-Anexo I-C'!C301</f>
        <v>0</v>
      </c>
      <c r="D297" s="11">
        <f>+'DCA-Anexo I-C'!D298+'DCA-Anexo I-C'!D299+'DCA-Anexo I-C'!D300+'DCA-Anexo I-C'!D301</f>
        <v>0</v>
      </c>
      <c r="E297" s="11">
        <f>+'DCA-Anexo I-C'!E298+'DCA-Anexo I-C'!E299+'DCA-Anexo I-C'!E300+'DCA-Anexo I-C'!E301</f>
        <v>0</v>
      </c>
    </row>
    <row r="298" spans="1:5" ht="25.5" customHeight="1">
      <c r="A298" s="4" t="s">
        <v>1373</v>
      </c>
      <c r="B298" s="12"/>
      <c r="C298" s="12"/>
      <c r="D298" s="12"/>
      <c r="E298" s="12"/>
    </row>
    <row r="299" spans="1:5" ht="12.75" customHeight="1">
      <c r="A299" s="3" t="s">
        <v>1374</v>
      </c>
      <c r="B299" s="11"/>
      <c r="C299" s="11"/>
      <c r="D299" s="11"/>
      <c r="E299" s="11"/>
    </row>
    <row r="300" spans="1:5" ht="25.5" customHeight="1">
      <c r="A300" s="4" t="s">
        <v>1375</v>
      </c>
      <c r="B300" s="12"/>
      <c r="C300" s="12"/>
      <c r="D300" s="12"/>
      <c r="E300" s="12"/>
    </row>
    <row r="301" spans="1:5" ht="25.5" customHeight="1">
      <c r="A301" s="3" t="s">
        <v>1376</v>
      </c>
      <c r="B301" s="11"/>
      <c r="C301" s="11"/>
      <c r="D301" s="11"/>
      <c r="E301" s="11"/>
    </row>
    <row r="302" spans="1:5" ht="12.75" customHeight="1">
      <c r="A302" s="4" t="s">
        <v>1377</v>
      </c>
      <c r="B302" s="12">
        <f>+'DCA-Anexo I-C'!B303+'DCA-Anexo I-C'!B304+'DCA-Anexo I-C'!B305</f>
        <v>0</v>
      </c>
      <c r="C302" s="12">
        <f>+'DCA-Anexo I-C'!C303+'DCA-Anexo I-C'!C304+'DCA-Anexo I-C'!C305</f>
        <v>0</v>
      </c>
      <c r="D302" s="12">
        <f>+'DCA-Anexo I-C'!D303+'DCA-Anexo I-C'!D304+'DCA-Anexo I-C'!D305</f>
        <v>0</v>
      </c>
      <c r="E302" s="12">
        <f>+'DCA-Anexo I-C'!E303+'DCA-Anexo I-C'!E304+'DCA-Anexo I-C'!E305</f>
        <v>0</v>
      </c>
    </row>
    <row r="303" spans="1:5" ht="12.75" customHeight="1">
      <c r="A303" s="3" t="s">
        <v>1378</v>
      </c>
      <c r="B303" s="11"/>
      <c r="C303" s="11"/>
      <c r="D303" s="11"/>
      <c r="E303" s="11"/>
    </row>
    <row r="304" spans="1:5" ht="12.75" customHeight="1">
      <c r="A304" s="4" t="s">
        <v>1379</v>
      </c>
      <c r="B304" s="12"/>
      <c r="C304" s="12"/>
      <c r="D304" s="12"/>
      <c r="E304" s="12"/>
    </row>
    <row r="305" spans="1:5" ht="12.75" customHeight="1">
      <c r="A305" s="3" t="s">
        <v>1380</v>
      </c>
      <c r="B305" s="11"/>
      <c r="C305" s="11"/>
      <c r="D305" s="11"/>
      <c r="E305" s="11"/>
    </row>
    <row r="306" spans="1:5" ht="12.75" customHeight="1">
      <c r="A306" s="4" t="s">
        <v>1381</v>
      </c>
      <c r="B306" s="12">
        <f>+'DCA-Anexo I-C'!B307+'DCA-Anexo I-C'!B327+'DCA-Anexo I-C'!B334+'DCA-Anexo I-C'!B343+'DCA-Anexo I-C'!B346+'DCA-Anexo I-C'!B353+'DCA-Anexo I-C'!B363</f>
        <v>0</v>
      </c>
      <c r="C306" s="12">
        <f>+'DCA-Anexo I-C'!C307+'DCA-Anexo I-C'!C327+'DCA-Anexo I-C'!C334+'DCA-Anexo I-C'!C343+'DCA-Anexo I-C'!C346+'DCA-Anexo I-C'!C353+'DCA-Anexo I-C'!C363</f>
        <v>0</v>
      </c>
      <c r="D306" s="12">
        <f>+'DCA-Anexo I-C'!D307+'DCA-Anexo I-C'!D327+'DCA-Anexo I-C'!D334+'DCA-Anexo I-C'!D343+'DCA-Anexo I-C'!D346+'DCA-Anexo I-C'!D353+'DCA-Anexo I-C'!D363</f>
        <v>0</v>
      </c>
      <c r="E306" s="12">
        <f>+'DCA-Anexo I-C'!E307+'DCA-Anexo I-C'!E327+'DCA-Anexo I-C'!E334+'DCA-Anexo I-C'!E343+'DCA-Anexo I-C'!E346+'DCA-Anexo I-C'!E353+'DCA-Anexo I-C'!E363</f>
        <v>0</v>
      </c>
    </row>
    <row r="307" spans="1:5" ht="12.75" customHeight="1">
      <c r="A307" s="3" t="s">
        <v>1382</v>
      </c>
      <c r="B307" s="11">
        <f>+'DCA-Anexo I-C'!B308+'DCA-Anexo I-C'!B311+'DCA-Anexo I-C'!B316+'DCA-Anexo I-C'!B321+'DCA-Anexo I-C'!B326</f>
        <v>0</v>
      </c>
      <c r="C307" s="11">
        <f>+'DCA-Anexo I-C'!C308+'DCA-Anexo I-C'!C311+'DCA-Anexo I-C'!C316+'DCA-Anexo I-C'!C321+'DCA-Anexo I-C'!C326</f>
        <v>0</v>
      </c>
      <c r="D307" s="11">
        <f>+'DCA-Anexo I-C'!D308+'DCA-Anexo I-C'!D311+'DCA-Anexo I-C'!D316+'DCA-Anexo I-C'!D321+'DCA-Anexo I-C'!D326</f>
        <v>0</v>
      </c>
      <c r="E307" s="11">
        <f>+'DCA-Anexo I-C'!E308+'DCA-Anexo I-C'!E311+'DCA-Anexo I-C'!E316+'DCA-Anexo I-C'!E321+'DCA-Anexo I-C'!E326</f>
        <v>0</v>
      </c>
    </row>
    <row r="308" spans="1:5" ht="25.5" customHeight="1">
      <c r="A308" s="4" t="s">
        <v>1383</v>
      </c>
      <c r="B308" s="12">
        <f>+'DCA-Anexo I-C'!B309+'DCA-Anexo I-C'!B310</f>
        <v>0</v>
      </c>
      <c r="C308" s="12">
        <f>+'DCA-Anexo I-C'!C309+'DCA-Anexo I-C'!C310</f>
        <v>0</v>
      </c>
      <c r="D308" s="12">
        <f>+'DCA-Anexo I-C'!D309+'DCA-Anexo I-C'!D310</f>
        <v>0</v>
      </c>
      <c r="E308" s="12">
        <f>+'DCA-Anexo I-C'!E309+'DCA-Anexo I-C'!E310</f>
        <v>0</v>
      </c>
    </row>
    <row r="309" spans="1:5" ht="12.75" customHeight="1">
      <c r="A309" s="3" t="s">
        <v>1384</v>
      </c>
      <c r="B309" s="11"/>
      <c r="C309" s="11"/>
      <c r="D309" s="11"/>
      <c r="E309" s="11"/>
    </row>
    <row r="310" spans="1:5" ht="25.5" customHeight="1">
      <c r="A310" s="4" t="s">
        <v>1385</v>
      </c>
      <c r="B310" s="12"/>
      <c r="C310" s="12"/>
      <c r="D310" s="12"/>
      <c r="E310" s="12"/>
    </row>
    <row r="311" spans="1:5" ht="25.5" customHeight="1">
      <c r="A311" s="3" t="s">
        <v>1386</v>
      </c>
      <c r="B311" s="11">
        <f>+'DCA-Anexo I-C'!B312+'DCA-Anexo I-C'!B313+'DCA-Anexo I-C'!B314+'DCA-Anexo I-C'!B315</f>
        <v>0</v>
      </c>
      <c r="C311" s="11">
        <f>+'DCA-Anexo I-C'!C312+'DCA-Anexo I-C'!C313+'DCA-Anexo I-C'!C314+'DCA-Anexo I-C'!C315</f>
        <v>0</v>
      </c>
      <c r="D311" s="11">
        <f>+'DCA-Anexo I-C'!D312+'DCA-Anexo I-C'!D313+'DCA-Anexo I-C'!D314+'DCA-Anexo I-C'!D315</f>
        <v>0</v>
      </c>
      <c r="E311" s="11">
        <f>+'DCA-Anexo I-C'!E312+'DCA-Anexo I-C'!E313+'DCA-Anexo I-C'!E314+'DCA-Anexo I-C'!E315</f>
        <v>0</v>
      </c>
    </row>
    <row r="312" spans="1:5" ht="25.5" customHeight="1">
      <c r="A312" s="4" t="s">
        <v>1387</v>
      </c>
      <c r="B312" s="12"/>
      <c r="C312" s="12"/>
      <c r="D312" s="12"/>
      <c r="E312" s="12"/>
    </row>
    <row r="313" spans="1:5" ht="38.25" customHeight="1">
      <c r="A313" s="3" t="s">
        <v>1388</v>
      </c>
      <c r="B313" s="11"/>
      <c r="C313" s="11"/>
      <c r="D313" s="11"/>
      <c r="E313" s="11"/>
    </row>
    <row r="314" spans="1:5" ht="38.25" customHeight="1">
      <c r="A314" s="4" t="s">
        <v>1389</v>
      </c>
      <c r="B314" s="12"/>
      <c r="C314" s="12"/>
      <c r="D314" s="12"/>
      <c r="E314" s="12"/>
    </row>
    <row r="315" spans="1:5" ht="38.25" customHeight="1">
      <c r="A315" s="3" t="s">
        <v>1390</v>
      </c>
      <c r="B315" s="11"/>
      <c r="C315" s="11"/>
      <c r="D315" s="11"/>
      <c r="E315" s="11"/>
    </row>
    <row r="316" spans="1:5" ht="25.5" customHeight="1">
      <c r="A316" s="4" t="s">
        <v>1391</v>
      </c>
      <c r="B316" s="12">
        <f>+'DCA-Anexo I-C'!B317+'DCA-Anexo I-C'!B318+'DCA-Anexo I-C'!B319+'DCA-Anexo I-C'!B320</f>
        <v>0</v>
      </c>
      <c r="C316" s="12">
        <f>+'DCA-Anexo I-C'!C317+'DCA-Anexo I-C'!C318+'DCA-Anexo I-C'!C319+'DCA-Anexo I-C'!C320</f>
        <v>0</v>
      </c>
      <c r="D316" s="12">
        <f>+'DCA-Anexo I-C'!D317+'DCA-Anexo I-C'!D318+'DCA-Anexo I-C'!D319+'DCA-Anexo I-C'!D320</f>
        <v>0</v>
      </c>
      <c r="E316" s="12">
        <f>+'DCA-Anexo I-C'!E317+'DCA-Anexo I-C'!E318+'DCA-Anexo I-C'!E319+'DCA-Anexo I-C'!E320</f>
        <v>0</v>
      </c>
    </row>
    <row r="317" spans="1:5" ht="25.5" customHeight="1">
      <c r="A317" s="3" t="s">
        <v>1392</v>
      </c>
      <c r="B317" s="11"/>
      <c r="C317" s="11"/>
      <c r="D317" s="11"/>
      <c r="E317" s="11"/>
    </row>
    <row r="318" spans="1:5" ht="38.25" customHeight="1">
      <c r="A318" s="4" t="s">
        <v>1393</v>
      </c>
      <c r="B318" s="12"/>
      <c r="C318" s="12"/>
      <c r="D318" s="12"/>
      <c r="E318" s="12"/>
    </row>
    <row r="319" spans="1:5" ht="38.25" customHeight="1">
      <c r="A319" s="3" t="s">
        <v>1394</v>
      </c>
      <c r="B319" s="11"/>
      <c r="C319" s="11"/>
      <c r="D319" s="11"/>
      <c r="E319" s="11"/>
    </row>
    <row r="320" spans="1:5" ht="38.25" customHeight="1">
      <c r="A320" s="4" t="s">
        <v>1395</v>
      </c>
      <c r="B320" s="12"/>
      <c r="C320" s="12"/>
      <c r="D320" s="12"/>
      <c r="E320" s="12"/>
    </row>
    <row r="321" spans="1:5" ht="25.5" customHeight="1">
      <c r="A321" s="3" t="s">
        <v>1396</v>
      </c>
      <c r="B321" s="11">
        <f>+'DCA-Anexo I-C'!B322+'DCA-Anexo I-C'!B323+'DCA-Anexo I-C'!B324+'DCA-Anexo I-C'!B325</f>
        <v>0</v>
      </c>
      <c r="C321" s="11">
        <f>+'DCA-Anexo I-C'!C322+'DCA-Anexo I-C'!C323+'DCA-Anexo I-C'!C324+'DCA-Anexo I-C'!C325</f>
        <v>0</v>
      </c>
      <c r="D321" s="11">
        <f>+'DCA-Anexo I-C'!D322+'DCA-Anexo I-C'!D323+'DCA-Anexo I-C'!D324+'DCA-Anexo I-C'!D325</f>
        <v>0</v>
      </c>
      <c r="E321" s="11">
        <f>+'DCA-Anexo I-C'!E322+'DCA-Anexo I-C'!E323+'DCA-Anexo I-C'!E324+'DCA-Anexo I-C'!E325</f>
        <v>0</v>
      </c>
    </row>
    <row r="322" spans="1:5" ht="25.5" customHeight="1">
      <c r="A322" s="4" t="s">
        <v>1397</v>
      </c>
      <c r="B322" s="12"/>
      <c r="C322" s="12"/>
      <c r="D322" s="12"/>
      <c r="E322" s="12"/>
    </row>
    <row r="323" spans="1:5" ht="38.25" customHeight="1">
      <c r="A323" s="3" t="s">
        <v>1398</v>
      </c>
      <c r="B323" s="11"/>
      <c r="C323" s="11"/>
      <c r="D323" s="11"/>
      <c r="E323" s="11"/>
    </row>
    <row r="324" spans="1:5" ht="38.25" customHeight="1">
      <c r="A324" s="4" t="s">
        <v>1399</v>
      </c>
      <c r="B324" s="12"/>
      <c r="C324" s="12"/>
      <c r="D324" s="12"/>
      <c r="E324" s="12"/>
    </row>
    <row r="325" spans="1:5" ht="38.25" customHeight="1">
      <c r="A325" s="3" t="s">
        <v>1400</v>
      </c>
      <c r="B325" s="11"/>
      <c r="C325" s="11"/>
      <c r="D325" s="11"/>
      <c r="E325" s="11"/>
    </row>
    <row r="326" spans="1:5" ht="25.5" customHeight="1">
      <c r="A326" s="4" t="s">
        <v>1401</v>
      </c>
      <c r="B326" s="12"/>
      <c r="C326" s="12"/>
      <c r="D326" s="12"/>
      <c r="E326" s="12"/>
    </row>
    <row r="327" spans="1:5" ht="12.75" customHeight="1">
      <c r="A327" s="3" t="s">
        <v>1402</v>
      </c>
      <c r="B327" s="11">
        <f>+'DCA-Anexo I-C'!B328+'DCA-Anexo I-C'!B331</f>
        <v>0</v>
      </c>
      <c r="C327" s="11">
        <f>+'DCA-Anexo I-C'!C328+'DCA-Anexo I-C'!C331</f>
        <v>0</v>
      </c>
      <c r="D327" s="11">
        <f>+'DCA-Anexo I-C'!D328+'DCA-Anexo I-C'!D331</f>
        <v>0</v>
      </c>
      <c r="E327" s="11">
        <f>+'DCA-Anexo I-C'!E328+'DCA-Anexo I-C'!E331</f>
        <v>0</v>
      </c>
    </row>
    <row r="328" spans="1:5" ht="25.5" customHeight="1">
      <c r="A328" s="4" t="s">
        <v>1403</v>
      </c>
      <c r="B328" s="12">
        <f>+'DCA-Anexo I-C'!B329+'DCA-Anexo I-C'!B330</f>
        <v>0</v>
      </c>
      <c r="C328" s="12">
        <f>+'DCA-Anexo I-C'!C329+'DCA-Anexo I-C'!C330</f>
        <v>0</v>
      </c>
      <c r="D328" s="12">
        <f>+'DCA-Anexo I-C'!D329+'DCA-Anexo I-C'!D330</f>
        <v>0</v>
      </c>
      <c r="E328" s="12">
        <f>+'DCA-Anexo I-C'!E329+'DCA-Anexo I-C'!E330</f>
        <v>0</v>
      </c>
    </row>
    <row r="329" spans="1:5" ht="25.5" customHeight="1">
      <c r="A329" s="3" t="s">
        <v>1404</v>
      </c>
      <c r="B329" s="11"/>
      <c r="C329" s="11"/>
      <c r="D329" s="11"/>
      <c r="E329" s="11"/>
    </row>
    <row r="330" spans="1:5" ht="38.25" customHeight="1">
      <c r="A330" s="4" t="s">
        <v>1405</v>
      </c>
      <c r="B330" s="12"/>
      <c r="C330" s="12"/>
      <c r="D330" s="12"/>
      <c r="E330" s="12"/>
    </row>
    <row r="331" spans="1:5" ht="25.5" customHeight="1">
      <c r="A331" s="3" t="s">
        <v>1406</v>
      </c>
      <c r="B331" s="11">
        <f>+'DCA-Anexo I-C'!B332+'DCA-Anexo I-C'!B333</f>
        <v>0</v>
      </c>
      <c r="C331" s="11">
        <f>+'DCA-Anexo I-C'!C332+'DCA-Anexo I-C'!C333</f>
        <v>0</v>
      </c>
      <c r="D331" s="11">
        <f>+'DCA-Anexo I-C'!D332+'DCA-Anexo I-C'!D333</f>
        <v>0</v>
      </c>
      <c r="E331" s="11">
        <f>+'DCA-Anexo I-C'!E332+'DCA-Anexo I-C'!E333</f>
        <v>0</v>
      </c>
    </row>
    <row r="332" spans="1:5" ht="38.25" customHeight="1">
      <c r="A332" s="4" t="s">
        <v>1407</v>
      </c>
      <c r="B332" s="12"/>
      <c r="C332" s="12"/>
      <c r="D332" s="12"/>
      <c r="E332" s="12"/>
    </row>
    <row r="333" spans="1:5" ht="38.25" customHeight="1">
      <c r="A333" s="3" t="s">
        <v>1408</v>
      </c>
      <c r="B333" s="11"/>
      <c r="C333" s="11"/>
      <c r="D333" s="11"/>
      <c r="E333" s="11"/>
    </row>
    <row r="334" spans="1:5" ht="12.75" customHeight="1">
      <c r="A334" s="4" t="s">
        <v>1409</v>
      </c>
      <c r="B334" s="12">
        <f>+'DCA-Anexo I-C'!B335+'DCA-Anexo I-C'!B340</f>
        <v>0</v>
      </c>
      <c r="C334" s="12">
        <f>+'DCA-Anexo I-C'!C335+'DCA-Anexo I-C'!C340</f>
        <v>0</v>
      </c>
      <c r="D334" s="12">
        <f>+'DCA-Anexo I-C'!D335+'DCA-Anexo I-C'!D340</f>
        <v>0</v>
      </c>
      <c r="E334" s="12">
        <f>+'DCA-Anexo I-C'!E335+'DCA-Anexo I-C'!E340</f>
        <v>0</v>
      </c>
    </row>
    <row r="335" spans="1:5" ht="25.5" customHeight="1">
      <c r="A335" s="3" t="s">
        <v>1410</v>
      </c>
      <c r="B335" s="11">
        <f>+'DCA-Anexo I-C'!B336+'DCA-Anexo I-C'!B337+'DCA-Anexo I-C'!B338+'DCA-Anexo I-C'!B339</f>
        <v>0</v>
      </c>
      <c r="C335" s="11">
        <f>+'DCA-Anexo I-C'!C336+'DCA-Anexo I-C'!C337+'DCA-Anexo I-C'!C338+'DCA-Anexo I-C'!C339</f>
        <v>0</v>
      </c>
      <c r="D335" s="11">
        <f>+'DCA-Anexo I-C'!D336+'DCA-Anexo I-C'!D337+'DCA-Anexo I-C'!D338+'DCA-Anexo I-C'!D339</f>
        <v>0</v>
      </c>
      <c r="E335" s="11">
        <f>+'DCA-Anexo I-C'!E336+'DCA-Anexo I-C'!E337+'DCA-Anexo I-C'!E338+'DCA-Anexo I-C'!E339</f>
        <v>0</v>
      </c>
    </row>
    <row r="336" spans="1:5" ht="25.5" customHeight="1">
      <c r="A336" s="4" t="s">
        <v>1411</v>
      </c>
      <c r="B336" s="12"/>
      <c r="C336" s="12"/>
      <c r="D336" s="12"/>
      <c r="E336" s="12"/>
    </row>
    <row r="337" spans="1:5" ht="25.5" customHeight="1">
      <c r="A337" s="3" t="s">
        <v>1412</v>
      </c>
      <c r="B337" s="11"/>
      <c r="C337" s="11"/>
      <c r="D337" s="11"/>
      <c r="E337" s="11"/>
    </row>
    <row r="338" spans="1:5" ht="25.5" customHeight="1">
      <c r="A338" s="4" t="s">
        <v>1413</v>
      </c>
      <c r="B338" s="12"/>
      <c r="C338" s="12"/>
      <c r="D338" s="12"/>
      <c r="E338" s="12"/>
    </row>
    <row r="339" spans="1:5" ht="25.5" customHeight="1">
      <c r="A339" s="3" t="s">
        <v>1414</v>
      </c>
      <c r="B339" s="11"/>
      <c r="C339" s="11"/>
      <c r="D339" s="11"/>
      <c r="E339" s="11"/>
    </row>
    <row r="340" spans="1:5" ht="25.5" customHeight="1">
      <c r="A340" s="4" t="s">
        <v>1415</v>
      </c>
      <c r="B340" s="12">
        <f>+'DCA-Anexo I-C'!B341+'DCA-Anexo I-C'!B342</f>
        <v>0</v>
      </c>
      <c r="C340" s="12">
        <f>+'DCA-Anexo I-C'!C341+'DCA-Anexo I-C'!C342</f>
        <v>0</v>
      </c>
      <c r="D340" s="12">
        <f>+'DCA-Anexo I-C'!D341+'DCA-Anexo I-C'!D342</f>
        <v>0</v>
      </c>
      <c r="E340" s="12">
        <f>+'DCA-Anexo I-C'!E341+'DCA-Anexo I-C'!E342</f>
        <v>0</v>
      </c>
    </row>
    <row r="341" spans="1:5" ht="38.25" customHeight="1">
      <c r="A341" s="3" t="s">
        <v>1416</v>
      </c>
      <c r="B341" s="11"/>
      <c r="C341" s="11"/>
      <c r="D341" s="11"/>
      <c r="E341" s="11"/>
    </row>
    <row r="342" spans="1:5" ht="38.25" customHeight="1">
      <c r="A342" s="4" t="s">
        <v>1417</v>
      </c>
      <c r="B342" s="12"/>
      <c r="C342" s="12"/>
      <c r="D342" s="12"/>
      <c r="E342" s="12"/>
    </row>
    <row r="343" spans="1:5" ht="12.75" customHeight="1">
      <c r="A343" s="3" t="s">
        <v>1418</v>
      </c>
      <c r="B343" s="11">
        <f>+'DCA-Anexo I-C'!B344+'DCA-Anexo I-C'!B345</f>
        <v>0</v>
      </c>
      <c r="C343" s="11">
        <f>+'DCA-Anexo I-C'!C344+'DCA-Anexo I-C'!C345</f>
        <v>0</v>
      </c>
      <c r="D343" s="11">
        <f>+'DCA-Anexo I-C'!D344+'DCA-Anexo I-C'!D345</f>
        <v>0</v>
      </c>
      <c r="E343" s="11">
        <f>+'DCA-Anexo I-C'!E344+'DCA-Anexo I-C'!E345</f>
        <v>0</v>
      </c>
    </row>
    <row r="344" spans="1:5" ht="12.75" customHeight="1">
      <c r="A344" s="4" t="s">
        <v>1419</v>
      </c>
      <c r="B344" s="12"/>
      <c r="C344" s="12"/>
      <c r="D344" s="12"/>
      <c r="E344" s="12"/>
    </row>
    <row r="345" spans="1:5" ht="25.5" customHeight="1">
      <c r="A345" s="3" t="s">
        <v>1420</v>
      </c>
      <c r="B345" s="11"/>
      <c r="C345" s="11"/>
      <c r="D345" s="11"/>
      <c r="E345" s="11"/>
    </row>
    <row r="346" spans="1:5" ht="12.75" customHeight="1">
      <c r="A346" s="4" t="s">
        <v>1421</v>
      </c>
      <c r="B346" s="12">
        <f>+'DCA-Anexo I-C'!B347+'DCA-Anexo I-C'!B348+'DCA-Anexo I-C'!B349</f>
        <v>0</v>
      </c>
      <c r="C346" s="12">
        <f>+'DCA-Anexo I-C'!C347+'DCA-Anexo I-C'!C348+'DCA-Anexo I-C'!C349</f>
        <v>0</v>
      </c>
      <c r="D346" s="12">
        <f>+'DCA-Anexo I-C'!D347+'DCA-Anexo I-C'!D348+'DCA-Anexo I-C'!D349</f>
        <v>0</v>
      </c>
      <c r="E346" s="12">
        <f>+'DCA-Anexo I-C'!E347+'DCA-Anexo I-C'!E348+'DCA-Anexo I-C'!E349</f>
        <v>0</v>
      </c>
    </row>
    <row r="347" spans="1:5" ht="12.75" customHeight="1">
      <c r="A347" s="3" t="s">
        <v>1422</v>
      </c>
      <c r="B347" s="11"/>
      <c r="C347" s="11"/>
      <c r="D347" s="11"/>
      <c r="E347" s="11"/>
    </row>
    <row r="348" spans="1:5" ht="12.75" customHeight="1">
      <c r="A348" s="4" t="s">
        <v>1423</v>
      </c>
      <c r="B348" s="12"/>
      <c r="C348" s="12"/>
      <c r="D348" s="12"/>
      <c r="E348" s="12"/>
    </row>
    <row r="349" spans="1:5" ht="25.5" customHeight="1">
      <c r="A349" s="3" t="s">
        <v>1424</v>
      </c>
      <c r="B349" s="11">
        <f>+'DCA-Anexo I-C'!B350+'DCA-Anexo I-C'!B351+'DCA-Anexo I-C'!B352</f>
        <v>0</v>
      </c>
      <c r="C349" s="11">
        <f>+'DCA-Anexo I-C'!C350+'DCA-Anexo I-C'!C351+'DCA-Anexo I-C'!C352</f>
        <v>0</v>
      </c>
      <c r="D349" s="11">
        <f>+'DCA-Anexo I-C'!D350+'DCA-Anexo I-C'!D351+'DCA-Anexo I-C'!D352</f>
        <v>0</v>
      </c>
      <c r="E349" s="11">
        <f>+'DCA-Anexo I-C'!E350+'DCA-Anexo I-C'!E351+'DCA-Anexo I-C'!E352</f>
        <v>0</v>
      </c>
    </row>
    <row r="350" spans="1:5" ht="12.75" customHeight="1">
      <c r="A350" s="4" t="s">
        <v>1425</v>
      </c>
      <c r="B350" s="12"/>
      <c r="C350" s="12"/>
      <c r="D350" s="12"/>
      <c r="E350" s="12"/>
    </row>
    <row r="351" spans="1:5" ht="12.75" customHeight="1">
      <c r="A351" s="3" t="s">
        <v>1426</v>
      </c>
      <c r="B351" s="11"/>
      <c r="C351" s="11"/>
      <c r="D351" s="11"/>
      <c r="E351" s="11"/>
    </row>
    <row r="352" spans="1:5" ht="25.5" customHeight="1">
      <c r="A352" s="4" t="s">
        <v>1427</v>
      </c>
      <c r="B352" s="12"/>
      <c r="C352" s="12"/>
      <c r="D352" s="12"/>
      <c r="E352" s="12"/>
    </row>
    <row r="353" spans="1:5" ht="12.75" customHeight="1">
      <c r="A353" s="3" t="s">
        <v>1428</v>
      </c>
      <c r="B353" s="11">
        <f>+'DCA-Anexo I-C'!B354+'DCA-Anexo I-C'!B357+'DCA-Anexo I-C'!B360+'DCA-Anexo I-C'!B361+'DCA-Anexo I-C'!B362</f>
        <v>0</v>
      </c>
      <c r="C353" s="11">
        <f>+'DCA-Anexo I-C'!C354+'DCA-Anexo I-C'!C357+'DCA-Anexo I-C'!C360+'DCA-Anexo I-C'!C361+'DCA-Anexo I-C'!C362</f>
        <v>0</v>
      </c>
      <c r="D353" s="11">
        <f>+'DCA-Anexo I-C'!D354+'DCA-Anexo I-C'!D357+'DCA-Anexo I-C'!D360+'DCA-Anexo I-C'!D361+'DCA-Anexo I-C'!D362</f>
        <v>0</v>
      </c>
      <c r="E353" s="11">
        <f>+'DCA-Anexo I-C'!E354+'DCA-Anexo I-C'!E357+'DCA-Anexo I-C'!E360+'DCA-Anexo I-C'!E361+'DCA-Anexo I-C'!E362</f>
        <v>0</v>
      </c>
    </row>
    <row r="354" spans="1:5" ht="12.75" customHeight="1">
      <c r="A354" s="4" t="s">
        <v>1429</v>
      </c>
      <c r="B354" s="12">
        <f>+'DCA-Anexo I-C'!B355+'DCA-Anexo I-C'!B356</f>
        <v>0</v>
      </c>
      <c r="C354" s="12">
        <f>+'DCA-Anexo I-C'!C355+'DCA-Anexo I-C'!C356</f>
        <v>0</v>
      </c>
      <c r="D354" s="12">
        <f>+'DCA-Anexo I-C'!D355+'DCA-Anexo I-C'!D356</f>
        <v>0</v>
      </c>
      <c r="E354" s="12">
        <f>+'DCA-Anexo I-C'!E355+'DCA-Anexo I-C'!E356</f>
        <v>0</v>
      </c>
    </row>
    <row r="355" spans="1:5" ht="12.75" customHeight="1">
      <c r="A355" s="3" t="s">
        <v>1430</v>
      </c>
      <c r="B355" s="11"/>
      <c r="C355" s="11"/>
      <c r="D355" s="11"/>
      <c r="E355" s="11"/>
    </row>
    <row r="356" spans="1:5" ht="12.75" customHeight="1">
      <c r="A356" s="4" t="s">
        <v>1431</v>
      </c>
      <c r="B356" s="12"/>
      <c r="C356" s="12"/>
      <c r="D356" s="12"/>
      <c r="E356" s="12"/>
    </row>
    <row r="357" spans="1:5" ht="25.5" customHeight="1">
      <c r="A357" s="3" t="s">
        <v>1432</v>
      </c>
      <c r="B357" s="11">
        <f>+'DCA-Anexo I-C'!B358+'DCA-Anexo I-C'!B359</f>
        <v>0</v>
      </c>
      <c r="C357" s="11">
        <f>+'DCA-Anexo I-C'!C358+'DCA-Anexo I-C'!C359</f>
        <v>0</v>
      </c>
      <c r="D357" s="11">
        <f>+'DCA-Anexo I-C'!D358+'DCA-Anexo I-C'!D359</f>
        <v>0</v>
      </c>
      <c r="E357" s="11">
        <f>+'DCA-Anexo I-C'!E358+'DCA-Anexo I-C'!E359</f>
        <v>0</v>
      </c>
    </row>
    <row r="358" spans="1:5" ht="25.5" customHeight="1">
      <c r="A358" s="4" t="s">
        <v>1433</v>
      </c>
      <c r="B358" s="12"/>
      <c r="C358" s="12"/>
      <c r="D358" s="12"/>
      <c r="E358" s="12"/>
    </row>
    <row r="359" spans="1:5" ht="25.5" customHeight="1">
      <c r="A359" s="3" t="s">
        <v>1434</v>
      </c>
      <c r="B359" s="11"/>
      <c r="C359" s="11"/>
      <c r="D359" s="11"/>
      <c r="E359" s="11"/>
    </row>
    <row r="360" spans="1:5" ht="12.75" customHeight="1">
      <c r="A360" s="4" t="s">
        <v>1435</v>
      </c>
      <c r="B360" s="12"/>
      <c r="C360" s="12"/>
      <c r="D360" s="12"/>
      <c r="E360" s="12"/>
    </row>
    <row r="361" spans="1:5" ht="12.75" customHeight="1">
      <c r="A361" s="3" t="s">
        <v>1436</v>
      </c>
      <c r="B361" s="11"/>
      <c r="C361" s="11"/>
      <c r="D361" s="11"/>
      <c r="E361" s="11"/>
    </row>
    <row r="362" spans="1:5" ht="12.75" customHeight="1">
      <c r="A362" s="4" t="s">
        <v>1437</v>
      </c>
      <c r="B362" s="12"/>
      <c r="C362" s="12"/>
      <c r="D362" s="12"/>
      <c r="E362" s="12"/>
    </row>
    <row r="363" spans="1:5" ht="12.75" customHeight="1">
      <c r="A363" s="3" t="s">
        <v>1438</v>
      </c>
      <c r="B363" s="11">
        <f>+'DCA-Anexo I-C'!B364+'DCA-Anexo I-C'!B365</f>
        <v>0</v>
      </c>
      <c r="C363" s="11">
        <f>+'DCA-Anexo I-C'!C364+'DCA-Anexo I-C'!C365</f>
        <v>0</v>
      </c>
      <c r="D363" s="11">
        <f>+'DCA-Anexo I-C'!D364+'DCA-Anexo I-C'!D365</f>
        <v>0</v>
      </c>
      <c r="E363" s="11">
        <f>+'DCA-Anexo I-C'!E364+'DCA-Anexo I-C'!E365</f>
        <v>0</v>
      </c>
    </row>
    <row r="364" spans="1:5" ht="12.75" customHeight="1">
      <c r="A364" s="4" t="s">
        <v>1439</v>
      </c>
      <c r="B364" s="12"/>
      <c r="C364" s="12"/>
      <c r="D364" s="12"/>
      <c r="E364" s="12"/>
    </row>
    <row r="365" spans="1:5" ht="25.5" customHeight="1">
      <c r="A365" s="3" t="s">
        <v>1440</v>
      </c>
      <c r="B365" s="11"/>
      <c r="C365" s="11"/>
      <c r="D365" s="11"/>
      <c r="E365" s="11"/>
    </row>
    <row r="366" spans="1:5" ht="12.75" customHeight="1">
      <c r="A366" s="4" t="s">
        <v>1441</v>
      </c>
      <c r="B366" s="12">
        <f>+'DCA-Anexo I-C'!B367</f>
        <v>0</v>
      </c>
      <c r="C366" s="12">
        <f>+'DCA-Anexo I-C'!C367</f>
        <v>0</v>
      </c>
      <c r="D366" s="12">
        <f>+'DCA-Anexo I-C'!D367</f>
        <v>0</v>
      </c>
      <c r="E366" s="12">
        <f>+'DCA-Anexo I-C'!E367</f>
        <v>0</v>
      </c>
    </row>
    <row r="367" spans="1:5" ht="12.75" customHeight="1">
      <c r="A367" s="3" t="s">
        <v>1442</v>
      </c>
      <c r="B367" s="11">
        <f>+'DCA-Anexo I-C'!B368+'DCA-Anexo I-C'!B369+'DCA-Anexo I-C'!B370+'DCA-Anexo I-C'!B371</f>
        <v>0</v>
      </c>
      <c r="C367" s="11">
        <f>+'DCA-Anexo I-C'!C368+'DCA-Anexo I-C'!C369+'DCA-Anexo I-C'!C370+'DCA-Anexo I-C'!C371</f>
        <v>0</v>
      </c>
      <c r="D367" s="11">
        <f>+'DCA-Anexo I-C'!D368+'DCA-Anexo I-C'!D369+'DCA-Anexo I-C'!D370+'DCA-Anexo I-C'!D371</f>
        <v>0</v>
      </c>
      <c r="E367" s="11">
        <f>+'DCA-Anexo I-C'!E368+'DCA-Anexo I-C'!E369+'DCA-Anexo I-C'!E370+'DCA-Anexo I-C'!E371</f>
        <v>0</v>
      </c>
    </row>
    <row r="368" spans="1:5" ht="25.5" customHeight="1">
      <c r="A368" s="4" t="s">
        <v>1443</v>
      </c>
      <c r="B368" s="12"/>
      <c r="C368" s="12"/>
      <c r="D368" s="12"/>
      <c r="E368" s="12"/>
    </row>
    <row r="369" spans="1:5" ht="25.5" customHeight="1">
      <c r="A369" s="3" t="s">
        <v>1444</v>
      </c>
      <c r="B369" s="11"/>
      <c r="C369" s="11"/>
      <c r="D369" s="11"/>
      <c r="E369" s="11"/>
    </row>
    <row r="370" spans="1:5" ht="25.5" customHeight="1">
      <c r="A370" s="4" t="s">
        <v>1445</v>
      </c>
      <c r="B370" s="12"/>
      <c r="C370" s="12"/>
      <c r="D370" s="12"/>
      <c r="E370" s="12"/>
    </row>
    <row r="371" spans="1:5" ht="25.5" customHeight="1">
      <c r="A371" s="3" t="s">
        <v>1446</v>
      </c>
      <c r="B371" s="11"/>
      <c r="C371" s="11"/>
      <c r="D371" s="11"/>
      <c r="E371" s="11"/>
    </row>
    <row r="372" spans="1:5" ht="12.75" customHeight="1">
      <c r="A372" s="4" t="s">
        <v>1447</v>
      </c>
      <c r="B372" s="12">
        <f>+'DCA-Anexo I-C'!B373</f>
        <v>0</v>
      </c>
      <c r="C372" s="12">
        <f>+'DCA-Anexo I-C'!C373</f>
        <v>0</v>
      </c>
      <c r="D372" s="12">
        <f>+'DCA-Anexo I-C'!D373</f>
        <v>0</v>
      </c>
      <c r="E372" s="12">
        <f>+'DCA-Anexo I-C'!E373</f>
        <v>0</v>
      </c>
    </row>
    <row r="373" spans="1:5" ht="12.75" customHeight="1">
      <c r="A373" s="3" t="s">
        <v>1448</v>
      </c>
      <c r="B373" s="11">
        <f>+'DCA-Anexo I-C'!B374</f>
        <v>0</v>
      </c>
      <c r="C373" s="11">
        <f>+'DCA-Anexo I-C'!C374</f>
        <v>0</v>
      </c>
      <c r="D373" s="11">
        <f>+'DCA-Anexo I-C'!D374</f>
        <v>0</v>
      </c>
      <c r="E373" s="11">
        <f>+'DCA-Anexo I-C'!E374</f>
        <v>0</v>
      </c>
    </row>
    <row r="374" spans="1:5" ht="12.75" customHeight="1">
      <c r="A374" s="4" t="s">
        <v>1449</v>
      </c>
      <c r="B374" s="12">
        <f>+'DCA-Anexo I-C'!B375+'DCA-Anexo I-C'!B376</f>
        <v>0</v>
      </c>
      <c r="C374" s="12">
        <f>+'DCA-Anexo I-C'!C375+'DCA-Anexo I-C'!C376</f>
        <v>0</v>
      </c>
      <c r="D374" s="12">
        <f>+'DCA-Anexo I-C'!D375+'DCA-Anexo I-C'!D376</f>
        <v>0</v>
      </c>
      <c r="E374" s="12">
        <f>+'DCA-Anexo I-C'!E375+'DCA-Anexo I-C'!E376</f>
        <v>0</v>
      </c>
    </row>
    <row r="375" spans="1:5" ht="25.5" customHeight="1">
      <c r="A375" s="3" t="s">
        <v>1450</v>
      </c>
      <c r="B375" s="11"/>
      <c r="C375" s="11"/>
      <c r="D375" s="11"/>
      <c r="E375" s="11"/>
    </row>
    <row r="376" spans="1:5" ht="25.5" customHeight="1">
      <c r="A376" s="4" t="s">
        <v>1451</v>
      </c>
      <c r="B376" s="12"/>
      <c r="C376" s="12"/>
      <c r="D376" s="12"/>
      <c r="E376" s="12"/>
    </row>
    <row r="377" spans="1:5" ht="12.75" customHeight="1">
      <c r="A377" s="3" t="s">
        <v>1452</v>
      </c>
      <c r="B377" s="11"/>
      <c r="C377" s="11"/>
      <c r="D377" s="11"/>
      <c r="E377" s="11"/>
    </row>
    <row r="378" spans="1:5" ht="12.75" customHeight="1">
      <c r="A378" s="4" t="s">
        <v>1453</v>
      </c>
      <c r="B378" s="12"/>
      <c r="C378" s="12"/>
      <c r="D378" s="12"/>
      <c r="E378" s="12"/>
    </row>
    <row r="379" spans="1:5" ht="12.75" customHeight="1">
      <c r="A379" s="3" t="s">
        <v>1454</v>
      </c>
      <c r="B379" s="11"/>
      <c r="C379" s="11"/>
      <c r="D379" s="11"/>
      <c r="E379" s="11"/>
    </row>
    <row r="380" spans="1:5" ht="12.75" customHeight="1">
      <c r="A380" s="4" t="s">
        <v>1455</v>
      </c>
      <c r="B380" s="12">
        <f>+'DCA-Anexo I-C'!B381+'DCA-Anexo I-C'!B389+'DCA-Anexo I-C'!B400+'DCA-Anexo I-C'!B411+'DCA-Anexo I-C'!B416</f>
        <v>2131392.33</v>
      </c>
      <c r="C380" s="12">
        <f>+'DCA-Anexo I-C'!C381+'DCA-Anexo I-C'!C389+'DCA-Anexo I-C'!C400+'DCA-Anexo I-C'!C411+'DCA-Anexo I-C'!C416</f>
        <v>0</v>
      </c>
      <c r="D380" s="12">
        <f>+'DCA-Anexo I-C'!D381+'DCA-Anexo I-C'!D389+'DCA-Anexo I-C'!D400+'DCA-Anexo I-C'!D411+'DCA-Anexo I-C'!D416</f>
        <v>0</v>
      </c>
      <c r="E380" s="12">
        <f>+'DCA-Anexo I-C'!E381+'DCA-Anexo I-C'!E389+'DCA-Anexo I-C'!E400+'DCA-Anexo I-C'!E411+'DCA-Anexo I-C'!E416</f>
        <v>0</v>
      </c>
    </row>
    <row r="381" spans="1:5" ht="12.75" customHeight="1">
      <c r="A381" s="3" t="s">
        <v>1456</v>
      </c>
      <c r="B381" s="11">
        <f>+'DCA-Anexo I-C'!B382</f>
        <v>0</v>
      </c>
      <c r="C381" s="11">
        <f>+'DCA-Anexo I-C'!C382</f>
        <v>0</v>
      </c>
      <c r="D381" s="11">
        <f>+'DCA-Anexo I-C'!D382</f>
        <v>0</v>
      </c>
      <c r="E381" s="11">
        <f>+'DCA-Anexo I-C'!E382</f>
        <v>0</v>
      </c>
    </row>
    <row r="382" spans="1:5" ht="12.75" customHeight="1">
      <c r="A382" s="4" t="s">
        <v>1457</v>
      </c>
      <c r="B382" s="12">
        <f>+'DCA-Anexo I-C'!B383+'DCA-Anexo I-C'!B384+'DCA-Anexo I-C'!B385+'DCA-Anexo I-C'!B386+'DCA-Anexo I-C'!B387+'DCA-Anexo I-C'!B388</f>
        <v>0</v>
      </c>
      <c r="C382" s="12">
        <f>+'DCA-Anexo I-C'!C383+'DCA-Anexo I-C'!C384+'DCA-Anexo I-C'!C385+'DCA-Anexo I-C'!C386+'DCA-Anexo I-C'!C387+'DCA-Anexo I-C'!C388</f>
        <v>0</v>
      </c>
      <c r="D382" s="12">
        <f>+'DCA-Anexo I-C'!D383+'DCA-Anexo I-C'!D384+'DCA-Anexo I-C'!D385+'DCA-Anexo I-C'!D386+'DCA-Anexo I-C'!D387+'DCA-Anexo I-C'!D388</f>
        <v>0</v>
      </c>
      <c r="E382" s="12">
        <f>+'DCA-Anexo I-C'!E383+'DCA-Anexo I-C'!E384+'DCA-Anexo I-C'!E385+'DCA-Anexo I-C'!E386+'DCA-Anexo I-C'!E387+'DCA-Anexo I-C'!E388</f>
        <v>0</v>
      </c>
    </row>
    <row r="383" spans="1:5" ht="25.5" customHeight="1">
      <c r="A383" s="3" t="s">
        <v>1458</v>
      </c>
      <c r="B383" s="11"/>
      <c r="C383" s="11"/>
      <c r="D383" s="11"/>
      <c r="E383" s="11"/>
    </row>
    <row r="384" spans="1:5" ht="12.75" customHeight="1">
      <c r="A384" s="4" t="s">
        <v>1459</v>
      </c>
      <c r="B384" s="12"/>
      <c r="C384" s="12"/>
      <c r="D384" s="12"/>
      <c r="E384" s="12"/>
    </row>
    <row r="385" spans="1:5" ht="12.75" customHeight="1">
      <c r="A385" s="3" t="s">
        <v>1460</v>
      </c>
      <c r="B385" s="11"/>
      <c r="C385" s="11"/>
      <c r="D385" s="11"/>
      <c r="E385" s="11"/>
    </row>
    <row r="386" spans="1:5" ht="12.75" customHeight="1">
      <c r="A386" s="4" t="s">
        <v>1461</v>
      </c>
      <c r="B386" s="12"/>
      <c r="C386" s="12"/>
      <c r="D386" s="12"/>
      <c r="E386" s="12"/>
    </row>
    <row r="387" spans="1:5" ht="25.5" customHeight="1">
      <c r="A387" s="3" t="s">
        <v>1462</v>
      </c>
      <c r="B387" s="11"/>
      <c r="C387" s="11"/>
      <c r="D387" s="11"/>
      <c r="E387" s="11"/>
    </row>
    <row r="388" spans="1:5" ht="12.75" customHeight="1">
      <c r="A388" s="4" t="s">
        <v>1463</v>
      </c>
      <c r="B388" s="12"/>
      <c r="C388" s="12"/>
      <c r="D388" s="12"/>
      <c r="E388" s="12"/>
    </row>
    <row r="389" spans="1:5" ht="25.5" customHeight="1">
      <c r="A389" s="3" t="s">
        <v>1464</v>
      </c>
      <c r="B389" s="11">
        <f>+'DCA-Anexo I-C'!B390</f>
        <v>0</v>
      </c>
      <c r="C389" s="11">
        <f>+'DCA-Anexo I-C'!C390</f>
        <v>0</v>
      </c>
      <c r="D389" s="11">
        <f>+'DCA-Anexo I-C'!D390</f>
        <v>0</v>
      </c>
      <c r="E389" s="11">
        <f>+'DCA-Anexo I-C'!E390</f>
        <v>0</v>
      </c>
    </row>
    <row r="390" spans="1:5" ht="25.5" customHeight="1">
      <c r="A390" s="4" t="s">
        <v>1465</v>
      </c>
      <c r="B390" s="12">
        <f>+'DCA-Anexo I-C'!B391+'DCA-Anexo I-C'!B394+'DCA-Anexo I-C'!B395+'DCA-Anexo I-C'!B396</f>
        <v>0</v>
      </c>
      <c r="C390" s="12">
        <f>+'DCA-Anexo I-C'!C391+'DCA-Anexo I-C'!C394+'DCA-Anexo I-C'!C395+'DCA-Anexo I-C'!C396</f>
        <v>0</v>
      </c>
      <c r="D390" s="12">
        <f>+'DCA-Anexo I-C'!D391+'DCA-Anexo I-C'!D394+'DCA-Anexo I-C'!D395+'DCA-Anexo I-C'!D396</f>
        <v>0</v>
      </c>
      <c r="E390" s="12">
        <f>+'DCA-Anexo I-C'!E391+'DCA-Anexo I-C'!E394+'DCA-Anexo I-C'!E395+'DCA-Anexo I-C'!E396</f>
        <v>0</v>
      </c>
    </row>
    <row r="391" spans="1:5" ht="12.75" customHeight="1">
      <c r="A391" s="3" t="s">
        <v>1466</v>
      </c>
      <c r="B391" s="11">
        <f>+'DCA-Anexo I-C'!B392+'DCA-Anexo I-C'!B393</f>
        <v>0</v>
      </c>
      <c r="C391" s="11">
        <f>+'DCA-Anexo I-C'!C392+'DCA-Anexo I-C'!C393</f>
        <v>0</v>
      </c>
      <c r="D391" s="11">
        <f>+'DCA-Anexo I-C'!D392+'DCA-Anexo I-C'!D393</f>
        <v>0</v>
      </c>
      <c r="E391" s="11">
        <f>+'DCA-Anexo I-C'!E392+'DCA-Anexo I-C'!E393</f>
        <v>0</v>
      </c>
    </row>
    <row r="392" spans="1:5" ht="12.75" customHeight="1">
      <c r="A392" s="4" t="s">
        <v>1467</v>
      </c>
      <c r="B392" s="12"/>
      <c r="C392" s="12"/>
      <c r="D392" s="12"/>
      <c r="E392" s="12"/>
    </row>
    <row r="393" spans="1:5" ht="12.75" customHeight="1">
      <c r="A393" s="3" t="s">
        <v>1468</v>
      </c>
      <c r="B393" s="11"/>
      <c r="C393" s="11"/>
      <c r="D393" s="11"/>
      <c r="E393" s="11"/>
    </row>
    <row r="394" spans="1:5" ht="12.75" customHeight="1">
      <c r="A394" s="4" t="s">
        <v>1469</v>
      </c>
      <c r="B394" s="12"/>
      <c r="C394" s="12"/>
      <c r="D394" s="12"/>
      <c r="E394" s="12"/>
    </row>
    <row r="395" spans="1:5" ht="12.75" customHeight="1">
      <c r="A395" s="3" t="s">
        <v>1470</v>
      </c>
      <c r="B395" s="11"/>
      <c r="C395" s="11"/>
      <c r="D395" s="11"/>
      <c r="E395" s="11"/>
    </row>
    <row r="396" spans="1:5" ht="12.75" customHeight="1">
      <c r="A396" s="4" t="s">
        <v>1471</v>
      </c>
      <c r="B396" s="12">
        <f>+'DCA-Anexo I-C'!B397+'DCA-Anexo I-C'!B398+'DCA-Anexo I-C'!B399</f>
        <v>0</v>
      </c>
      <c r="C396" s="12">
        <f>+'DCA-Anexo I-C'!C397+'DCA-Anexo I-C'!C398+'DCA-Anexo I-C'!C399</f>
        <v>0</v>
      </c>
      <c r="D396" s="12">
        <f>+'DCA-Anexo I-C'!D397+'DCA-Anexo I-C'!D398+'DCA-Anexo I-C'!D399</f>
        <v>0</v>
      </c>
      <c r="E396" s="12">
        <f>+'DCA-Anexo I-C'!E397+'DCA-Anexo I-C'!E398+'DCA-Anexo I-C'!E399</f>
        <v>0</v>
      </c>
    </row>
    <row r="397" spans="1:5" ht="12.75" customHeight="1">
      <c r="A397" s="3" t="s">
        <v>1472</v>
      </c>
      <c r="B397" s="11"/>
      <c r="C397" s="11"/>
      <c r="D397" s="11"/>
      <c r="E397" s="11"/>
    </row>
    <row r="398" spans="1:5" ht="12.75" customHeight="1">
      <c r="A398" s="4" t="s">
        <v>1473</v>
      </c>
      <c r="B398" s="12"/>
      <c r="C398" s="12"/>
      <c r="D398" s="12"/>
      <c r="E398" s="12"/>
    </row>
    <row r="399" spans="1:5" ht="12.75" customHeight="1">
      <c r="A399" s="3" t="s">
        <v>1474</v>
      </c>
      <c r="B399" s="11"/>
      <c r="C399" s="11"/>
      <c r="D399" s="11"/>
      <c r="E399" s="11"/>
    </row>
    <row r="400" spans="1:5" ht="12.75" customHeight="1">
      <c r="A400" s="4" t="s">
        <v>1475</v>
      </c>
      <c r="B400" s="12">
        <f>+'DCA-Anexo I-C'!B401+'DCA-Anexo I-C'!B408</f>
        <v>0</v>
      </c>
      <c r="C400" s="12">
        <f>+'DCA-Anexo I-C'!C401+'DCA-Anexo I-C'!C408</f>
        <v>0</v>
      </c>
      <c r="D400" s="12">
        <f>+'DCA-Anexo I-C'!D401+'DCA-Anexo I-C'!D408</f>
        <v>0</v>
      </c>
      <c r="E400" s="12">
        <f>+'DCA-Anexo I-C'!E401+'DCA-Anexo I-C'!E408</f>
        <v>0</v>
      </c>
    </row>
    <row r="401" spans="1:5" ht="12.75" customHeight="1">
      <c r="A401" s="3" t="s">
        <v>1476</v>
      </c>
      <c r="B401" s="11">
        <f>+'DCA-Anexo I-C'!B402+'DCA-Anexo I-C'!B403+'DCA-Anexo I-C'!B404+'DCA-Anexo I-C'!B405+'DCA-Anexo I-C'!B406+'DCA-Anexo I-C'!B407</f>
        <v>0</v>
      </c>
      <c r="C401" s="11">
        <f>+'DCA-Anexo I-C'!C402+'DCA-Anexo I-C'!C403+'DCA-Anexo I-C'!C404+'DCA-Anexo I-C'!C405+'DCA-Anexo I-C'!C406+'DCA-Anexo I-C'!C407</f>
        <v>0</v>
      </c>
      <c r="D401" s="11">
        <f>+'DCA-Anexo I-C'!D402+'DCA-Anexo I-C'!D403+'DCA-Anexo I-C'!D404+'DCA-Anexo I-C'!D405+'DCA-Anexo I-C'!D406+'DCA-Anexo I-C'!D407</f>
        <v>0</v>
      </c>
      <c r="E401" s="11">
        <f>+'DCA-Anexo I-C'!E402+'DCA-Anexo I-C'!E403+'DCA-Anexo I-C'!E404+'DCA-Anexo I-C'!E405+'DCA-Anexo I-C'!E406+'DCA-Anexo I-C'!E407</f>
        <v>0</v>
      </c>
    </row>
    <row r="402" spans="1:5" ht="25.5" customHeight="1">
      <c r="A402" s="4" t="s">
        <v>1477</v>
      </c>
      <c r="B402" s="12"/>
      <c r="C402" s="12"/>
      <c r="D402" s="12"/>
      <c r="E402" s="12"/>
    </row>
    <row r="403" spans="1:5" ht="12.75" customHeight="1">
      <c r="A403" s="3" t="s">
        <v>1478</v>
      </c>
      <c r="B403" s="11"/>
      <c r="C403" s="11"/>
      <c r="D403" s="11"/>
      <c r="E403" s="11"/>
    </row>
    <row r="404" spans="1:5" ht="12.75" customHeight="1">
      <c r="A404" s="4" t="s">
        <v>1479</v>
      </c>
      <c r="B404" s="12"/>
      <c r="C404" s="12"/>
      <c r="D404" s="12"/>
      <c r="E404" s="12"/>
    </row>
    <row r="405" spans="1:5" ht="12.75" customHeight="1">
      <c r="A405" s="3" t="s">
        <v>1480</v>
      </c>
      <c r="B405" s="11"/>
      <c r="C405" s="11"/>
      <c r="D405" s="11"/>
      <c r="E405" s="11"/>
    </row>
    <row r="406" spans="1:5" ht="12.75" customHeight="1">
      <c r="A406" s="4" t="s">
        <v>1481</v>
      </c>
      <c r="B406" s="12"/>
      <c r="C406" s="12"/>
      <c r="D406" s="12"/>
      <c r="E406" s="12"/>
    </row>
    <row r="407" spans="1:5" ht="12.75" customHeight="1">
      <c r="A407" s="3" t="s">
        <v>1482</v>
      </c>
      <c r="B407" s="11"/>
      <c r="C407" s="11"/>
      <c r="D407" s="11"/>
      <c r="E407" s="11"/>
    </row>
    <row r="408" spans="1:5" ht="25.5" customHeight="1">
      <c r="A408" s="4" t="s">
        <v>1483</v>
      </c>
      <c r="B408" s="12">
        <f>+'DCA-Anexo I-C'!B409+'DCA-Anexo I-C'!B410</f>
        <v>0</v>
      </c>
      <c r="C408" s="12">
        <f>+'DCA-Anexo I-C'!C409+'DCA-Anexo I-C'!C410</f>
        <v>0</v>
      </c>
      <c r="D408" s="12">
        <f>+'DCA-Anexo I-C'!D409+'DCA-Anexo I-C'!D410</f>
        <v>0</v>
      </c>
      <c r="E408" s="12">
        <f>+'DCA-Anexo I-C'!E409+'DCA-Anexo I-C'!E410</f>
        <v>0</v>
      </c>
    </row>
    <row r="409" spans="1:5" ht="25.5" customHeight="1">
      <c r="A409" s="3" t="s">
        <v>1484</v>
      </c>
      <c r="B409" s="11"/>
      <c r="C409" s="11"/>
      <c r="D409" s="11"/>
      <c r="E409" s="11"/>
    </row>
    <row r="410" spans="1:5" ht="25.5" customHeight="1">
      <c r="A410" s="4" t="s">
        <v>1485</v>
      </c>
      <c r="B410" s="12"/>
      <c r="C410" s="12"/>
      <c r="D410" s="12"/>
      <c r="E410" s="12"/>
    </row>
    <row r="411" spans="1:5" ht="12.75" customHeight="1">
      <c r="A411" s="3" t="s">
        <v>1486</v>
      </c>
      <c r="B411" s="11">
        <f>+'DCA-Anexo I-C'!B412</f>
        <v>0</v>
      </c>
      <c r="C411" s="11">
        <f>+'DCA-Anexo I-C'!C412</f>
        <v>0</v>
      </c>
      <c r="D411" s="11">
        <f>+'DCA-Anexo I-C'!D412</f>
        <v>0</v>
      </c>
      <c r="E411" s="11">
        <f>+'DCA-Anexo I-C'!E412</f>
        <v>0</v>
      </c>
    </row>
    <row r="412" spans="1:5" ht="12.75" customHeight="1">
      <c r="A412" s="4" t="s">
        <v>1487</v>
      </c>
      <c r="B412" s="12">
        <f>+'DCA-Anexo I-C'!B413+'DCA-Anexo I-C'!B414+'DCA-Anexo I-C'!B415</f>
        <v>0</v>
      </c>
      <c r="C412" s="12">
        <f>+'DCA-Anexo I-C'!C413+'DCA-Anexo I-C'!C414+'DCA-Anexo I-C'!C415</f>
        <v>0</v>
      </c>
      <c r="D412" s="12">
        <f>+'DCA-Anexo I-C'!D413+'DCA-Anexo I-C'!D414+'DCA-Anexo I-C'!D415</f>
        <v>0</v>
      </c>
      <c r="E412" s="12">
        <f>+'DCA-Anexo I-C'!E413+'DCA-Anexo I-C'!E414+'DCA-Anexo I-C'!E415</f>
        <v>0</v>
      </c>
    </row>
    <row r="413" spans="1:5" ht="12.75" customHeight="1">
      <c r="A413" s="3" t="s">
        <v>1488</v>
      </c>
      <c r="B413" s="11"/>
      <c r="C413" s="11"/>
      <c r="D413" s="11"/>
      <c r="E413" s="11"/>
    </row>
    <row r="414" spans="1:5" ht="12.75" customHeight="1">
      <c r="A414" s="4" t="s">
        <v>1489</v>
      </c>
      <c r="B414" s="12"/>
      <c r="C414" s="12"/>
      <c r="D414" s="12"/>
      <c r="E414" s="12"/>
    </row>
    <row r="415" spans="1:5" ht="25.5" customHeight="1">
      <c r="A415" s="3" t="s">
        <v>1490</v>
      </c>
      <c r="B415" s="11"/>
      <c r="C415" s="11"/>
      <c r="D415" s="11"/>
      <c r="E415" s="11"/>
    </row>
    <row r="416" spans="1:5" ht="12.75" customHeight="1">
      <c r="A416" s="4" t="s">
        <v>1491</v>
      </c>
      <c r="B416" s="12">
        <v>2131392.33</v>
      </c>
      <c r="C416" s="12"/>
      <c r="D416" s="12"/>
      <c r="E416" s="12"/>
    </row>
    <row r="417" spans="1:5" ht="12.75" customHeight="1">
      <c r="A417" s="3" t="s">
        <v>1492</v>
      </c>
      <c r="B417" s="11">
        <f>+'DCA-Anexo I-C'!B418+'DCA-Anexo I-C'!B493+'DCA-Anexo I-C'!B517+'DCA-Anexo I-C'!B528+'DCA-Anexo I-C'!B534+'DCA-Anexo I-C'!B537+'DCA-Anexo I-C'!B543</f>
        <v>136749993.68000001</v>
      </c>
      <c r="C417" s="11">
        <f>+'DCA-Anexo I-C'!C418+'DCA-Anexo I-C'!C493+'DCA-Anexo I-C'!C517+'DCA-Anexo I-C'!C528+'DCA-Anexo I-C'!C534+'DCA-Anexo I-C'!C537+'DCA-Anexo I-C'!C543</f>
        <v>0</v>
      </c>
      <c r="D417" s="11">
        <f>+'DCA-Anexo I-C'!D418+'DCA-Anexo I-C'!D493+'DCA-Anexo I-C'!D517+'DCA-Anexo I-C'!D528+'DCA-Anexo I-C'!D534+'DCA-Anexo I-C'!D537+'DCA-Anexo I-C'!D543</f>
        <v>15193653.369999999</v>
      </c>
      <c r="E417" s="11">
        <f>+'DCA-Anexo I-C'!E418+'DCA-Anexo I-C'!E493+'DCA-Anexo I-C'!E517+'DCA-Anexo I-C'!E528+'DCA-Anexo I-C'!E534+'DCA-Anexo I-C'!E537+'DCA-Anexo I-C'!E543</f>
        <v>0</v>
      </c>
    </row>
    <row r="418" spans="1:5" ht="12.75" customHeight="1">
      <c r="A418" s="4" t="s">
        <v>1493</v>
      </c>
      <c r="B418" s="12">
        <f>+'DCA-Anexo I-C'!B419+'DCA-Anexo I-C'!B430+'DCA-Anexo I-C'!B440+'DCA-Anexo I-C'!B456+'DCA-Anexo I-C'!B470+'DCA-Anexo I-C'!B471+'DCA-Anexo I-C'!B472+'DCA-Anexo I-C'!B479</f>
        <v>76889259.739999995</v>
      </c>
      <c r="C418" s="12">
        <f>+'DCA-Anexo I-C'!C419+'DCA-Anexo I-C'!C430+'DCA-Anexo I-C'!C440+'DCA-Anexo I-C'!C456+'DCA-Anexo I-C'!C470+'DCA-Anexo I-C'!C471+'DCA-Anexo I-C'!C472+'DCA-Anexo I-C'!C479</f>
        <v>0</v>
      </c>
      <c r="D418" s="12">
        <f>+'DCA-Anexo I-C'!D419+'DCA-Anexo I-C'!D430+'DCA-Anexo I-C'!D440+'DCA-Anexo I-C'!D456+'DCA-Anexo I-C'!D470+'DCA-Anexo I-C'!D471+'DCA-Anexo I-C'!D472+'DCA-Anexo I-C'!D479</f>
        <v>7984738.1299999999</v>
      </c>
      <c r="E418" s="12">
        <f>+'DCA-Anexo I-C'!E419+'DCA-Anexo I-C'!E430+'DCA-Anexo I-C'!E440+'DCA-Anexo I-C'!E456+'DCA-Anexo I-C'!E470+'DCA-Anexo I-C'!E471+'DCA-Anexo I-C'!E472+'DCA-Anexo I-C'!E479</f>
        <v>0</v>
      </c>
    </row>
    <row r="419" spans="1:5" ht="25.5" customHeight="1">
      <c r="A419" s="3" t="s">
        <v>1494</v>
      </c>
      <c r="B419" s="11">
        <f>+'DCA-Anexo I-C'!B420+'DCA-Anexo I-C'!B421+'DCA-Anexo I-C'!B424+'DCA-Anexo I-C'!B425+'DCA-Anexo I-C'!B426+'DCA-Anexo I-C'!B427+'DCA-Anexo I-C'!B429+'DCA-Anexo I-C'!B428</f>
        <v>44633966.950000003</v>
      </c>
      <c r="C419" s="11">
        <f>+'DCA-Anexo I-C'!C420+'DCA-Anexo I-C'!C421+'DCA-Anexo I-C'!C424+'DCA-Anexo I-C'!C425+'DCA-Anexo I-C'!C426+'DCA-Anexo I-C'!C427+'DCA-Anexo I-C'!C429+'DCA-Anexo I-C'!C428</f>
        <v>0</v>
      </c>
      <c r="D419" s="11">
        <f>+'DCA-Anexo I-C'!D420+'DCA-Anexo I-C'!D421+'DCA-Anexo I-C'!D424+'DCA-Anexo I-C'!D425+'DCA-Anexo I-C'!D426+'DCA-Anexo I-C'!D427+'DCA-Anexo I-C'!D429+'DCA-Anexo I-C'!D428</f>
        <v>7984738.1299999999</v>
      </c>
      <c r="E419" s="11">
        <f>+'DCA-Anexo I-C'!E420+'DCA-Anexo I-C'!E421+'DCA-Anexo I-C'!E424+'DCA-Anexo I-C'!E425+'DCA-Anexo I-C'!E426+'DCA-Anexo I-C'!E427+'DCA-Anexo I-C'!E429+'DCA-Anexo I-C'!E428</f>
        <v>0</v>
      </c>
    </row>
    <row r="420" spans="1:5" ht="25.5" customHeight="1">
      <c r="A420" s="4" t="s">
        <v>1495</v>
      </c>
      <c r="B420" s="12"/>
      <c r="C420" s="12"/>
      <c r="D420" s="12"/>
      <c r="E420" s="12"/>
    </row>
    <row r="421" spans="1:5" ht="25.5" customHeight="1">
      <c r="A421" s="3" t="s">
        <v>1496</v>
      </c>
      <c r="B421" s="11">
        <f>+'DCA-Anexo I-C'!B422+'DCA-Anexo I-C'!B423</f>
        <v>42917598.510000005</v>
      </c>
      <c r="C421" s="11">
        <f>+'DCA-Anexo I-C'!C422+'DCA-Anexo I-C'!C423</f>
        <v>0</v>
      </c>
      <c r="D421" s="11">
        <f>+'DCA-Anexo I-C'!D422+'DCA-Anexo I-C'!D423</f>
        <v>7641464.5700000003</v>
      </c>
      <c r="E421" s="11">
        <f>+'DCA-Anexo I-C'!E422+'DCA-Anexo I-C'!E423</f>
        <v>0</v>
      </c>
    </row>
    <row r="422" spans="1:5" ht="25.5" customHeight="1">
      <c r="A422" s="4" t="s">
        <v>1497</v>
      </c>
      <c r="B422" s="12">
        <v>38207325.060000002</v>
      </c>
      <c r="C422" s="12"/>
      <c r="D422" s="12">
        <v>7641464.5700000003</v>
      </c>
      <c r="E422" s="12"/>
    </row>
    <row r="423" spans="1:5" ht="25.5" customHeight="1">
      <c r="A423" s="3" t="s">
        <v>1498</v>
      </c>
      <c r="B423" s="11">
        <v>4710273.45</v>
      </c>
      <c r="C423" s="11"/>
      <c r="D423" s="11"/>
      <c r="E423" s="11"/>
    </row>
    <row r="424" spans="1:5" ht="25.5" customHeight="1">
      <c r="A424" s="4" t="s">
        <v>1499</v>
      </c>
      <c r="B424" s="12">
        <v>1716368.44</v>
      </c>
      <c r="C424" s="12"/>
      <c r="D424" s="12">
        <v>343273.56</v>
      </c>
      <c r="E424" s="12"/>
    </row>
    <row r="425" spans="1:5" ht="25.5" customHeight="1">
      <c r="A425" s="3" t="s">
        <v>1500</v>
      </c>
      <c r="B425" s="11"/>
      <c r="C425" s="11"/>
      <c r="D425" s="11"/>
      <c r="E425" s="11"/>
    </row>
    <row r="426" spans="1:5" ht="25.5" customHeight="1">
      <c r="A426" s="4" t="s">
        <v>1501</v>
      </c>
      <c r="B426" s="12"/>
      <c r="C426" s="12"/>
      <c r="D426" s="12"/>
      <c r="E426" s="12"/>
    </row>
    <row r="427" spans="1:5" ht="38.25" customHeight="1">
      <c r="A427" s="3" t="s">
        <v>1502</v>
      </c>
      <c r="B427" s="11"/>
      <c r="C427" s="11"/>
      <c r="D427" s="11"/>
      <c r="E427" s="11"/>
    </row>
    <row r="428" spans="1:5" ht="25.5" customHeight="1">
      <c r="A428" s="4" t="s">
        <v>1503</v>
      </c>
      <c r="B428" s="12"/>
      <c r="C428" s="12"/>
      <c r="D428" s="12"/>
      <c r="E428" s="12"/>
    </row>
    <row r="429" spans="1:5" ht="25.5" customHeight="1">
      <c r="A429" s="3" t="s">
        <v>1504</v>
      </c>
      <c r="B429" s="11"/>
      <c r="C429" s="11"/>
      <c r="D429" s="11"/>
      <c r="E429" s="11"/>
    </row>
    <row r="430" spans="1:5" ht="25.5" customHeight="1">
      <c r="A430" s="4" t="s">
        <v>1505</v>
      </c>
      <c r="B430" s="12">
        <f>+'DCA-Anexo I-C'!B431+'DCA-Anexo I-C'!B432+'DCA-Anexo I-C'!B433+'DCA-Anexo I-C'!B438+'DCA-Anexo I-C'!B439</f>
        <v>753937.95</v>
      </c>
      <c r="C430" s="12">
        <f>+'DCA-Anexo I-C'!C431+'DCA-Anexo I-C'!C432+'DCA-Anexo I-C'!C433+'DCA-Anexo I-C'!C438+'DCA-Anexo I-C'!C439</f>
        <v>0</v>
      </c>
      <c r="D430" s="12">
        <f>+'DCA-Anexo I-C'!D431+'DCA-Anexo I-C'!D432+'DCA-Anexo I-C'!D433+'DCA-Anexo I-C'!D438+'DCA-Anexo I-C'!D439</f>
        <v>0</v>
      </c>
      <c r="E430" s="12">
        <f>+'DCA-Anexo I-C'!E431+'DCA-Anexo I-C'!E432+'DCA-Anexo I-C'!E433+'DCA-Anexo I-C'!E438+'DCA-Anexo I-C'!E439</f>
        <v>0</v>
      </c>
    </row>
    <row r="431" spans="1:5" ht="25.5" customHeight="1">
      <c r="A431" s="3" t="s">
        <v>1506</v>
      </c>
      <c r="B431" s="11"/>
      <c r="C431" s="11"/>
      <c r="D431" s="11"/>
      <c r="E431" s="11"/>
    </row>
    <row r="432" spans="1:5" ht="25.5" customHeight="1">
      <c r="A432" s="4" t="s">
        <v>1507</v>
      </c>
      <c r="B432" s="12">
        <v>20287.09</v>
      </c>
      <c r="C432" s="12"/>
      <c r="D432" s="12"/>
      <c r="E432" s="12"/>
    </row>
    <row r="433" spans="1:5" ht="25.5" customHeight="1">
      <c r="A433" s="3" t="s">
        <v>1508</v>
      </c>
      <c r="B433" s="11">
        <f>+'DCA-Anexo I-C'!B434+'DCA-Anexo I-C'!B435+'DCA-Anexo I-C'!B436+'DCA-Anexo I-C'!B437</f>
        <v>733650.86</v>
      </c>
      <c r="C433" s="11">
        <f>+'DCA-Anexo I-C'!C434+'DCA-Anexo I-C'!C435+'DCA-Anexo I-C'!C436+'DCA-Anexo I-C'!C437</f>
        <v>0</v>
      </c>
      <c r="D433" s="11">
        <f>+'DCA-Anexo I-C'!D434+'DCA-Anexo I-C'!D435+'DCA-Anexo I-C'!D436+'DCA-Anexo I-C'!D437</f>
        <v>0</v>
      </c>
      <c r="E433" s="11">
        <f>+'DCA-Anexo I-C'!E434+'DCA-Anexo I-C'!E435+'DCA-Anexo I-C'!E436+'DCA-Anexo I-C'!E437</f>
        <v>0</v>
      </c>
    </row>
    <row r="434" spans="1:5" ht="25.5" customHeight="1">
      <c r="A434" s="4" t="s">
        <v>1509</v>
      </c>
      <c r="B434" s="12"/>
      <c r="C434" s="12"/>
      <c r="D434" s="12"/>
      <c r="E434" s="12"/>
    </row>
    <row r="435" spans="1:5" ht="25.5" customHeight="1">
      <c r="A435" s="3" t="s">
        <v>1510</v>
      </c>
      <c r="B435" s="11"/>
      <c r="C435" s="11"/>
      <c r="D435" s="11"/>
      <c r="E435" s="11"/>
    </row>
    <row r="436" spans="1:5" ht="25.5" customHeight="1">
      <c r="A436" s="4" t="s">
        <v>1511</v>
      </c>
      <c r="B436" s="12"/>
      <c r="C436" s="12"/>
      <c r="D436" s="12"/>
      <c r="E436" s="12"/>
    </row>
    <row r="437" spans="1:5" ht="12.75" customHeight="1">
      <c r="A437" s="3" t="s">
        <v>1512</v>
      </c>
      <c r="B437" s="11">
        <v>733650.86</v>
      </c>
      <c r="C437" s="11"/>
      <c r="D437" s="11"/>
      <c r="E437" s="11"/>
    </row>
    <row r="438" spans="1:5" ht="25.5" customHeight="1">
      <c r="A438" s="4" t="s">
        <v>1513</v>
      </c>
      <c r="B438" s="12"/>
      <c r="C438" s="12"/>
      <c r="D438" s="12"/>
      <c r="E438" s="12"/>
    </row>
    <row r="439" spans="1:5" ht="25.5" customHeight="1">
      <c r="A439" s="3" t="s">
        <v>1514</v>
      </c>
      <c r="B439" s="11"/>
      <c r="C439" s="11"/>
      <c r="D439" s="11"/>
      <c r="E439" s="11"/>
    </row>
    <row r="440" spans="1:5" ht="25.5" customHeight="1">
      <c r="A440" s="4" t="s">
        <v>1515</v>
      </c>
      <c r="B440" s="12">
        <f>+'DCA-Anexo I-C'!B441+'DCA-Anexo I-C'!B448+'DCA-Anexo I-C'!B455</f>
        <v>11026970.129999999</v>
      </c>
      <c r="C440" s="12">
        <f>+'DCA-Anexo I-C'!C441+'DCA-Anexo I-C'!C448+'DCA-Anexo I-C'!C455</f>
        <v>0</v>
      </c>
      <c r="D440" s="12">
        <f>+'DCA-Anexo I-C'!D441+'DCA-Anexo I-C'!D448+'DCA-Anexo I-C'!D455</f>
        <v>0</v>
      </c>
      <c r="E440" s="12">
        <f>+'DCA-Anexo I-C'!E441+'DCA-Anexo I-C'!E448+'DCA-Anexo I-C'!E455</f>
        <v>0</v>
      </c>
    </row>
    <row r="441" spans="1:5" ht="38.25" customHeight="1">
      <c r="A441" s="3" t="s">
        <v>1516</v>
      </c>
      <c r="B441" s="11">
        <f>+'DCA-Anexo I-C'!B442+'DCA-Anexo I-C'!B443+'DCA-Anexo I-C'!B444+'DCA-Anexo I-C'!B445+'DCA-Anexo I-C'!B446+'DCA-Anexo I-C'!B447</f>
        <v>11026970.129999999</v>
      </c>
      <c r="C441" s="11">
        <f>+'DCA-Anexo I-C'!C442+'DCA-Anexo I-C'!C443+'DCA-Anexo I-C'!C444+'DCA-Anexo I-C'!C445+'DCA-Anexo I-C'!C446+'DCA-Anexo I-C'!C447</f>
        <v>0</v>
      </c>
      <c r="D441" s="11">
        <f>+'DCA-Anexo I-C'!D442+'DCA-Anexo I-C'!D443+'DCA-Anexo I-C'!D444+'DCA-Anexo I-C'!D445+'DCA-Anexo I-C'!D446+'DCA-Anexo I-C'!D447</f>
        <v>0</v>
      </c>
      <c r="E441" s="11">
        <f>+'DCA-Anexo I-C'!E442+'DCA-Anexo I-C'!E443+'DCA-Anexo I-C'!E444+'DCA-Anexo I-C'!E445+'DCA-Anexo I-C'!E446+'DCA-Anexo I-C'!E447</f>
        <v>0</v>
      </c>
    </row>
    <row r="442" spans="1:5" ht="25.5" customHeight="1">
      <c r="A442" s="4" t="s">
        <v>1517</v>
      </c>
      <c r="B442" s="12">
        <v>7641841.3200000003</v>
      </c>
      <c r="C442" s="12"/>
      <c r="D442" s="12"/>
      <c r="E442" s="12"/>
    </row>
    <row r="443" spans="1:5" ht="25.5" customHeight="1">
      <c r="A443" s="3" t="s">
        <v>1518</v>
      </c>
      <c r="B443" s="11">
        <v>1235425.44</v>
      </c>
      <c r="C443" s="11"/>
      <c r="D443" s="11"/>
      <c r="E443" s="11"/>
    </row>
    <row r="444" spans="1:5" ht="25.5" customHeight="1">
      <c r="A444" s="4" t="s">
        <v>1519</v>
      </c>
      <c r="B444" s="12">
        <v>328411.26</v>
      </c>
      <c r="C444" s="12"/>
      <c r="D444" s="12"/>
      <c r="E444" s="12"/>
    </row>
    <row r="445" spans="1:5" ht="25.5" customHeight="1">
      <c r="A445" s="3" t="s">
        <v>1520</v>
      </c>
      <c r="B445" s="11">
        <v>192529.2</v>
      </c>
      <c r="C445" s="11"/>
      <c r="D445" s="11"/>
      <c r="E445" s="11"/>
    </row>
    <row r="446" spans="1:5" ht="25.5" customHeight="1">
      <c r="A446" s="4" t="s">
        <v>1521</v>
      </c>
      <c r="B446" s="12"/>
      <c r="C446" s="12"/>
      <c r="D446" s="12"/>
      <c r="E446" s="12"/>
    </row>
    <row r="447" spans="1:5" ht="25.5" customHeight="1">
      <c r="A447" s="3" t="s">
        <v>1522</v>
      </c>
      <c r="B447" s="11">
        <v>1628762.91</v>
      </c>
      <c r="C447" s="11"/>
      <c r="D447" s="11"/>
      <c r="E447" s="11"/>
    </row>
    <row r="448" spans="1:5" ht="38.25" customHeight="1">
      <c r="A448" s="4" t="s">
        <v>1523</v>
      </c>
      <c r="B448" s="12">
        <f>+'DCA-Anexo I-C'!B449+'DCA-Anexo I-C'!B450+'DCA-Anexo I-C'!B451+'DCA-Anexo I-C'!B452+'DCA-Anexo I-C'!B453+'DCA-Anexo I-C'!B454</f>
        <v>0</v>
      </c>
      <c r="C448" s="12">
        <f>+'DCA-Anexo I-C'!C449+'DCA-Anexo I-C'!C450+'DCA-Anexo I-C'!C451+'DCA-Anexo I-C'!C452+'DCA-Anexo I-C'!C453+'DCA-Anexo I-C'!C454</f>
        <v>0</v>
      </c>
      <c r="D448" s="12">
        <f>+'DCA-Anexo I-C'!D449+'DCA-Anexo I-C'!D450+'DCA-Anexo I-C'!D451+'DCA-Anexo I-C'!D452+'DCA-Anexo I-C'!D453+'DCA-Anexo I-C'!D454</f>
        <v>0</v>
      </c>
      <c r="E448" s="12">
        <f>+'DCA-Anexo I-C'!E449+'DCA-Anexo I-C'!E450+'DCA-Anexo I-C'!E451+'DCA-Anexo I-C'!E452+'DCA-Anexo I-C'!E453+'DCA-Anexo I-C'!E454</f>
        <v>0</v>
      </c>
    </row>
    <row r="449" spans="1:5" ht="25.5" customHeight="1">
      <c r="A449" s="3" t="s">
        <v>1524</v>
      </c>
      <c r="B449" s="11"/>
      <c r="C449" s="11"/>
      <c r="D449" s="11"/>
      <c r="E449" s="11"/>
    </row>
    <row r="450" spans="1:5" ht="25.5" customHeight="1">
      <c r="A450" s="4" t="s">
        <v>1525</v>
      </c>
      <c r="B450" s="12"/>
      <c r="C450" s="12"/>
      <c r="D450" s="12"/>
      <c r="E450" s="12"/>
    </row>
    <row r="451" spans="1:5" ht="25.5" customHeight="1">
      <c r="A451" s="3" t="s">
        <v>1526</v>
      </c>
      <c r="B451" s="11"/>
      <c r="C451" s="11"/>
      <c r="D451" s="11"/>
      <c r="E451" s="11"/>
    </row>
    <row r="452" spans="1:5" ht="25.5" customHeight="1">
      <c r="A452" s="4" t="s">
        <v>1527</v>
      </c>
      <c r="B452" s="12"/>
      <c r="C452" s="12"/>
      <c r="D452" s="12"/>
      <c r="E452" s="12"/>
    </row>
    <row r="453" spans="1:5" ht="25.5" customHeight="1">
      <c r="A453" s="3" t="s">
        <v>1528</v>
      </c>
      <c r="B453" s="11"/>
      <c r="C453" s="11"/>
      <c r="D453" s="11"/>
      <c r="E453" s="11"/>
    </row>
    <row r="454" spans="1:5" ht="25.5" customHeight="1">
      <c r="A454" s="4" t="s">
        <v>1529</v>
      </c>
      <c r="B454" s="12"/>
      <c r="C454" s="12"/>
      <c r="D454" s="12"/>
      <c r="E454" s="12"/>
    </row>
    <row r="455" spans="1:5" ht="25.5" customHeight="1">
      <c r="A455" s="3" t="s">
        <v>1530</v>
      </c>
      <c r="B455" s="11"/>
      <c r="C455" s="11"/>
      <c r="D455" s="11"/>
      <c r="E455" s="11"/>
    </row>
    <row r="456" spans="1:5" ht="25.5" customHeight="1">
      <c r="A456" s="4" t="s">
        <v>1531</v>
      </c>
      <c r="B456" s="12">
        <f>+'DCA-Anexo I-C'!B457+'DCA-Anexo I-C'!B458+'DCA-Anexo I-C'!B459+'DCA-Anexo I-C'!B460+'DCA-Anexo I-C'!B461+'DCA-Anexo I-C'!B464+'DCA-Anexo I-C'!B465+'DCA-Anexo I-C'!B466+'DCA-Anexo I-C'!B467+'DCA-Anexo I-C'!B468+'DCA-Anexo I-C'!B469</f>
        <v>2803892.35</v>
      </c>
      <c r="C456" s="12">
        <f>+'DCA-Anexo I-C'!C457+'DCA-Anexo I-C'!C458+'DCA-Anexo I-C'!C459+'DCA-Anexo I-C'!C460+'DCA-Anexo I-C'!C461+'DCA-Anexo I-C'!C464+'DCA-Anexo I-C'!C465+'DCA-Anexo I-C'!C466+'DCA-Anexo I-C'!C467+'DCA-Anexo I-C'!C468+'DCA-Anexo I-C'!C469</f>
        <v>0</v>
      </c>
      <c r="D456" s="12">
        <f>+'DCA-Anexo I-C'!D457+'DCA-Anexo I-C'!D458+'DCA-Anexo I-C'!D459+'DCA-Anexo I-C'!D460+'DCA-Anexo I-C'!D461+'DCA-Anexo I-C'!D464+'DCA-Anexo I-C'!D465+'DCA-Anexo I-C'!D466+'DCA-Anexo I-C'!D467+'DCA-Anexo I-C'!D468+'DCA-Anexo I-C'!D469</f>
        <v>0</v>
      </c>
      <c r="E456" s="12">
        <f>+'DCA-Anexo I-C'!E457+'DCA-Anexo I-C'!E458+'DCA-Anexo I-C'!E459+'DCA-Anexo I-C'!E460+'DCA-Anexo I-C'!E461+'DCA-Anexo I-C'!E464+'DCA-Anexo I-C'!E465+'DCA-Anexo I-C'!E466+'DCA-Anexo I-C'!E467+'DCA-Anexo I-C'!E468+'DCA-Anexo I-C'!E469</f>
        <v>0</v>
      </c>
    </row>
    <row r="457" spans="1:5" ht="12.75" customHeight="1">
      <c r="A457" s="3" t="s">
        <v>1532</v>
      </c>
      <c r="B457" s="11">
        <v>2107145.98</v>
      </c>
      <c r="C457" s="11"/>
      <c r="D457" s="11"/>
      <c r="E457" s="11"/>
    </row>
    <row r="458" spans="1:5" ht="25.5" customHeight="1">
      <c r="A458" s="4" t="s">
        <v>1533</v>
      </c>
      <c r="B458" s="12">
        <v>9900</v>
      </c>
      <c r="C458" s="12"/>
      <c r="D458" s="12"/>
      <c r="E458" s="12"/>
    </row>
    <row r="459" spans="1:5" ht="25.5" customHeight="1">
      <c r="A459" s="3" t="s">
        <v>1534</v>
      </c>
      <c r="B459" s="11">
        <v>395139</v>
      </c>
      <c r="C459" s="11"/>
      <c r="D459" s="11"/>
      <c r="E459" s="11"/>
    </row>
    <row r="460" spans="1:5" ht="25.5" customHeight="1">
      <c r="A460" s="4" t="s">
        <v>1535</v>
      </c>
      <c r="B460" s="12">
        <v>291707.37</v>
      </c>
      <c r="C460" s="12"/>
      <c r="D460" s="12"/>
      <c r="E460" s="12"/>
    </row>
    <row r="461" spans="1:5" ht="25.5" customHeight="1">
      <c r="A461" s="3" t="s">
        <v>1536</v>
      </c>
      <c r="B461" s="11">
        <f>+'DCA-Anexo I-C'!B462+'DCA-Anexo I-C'!B463</f>
        <v>0</v>
      </c>
      <c r="C461" s="11">
        <f>+'DCA-Anexo I-C'!C462+'DCA-Anexo I-C'!C463</f>
        <v>0</v>
      </c>
      <c r="D461" s="11">
        <f>+'DCA-Anexo I-C'!D462+'DCA-Anexo I-C'!D463</f>
        <v>0</v>
      </c>
      <c r="E461" s="11">
        <f>+'DCA-Anexo I-C'!E462+'DCA-Anexo I-C'!E463</f>
        <v>0</v>
      </c>
    </row>
    <row r="462" spans="1:5" ht="25.5" customHeight="1">
      <c r="A462" s="4" t="s">
        <v>1537</v>
      </c>
      <c r="B462" s="12"/>
      <c r="C462" s="12"/>
      <c r="D462" s="12"/>
      <c r="E462" s="12"/>
    </row>
    <row r="463" spans="1:5" ht="25.5" customHeight="1">
      <c r="A463" s="3" t="s">
        <v>1538</v>
      </c>
      <c r="B463" s="11"/>
      <c r="C463" s="11"/>
      <c r="D463" s="11"/>
      <c r="E463" s="11"/>
    </row>
    <row r="464" spans="1:5" ht="25.5" customHeight="1">
      <c r="A464" s="4" t="s">
        <v>1539</v>
      </c>
      <c r="B464" s="12"/>
      <c r="C464" s="12"/>
      <c r="D464" s="12"/>
      <c r="E464" s="12"/>
    </row>
    <row r="465" spans="1:5" ht="38.25" customHeight="1">
      <c r="A465" s="3" t="s">
        <v>1540</v>
      </c>
      <c r="B465" s="11"/>
      <c r="C465" s="11"/>
      <c r="D465" s="11"/>
      <c r="E465" s="11"/>
    </row>
    <row r="466" spans="1:5" ht="25.5" customHeight="1">
      <c r="A466" s="4" t="s">
        <v>1541</v>
      </c>
      <c r="B466" s="12"/>
      <c r="C466" s="12"/>
      <c r="D466" s="12"/>
      <c r="E466" s="12"/>
    </row>
    <row r="467" spans="1:5" ht="25.5" customHeight="1">
      <c r="A467" s="3" t="s">
        <v>1542</v>
      </c>
      <c r="B467" s="11"/>
      <c r="C467" s="11"/>
      <c r="D467" s="11"/>
      <c r="E467" s="11"/>
    </row>
    <row r="468" spans="1:5" ht="38.25" customHeight="1">
      <c r="A468" s="4" t="s">
        <v>1543</v>
      </c>
      <c r="B468" s="12"/>
      <c r="C468" s="12"/>
      <c r="D468" s="12"/>
      <c r="E468" s="12"/>
    </row>
    <row r="469" spans="1:5" ht="25.5" customHeight="1">
      <c r="A469" s="3" t="s">
        <v>1544</v>
      </c>
      <c r="B469" s="11"/>
      <c r="C469" s="11"/>
      <c r="D469" s="11"/>
      <c r="E469" s="11"/>
    </row>
    <row r="470" spans="1:5" ht="38.25" customHeight="1">
      <c r="A470" s="4" t="s">
        <v>1545</v>
      </c>
      <c r="B470" s="12">
        <v>17110061.23</v>
      </c>
      <c r="C470" s="12"/>
      <c r="D470" s="12"/>
      <c r="E470" s="12"/>
    </row>
    <row r="471" spans="1:5" ht="25.5" customHeight="1">
      <c r="A471" s="3" t="s">
        <v>1546</v>
      </c>
      <c r="B471" s="11">
        <v>391476.97</v>
      </c>
      <c r="C471" s="11"/>
      <c r="D471" s="11"/>
      <c r="E471" s="11"/>
    </row>
    <row r="472" spans="1:5" ht="25.5" customHeight="1">
      <c r="A472" s="4" t="s">
        <v>1547</v>
      </c>
      <c r="B472" s="12">
        <f>+'DCA-Anexo I-C'!B473+'DCA-Anexo I-C'!B474+'DCA-Anexo I-C'!B475+'DCA-Anexo I-C'!B476+'DCA-Anexo I-C'!B477+'DCA-Anexo I-C'!B478</f>
        <v>0</v>
      </c>
      <c r="C472" s="12">
        <f>+'DCA-Anexo I-C'!C473+'DCA-Anexo I-C'!C474+'DCA-Anexo I-C'!C475+'DCA-Anexo I-C'!C476+'DCA-Anexo I-C'!C477+'DCA-Anexo I-C'!C478</f>
        <v>0</v>
      </c>
      <c r="D472" s="12">
        <f>+'DCA-Anexo I-C'!D473+'DCA-Anexo I-C'!D474+'DCA-Anexo I-C'!D475+'DCA-Anexo I-C'!D476+'DCA-Anexo I-C'!D477+'DCA-Anexo I-C'!D478</f>
        <v>0</v>
      </c>
      <c r="E472" s="12">
        <f>+'DCA-Anexo I-C'!E473+'DCA-Anexo I-C'!E474+'DCA-Anexo I-C'!E475+'DCA-Anexo I-C'!E476+'DCA-Anexo I-C'!E477+'DCA-Anexo I-C'!E478</f>
        <v>0</v>
      </c>
    </row>
    <row r="473" spans="1:5" ht="25.5" customHeight="1">
      <c r="A473" s="3" t="s">
        <v>1548</v>
      </c>
      <c r="B473" s="11"/>
      <c r="C473" s="11"/>
      <c r="D473" s="11"/>
      <c r="E473" s="11"/>
    </row>
    <row r="474" spans="1:5" ht="25.5" customHeight="1">
      <c r="A474" s="4" t="s">
        <v>1549</v>
      </c>
      <c r="B474" s="12"/>
      <c r="C474" s="12"/>
      <c r="D474" s="12"/>
      <c r="E474" s="12"/>
    </row>
    <row r="475" spans="1:5" ht="25.5" customHeight="1">
      <c r="A475" s="3" t="s">
        <v>1550</v>
      </c>
      <c r="B475" s="11"/>
      <c r="C475" s="11"/>
      <c r="D475" s="11"/>
      <c r="E475" s="11"/>
    </row>
    <row r="476" spans="1:5" ht="25.5" customHeight="1">
      <c r="A476" s="4" t="s">
        <v>1551</v>
      </c>
      <c r="B476" s="12"/>
      <c r="C476" s="12"/>
      <c r="D476" s="12"/>
      <c r="E476" s="12"/>
    </row>
    <row r="477" spans="1:5" ht="25.5" customHeight="1">
      <c r="A477" s="3" t="s">
        <v>1552</v>
      </c>
      <c r="B477" s="11"/>
      <c r="C477" s="11"/>
      <c r="D477" s="11"/>
      <c r="E477" s="11"/>
    </row>
    <row r="478" spans="1:5" ht="25.5" customHeight="1">
      <c r="A478" s="4" t="s">
        <v>1553</v>
      </c>
      <c r="B478" s="12"/>
      <c r="C478" s="12"/>
      <c r="D478" s="12"/>
      <c r="E478" s="12"/>
    </row>
    <row r="479" spans="1:5" ht="25.5" customHeight="1">
      <c r="A479" s="3" t="s">
        <v>1554</v>
      </c>
      <c r="B479" s="11">
        <f>+'DCA-Anexo I-C'!B480+'DCA-Anexo I-C'!B481+'DCA-Anexo I-C'!B482+'DCA-Anexo I-C'!B483+'DCA-Anexo I-C'!B484+'DCA-Anexo I-C'!B485+'DCA-Anexo I-C'!B486+'DCA-Anexo I-C'!B487+'DCA-Anexo I-C'!B488+'DCA-Anexo I-C'!B489+'DCA-Anexo I-C'!B490+'DCA-Anexo I-C'!B491+'DCA-Anexo I-C'!B492</f>
        <v>168954.16</v>
      </c>
      <c r="C479" s="11">
        <f>+'DCA-Anexo I-C'!C480+'DCA-Anexo I-C'!C481+'DCA-Anexo I-C'!C482+'DCA-Anexo I-C'!C483+'DCA-Anexo I-C'!C484+'DCA-Anexo I-C'!C485+'DCA-Anexo I-C'!C486+'DCA-Anexo I-C'!C487+'DCA-Anexo I-C'!C488+'DCA-Anexo I-C'!C489+'DCA-Anexo I-C'!C490+'DCA-Anexo I-C'!C491+'DCA-Anexo I-C'!C492</f>
        <v>0</v>
      </c>
      <c r="D479" s="11">
        <f>+'DCA-Anexo I-C'!D480+'DCA-Anexo I-C'!D481+'DCA-Anexo I-C'!D482+'DCA-Anexo I-C'!D483+'DCA-Anexo I-C'!D484+'DCA-Anexo I-C'!D485+'DCA-Anexo I-C'!D486+'DCA-Anexo I-C'!D487+'DCA-Anexo I-C'!D488+'DCA-Anexo I-C'!D489+'DCA-Anexo I-C'!D490+'DCA-Anexo I-C'!D491+'DCA-Anexo I-C'!D492</f>
        <v>0</v>
      </c>
      <c r="E479" s="11">
        <f>+'DCA-Anexo I-C'!E480+'DCA-Anexo I-C'!E481+'DCA-Anexo I-C'!E482+'DCA-Anexo I-C'!E483+'DCA-Anexo I-C'!E484+'DCA-Anexo I-C'!E485+'DCA-Anexo I-C'!E486+'DCA-Anexo I-C'!E487+'DCA-Anexo I-C'!E488+'DCA-Anexo I-C'!E489+'DCA-Anexo I-C'!E490+'DCA-Anexo I-C'!E491+'DCA-Anexo I-C'!E492</f>
        <v>0</v>
      </c>
    </row>
    <row r="480" spans="1:5" ht="12.75" customHeight="1">
      <c r="A480" s="4" t="s">
        <v>1555</v>
      </c>
      <c r="B480" s="12"/>
      <c r="C480" s="12"/>
      <c r="D480" s="12"/>
      <c r="E480" s="12"/>
    </row>
    <row r="481" spans="1:5" ht="25.5" customHeight="1">
      <c r="A481" s="3" t="s">
        <v>1556</v>
      </c>
      <c r="B481" s="11"/>
      <c r="C481" s="11"/>
      <c r="D481" s="11"/>
      <c r="E481" s="11"/>
    </row>
    <row r="482" spans="1:5" ht="25.5" customHeight="1">
      <c r="A482" s="4" t="s">
        <v>1557</v>
      </c>
      <c r="B482" s="12"/>
      <c r="C482" s="12"/>
      <c r="D482" s="12"/>
      <c r="E482" s="12"/>
    </row>
    <row r="483" spans="1:5" ht="12.75" customHeight="1">
      <c r="A483" s="3" t="s">
        <v>1558</v>
      </c>
      <c r="B483" s="11"/>
      <c r="C483" s="11"/>
      <c r="D483" s="11"/>
      <c r="E483" s="11"/>
    </row>
    <row r="484" spans="1:5" ht="38.25" customHeight="1">
      <c r="A484" s="4" t="s">
        <v>1559</v>
      </c>
      <c r="B484" s="12"/>
      <c r="C484" s="12"/>
      <c r="D484" s="12"/>
      <c r="E484" s="12"/>
    </row>
    <row r="485" spans="1:5" ht="12.75" customHeight="1">
      <c r="A485" s="3" t="s">
        <v>1560</v>
      </c>
      <c r="B485" s="11"/>
      <c r="C485" s="11"/>
      <c r="D485" s="11"/>
      <c r="E485" s="11"/>
    </row>
    <row r="486" spans="1:5" ht="25.5" customHeight="1">
      <c r="A486" s="4" t="s">
        <v>1561</v>
      </c>
      <c r="B486" s="12">
        <v>132268.68</v>
      </c>
      <c r="C486" s="12"/>
      <c r="D486" s="12"/>
      <c r="E486" s="12"/>
    </row>
    <row r="487" spans="1:5" ht="25.5" customHeight="1">
      <c r="A487" s="3" t="s">
        <v>1562</v>
      </c>
      <c r="B487" s="11"/>
      <c r="C487" s="11"/>
      <c r="D487" s="11"/>
      <c r="E487" s="11"/>
    </row>
    <row r="488" spans="1:5" ht="25.5" customHeight="1">
      <c r="A488" s="4" t="s">
        <v>1563</v>
      </c>
      <c r="B488" s="12"/>
      <c r="C488" s="12"/>
      <c r="D488" s="12"/>
      <c r="E488" s="12"/>
    </row>
    <row r="489" spans="1:5" ht="25.5" customHeight="1">
      <c r="A489" s="3" t="s">
        <v>1564</v>
      </c>
      <c r="B489" s="11"/>
      <c r="C489" s="11"/>
      <c r="D489" s="11"/>
      <c r="E489" s="11"/>
    </row>
    <row r="490" spans="1:5" ht="25.5" customHeight="1">
      <c r="A490" s="4" t="s">
        <v>1565</v>
      </c>
      <c r="B490" s="12"/>
      <c r="C490" s="12"/>
      <c r="D490" s="12"/>
      <c r="E490" s="12"/>
    </row>
    <row r="491" spans="1:5" ht="38.25" customHeight="1">
      <c r="A491" s="3" t="s">
        <v>1566</v>
      </c>
      <c r="B491" s="11"/>
      <c r="C491" s="11"/>
      <c r="D491" s="11"/>
      <c r="E491" s="11"/>
    </row>
    <row r="492" spans="1:5" ht="25.5" customHeight="1">
      <c r="A492" s="4" t="s">
        <v>1567</v>
      </c>
      <c r="B492" s="12">
        <v>36685.480000000003</v>
      </c>
      <c r="C492" s="12"/>
      <c r="D492" s="12"/>
      <c r="E492" s="12"/>
    </row>
    <row r="493" spans="1:5" ht="25.5" customHeight="1">
      <c r="A493" s="3" t="s">
        <v>1568</v>
      </c>
      <c r="B493" s="11">
        <f>+'DCA-Anexo I-C'!B494+'DCA-Anexo I-C'!B500+'DCA-Anexo I-C'!B505+'DCA-Anexo I-C'!B506+'DCA-Anexo I-C'!B511</f>
        <v>39429351.410000004</v>
      </c>
      <c r="C493" s="11">
        <f>+'DCA-Anexo I-C'!C494+'DCA-Anexo I-C'!C500+'DCA-Anexo I-C'!C505+'DCA-Anexo I-C'!C506+'DCA-Anexo I-C'!C511</f>
        <v>0</v>
      </c>
      <c r="D493" s="11">
        <f>+'DCA-Anexo I-C'!D494+'DCA-Anexo I-C'!D500+'DCA-Anexo I-C'!D505+'DCA-Anexo I-C'!D506+'DCA-Anexo I-C'!D511</f>
        <v>7208915.2399999993</v>
      </c>
      <c r="E493" s="11">
        <f>+'DCA-Anexo I-C'!E494+'DCA-Anexo I-C'!E500+'DCA-Anexo I-C'!E505+'DCA-Anexo I-C'!E506+'DCA-Anexo I-C'!E511</f>
        <v>0</v>
      </c>
    </row>
    <row r="494" spans="1:5" ht="12.75" customHeight="1">
      <c r="A494" s="4" t="s">
        <v>1569</v>
      </c>
      <c r="B494" s="12">
        <f>+'DCA-Anexo I-C'!B495+'DCA-Anexo I-C'!B496+'DCA-Anexo I-C'!B497+'DCA-Anexo I-C'!B498+'DCA-Anexo I-C'!B499</f>
        <v>36268274.549999997</v>
      </c>
      <c r="C494" s="12">
        <f>+'DCA-Anexo I-C'!C495+'DCA-Anexo I-C'!C496+'DCA-Anexo I-C'!C497+'DCA-Anexo I-C'!C498+'DCA-Anexo I-C'!C499</f>
        <v>0</v>
      </c>
      <c r="D494" s="12">
        <f>+'DCA-Anexo I-C'!D495+'DCA-Anexo I-C'!D496+'DCA-Anexo I-C'!D497+'DCA-Anexo I-C'!D498+'DCA-Anexo I-C'!D499</f>
        <v>7208915.2399999993</v>
      </c>
      <c r="E494" s="12">
        <f>+'DCA-Anexo I-C'!E495+'DCA-Anexo I-C'!E496+'DCA-Anexo I-C'!E497+'DCA-Anexo I-C'!E498+'DCA-Anexo I-C'!E499</f>
        <v>0</v>
      </c>
    </row>
    <row r="495" spans="1:5" ht="12.75" customHeight="1">
      <c r="A495" s="3" t="s">
        <v>1570</v>
      </c>
      <c r="B495" s="11">
        <v>35008887.920000002</v>
      </c>
      <c r="C495" s="11"/>
      <c r="D495" s="11">
        <v>7001777.3499999996</v>
      </c>
      <c r="E495" s="11"/>
    </row>
    <row r="496" spans="1:5" ht="12.75" customHeight="1">
      <c r="A496" s="4" t="s">
        <v>1571</v>
      </c>
      <c r="B496" s="12">
        <v>1035694.05</v>
      </c>
      <c r="C496" s="12"/>
      <c r="D496" s="12">
        <v>207137.89</v>
      </c>
      <c r="E496" s="12"/>
    </row>
    <row r="497" spans="1:5" ht="12.75" customHeight="1">
      <c r="A497" s="3" t="s">
        <v>1572</v>
      </c>
      <c r="B497" s="11">
        <v>199345.4</v>
      </c>
      <c r="C497" s="11"/>
      <c r="D497" s="11"/>
      <c r="E497" s="11"/>
    </row>
    <row r="498" spans="1:5" ht="25.5" customHeight="1">
      <c r="A498" s="4" t="s">
        <v>1573</v>
      </c>
      <c r="B498" s="12">
        <v>24347.18</v>
      </c>
      <c r="C498" s="12"/>
      <c r="D498" s="12"/>
      <c r="E498" s="12"/>
    </row>
    <row r="499" spans="1:5" ht="25.5" customHeight="1">
      <c r="A499" s="3" t="s">
        <v>1574</v>
      </c>
      <c r="B499" s="11"/>
      <c r="C499" s="11"/>
      <c r="D499" s="11"/>
      <c r="E499" s="11"/>
    </row>
    <row r="500" spans="1:5" ht="25.5" customHeight="1">
      <c r="A500" s="4" t="s">
        <v>1575</v>
      </c>
      <c r="B500" s="12">
        <f>+'DCA-Anexo I-C'!B501+'DCA-Anexo I-C'!B502+'DCA-Anexo I-C'!B503+'DCA-Anexo I-C'!B504</f>
        <v>0</v>
      </c>
      <c r="C500" s="12">
        <f>+'DCA-Anexo I-C'!C501+'DCA-Anexo I-C'!C502+'DCA-Anexo I-C'!C503+'DCA-Anexo I-C'!C504</f>
        <v>0</v>
      </c>
      <c r="D500" s="12">
        <f>+'DCA-Anexo I-C'!D501+'DCA-Anexo I-C'!D502+'DCA-Anexo I-C'!D503+'DCA-Anexo I-C'!D504</f>
        <v>0</v>
      </c>
      <c r="E500" s="12">
        <f>+'DCA-Anexo I-C'!E501+'DCA-Anexo I-C'!E502+'DCA-Anexo I-C'!E503+'DCA-Anexo I-C'!E504</f>
        <v>0</v>
      </c>
    </row>
    <row r="501" spans="1:5" ht="25.5" customHeight="1">
      <c r="A501" s="3" t="s">
        <v>1576</v>
      </c>
      <c r="B501" s="11"/>
      <c r="C501" s="11"/>
      <c r="D501" s="11"/>
      <c r="E501" s="11"/>
    </row>
    <row r="502" spans="1:5" ht="25.5" customHeight="1">
      <c r="A502" s="4" t="s">
        <v>1577</v>
      </c>
      <c r="B502" s="12"/>
      <c r="C502" s="12"/>
      <c r="D502" s="12"/>
      <c r="E502" s="12"/>
    </row>
    <row r="503" spans="1:5" ht="25.5" customHeight="1">
      <c r="A503" s="3" t="s">
        <v>1578</v>
      </c>
      <c r="B503" s="11"/>
      <c r="C503" s="11"/>
      <c r="D503" s="11"/>
      <c r="E503" s="11"/>
    </row>
    <row r="504" spans="1:5" ht="25.5" customHeight="1">
      <c r="A504" s="4" t="s">
        <v>1579</v>
      </c>
      <c r="B504" s="12"/>
      <c r="C504" s="12"/>
      <c r="D504" s="12"/>
      <c r="E504" s="12"/>
    </row>
    <row r="505" spans="1:5" ht="25.5" customHeight="1">
      <c r="A505" s="3" t="s">
        <v>1580</v>
      </c>
      <c r="B505" s="11">
        <v>539150.34</v>
      </c>
      <c r="C505" s="11"/>
      <c r="D505" s="11"/>
      <c r="E505" s="11"/>
    </row>
    <row r="506" spans="1:5" ht="25.5" customHeight="1">
      <c r="A506" s="4" t="s">
        <v>1581</v>
      </c>
      <c r="B506" s="12">
        <f>+'DCA-Anexo I-C'!B507+'DCA-Anexo I-C'!B508+'DCA-Anexo I-C'!B509+'DCA-Anexo I-C'!B510</f>
        <v>2475752.96</v>
      </c>
      <c r="C506" s="12">
        <f>+'DCA-Anexo I-C'!C507+'DCA-Anexo I-C'!C508+'DCA-Anexo I-C'!C509+'DCA-Anexo I-C'!C510</f>
        <v>0</v>
      </c>
      <c r="D506" s="12">
        <f>+'DCA-Anexo I-C'!D507+'DCA-Anexo I-C'!D508+'DCA-Anexo I-C'!D509+'DCA-Anexo I-C'!D510</f>
        <v>0</v>
      </c>
      <c r="E506" s="12">
        <f>+'DCA-Anexo I-C'!E507+'DCA-Anexo I-C'!E508+'DCA-Anexo I-C'!E509+'DCA-Anexo I-C'!E510</f>
        <v>0</v>
      </c>
    </row>
    <row r="507" spans="1:5" ht="25.5" customHeight="1">
      <c r="A507" s="3" t="s">
        <v>1582</v>
      </c>
      <c r="B507" s="11"/>
      <c r="C507" s="11"/>
      <c r="D507" s="11"/>
      <c r="E507" s="11"/>
    </row>
    <row r="508" spans="1:5" ht="25.5" customHeight="1">
      <c r="A508" s="4" t="s">
        <v>1583</v>
      </c>
      <c r="B508" s="12"/>
      <c r="C508" s="12"/>
      <c r="D508" s="12"/>
      <c r="E508" s="12"/>
    </row>
    <row r="509" spans="1:5" ht="25.5" customHeight="1">
      <c r="A509" s="3" t="s">
        <v>1584</v>
      </c>
      <c r="B509" s="11">
        <v>2475752.96</v>
      </c>
      <c r="C509" s="11"/>
      <c r="D509" s="11"/>
      <c r="E509" s="11"/>
    </row>
    <row r="510" spans="1:5" ht="25.5" customHeight="1">
      <c r="A510" s="4" t="s">
        <v>1585</v>
      </c>
      <c r="B510" s="12"/>
      <c r="C510" s="12"/>
      <c r="D510" s="12"/>
      <c r="E510" s="12"/>
    </row>
    <row r="511" spans="1:5" ht="12.75" customHeight="1">
      <c r="A511" s="3" t="s">
        <v>1586</v>
      </c>
      <c r="B511" s="11">
        <f>+'DCA-Anexo I-C'!B512+'DCA-Anexo I-C'!B513+'DCA-Anexo I-C'!B514+'DCA-Anexo I-C'!B515+'DCA-Anexo I-C'!B516</f>
        <v>146173.56</v>
      </c>
      <c r="C511" s="11">
        <f>+'DCA-Anexo I-C'!C512+'DCA-Anexo I-C'!C513+'DCA-Anexo I-C'!C514+'DCA-Anexo I-C'!C515+'DCA-Anexo I-C'!C516</f>
        <v>0</v>
      </c>
      <c r="D511" s="11">
        <f>+'DCA-Anexo I-C'!D512+'DCA-Anexo I-C'!D513+'DCA-Anexo I-C'!D514+'DCA-Anexo I-C'!D515+'DCA-Anexo I-C'!D516</f>
        <v>0</v>
      </c>
      <c r="E511" s="11">
        <f>+'DCA-Anexo I-C'!E512+'DCA-Anexo I-C'!E513+'DCA-Anexo I-C'!E514+'DCA-Anexo I-C'!E515+'DCA-Anexo I-C'!E516</f>
        <v>0</v>
      </c>
    </row>
    <row r="512" spans="1:5" ht="12.75" customHeight="1">
      <c r="A512" s="4" t="s">
        <v>1587</v>
      </c>
      <c r="B512" s="12"/>
      <c r="C512" s="12"/>
      <c r="D512" s="12"/>
      <c r="E512" s="12"/>
    </row>
    <row r="513" spans="1:5" ht="25.5" customHeight="1">
      <c r="A513" s="3" t="s">
        <v>1588</v>
      </c>
      <c r="B513" s="11">
        <v>146173.56</v>
      </c>
      <c r="C513" s="11"/>
      <c r="D513" s="11"/>
      <c r="E513" s="11"/>
    </row>
    <row r="514" spans="1:5" ht="25.5" customHeight="1">
      <c r="A514" s="4" t="s">
        <v>1589</v>
      </c>
      <c r="B514" s="12"/>
      <c r="C514" s="12"/>
      <c r="D514" s="12"/>
      <c r="E514" s="12"/>
    </row>
    <row r="515" spans="1:5" ht="25.5" customHeight="1">
      <c r="A515" s="3" t="s">
        <v>1590</v>
      </c>
      <c r="B515" s="11"/>
      <c r="C515" s="11"/>
      <c r="D515" s="11"/>
      <c r="E515" s="11"/>
    </row>
    <row r="516" spans="1:5" ht="12.75" customHeight="1">
      <c r="A516" s="4" t="s">
        <v>1591</v>
      </c>
      <c r="B516" s="12"/>
      <c r="C516" s="12"/>
      <c r="D516" s="12"/>
      <c r="E516" s="12"/>
    </row>
    <row r="517" spans="1:5" ht="12.75" customHeight="1">
      <c r="A517" s="3" t="s">
        <v>1592</v>
      </c>
      <c r="B517" s="11">
        <f>+'DCA-Anexo I-C'!B518+'DCA-Anexo I-C'!B520+'DCA-Anexo I-C'!B525</f>
        <v>0</v>
      </c>
      <c r="C517" s="11">
        <f>+'DCA-Anexo I-C'!C518+'DCA-Anexo I-C'!C520+'DCA-Anexo I-C'!C525</f>
        <v>0</v>
      </c>
      <c r="D517" s="11">
        <f>+'DCA-Anexo I-C'!D518+'DCA-Anexo I-C'!D520+'DCA-Anexo I-C'!D525</f>
        <v>0</v>
      </c>
      <c r="E517" s="11">
        <f>+'DCA-Anexo I-C'!E518+'DCA-Anexo I-C'!E520+'DCA-Anexo I-C'!E525</f>
        <v>0</v>
      </c>
    </row>
    <row r="518" spans="1:5" ht="25.5" customHeight="1">
      <c r="A518" s="4" t="s">
        <v>1593</v>
      </c>
      <c r="B518" s="12">
        <f>+'DCA-Anexo I-C'!B519</f>
        <v>0</v>
      </c>
      <c r="C518" s="12">
        <f>+'DCA-Anexo I-C'!C519</f>
        <v>0</v>
      </c>
      <c r="D518" s="12">
        <f>+'DCA-Anexo I-C'!D519</f>
        <v>0</v>
      </c>
      <c r="E518" s="12">
        <f>+'DCA-Anexo I-C'!E519</f>
        <v>0</v>
      </c>
    </row>
    <row r="519" spans="1:5" ht="25.5" customHeight="1">
      <c r="A519" s="3" t="s">
        <v>1594</v>
      </c>
      <c r="B519" s="11"/>
      <c r="C519" s="11"/>
      <c r="D519" s="11"/>
      <c r="E519" s="11"/>
    </row>
    <row r="520" spans="1:5" ht="25.5" customHeight="1">
      <c r="A520" s="4" t="s">
        <v>1595</v>
      </c>
      <c r="B520" s="12">
        <f>+'DCA-Anexo I-C'!B521+'DCA-Anexo I-C'!B522+'DCA-Anexo I-C'!B523+'DCA-Anexo I-C'!B524</f>
        <v>0</v>
      </c>
      <c r="C520" s="12">
        <f>+'DCA-Anexo I-C'!C521+'DCA-Anexo I-C'!C522+'DCA-Anexo I-C'!C523+'DCA-Anexo I-C'!C524</f>
        <v>0</v>
      </c>
      <c r="D520" s="12">
        <f>+'DCA-Anexo I-C'!D521+'DCA-Anexo I-C'!D522+'DCA-Anexo I-C'!D523+'DCA-Anexo I-C'!D524</f>
        <v>0</v>
      </c>
      <c r="E520" s="12">
        <f>+'DCA-Anexo I-C'!E521+'DCA-Anexo I-C'!E522+'DCA-Anexo I-C'!E523+'DCA-Anexo I-C'!E524</f>
        <v>0</v>
      </c>
    </row>
    <row r="521" spans="1:5" ht="25.5" customHeight="1">
      <c r="A521" s="3" t="s">
        <v>1596</v>
      </c>
      <c r="B521" s="11"/>
      <c r="C521" s="11"/>
      <c r="D521" s="11"/>
      <c r="E521" s="11"/>
    </row>
    <row r="522" spans="1:5" ht="25.5" customHeight="1">
      <c r="A522" s="4" t="s">
        <v>1597</v>
      </c>
      <c r="B522" s="12"/>
      <c r="C522" s="12"/>
      <c r="D522" s="12"/>
      <c r="E522" s="12"/>
    </row>
    <row r="523" spans="1:5" ht="25.5" customHeight="1">
      <c r="A523" s="3" t="s">
        <v>1598</v>
      </c>
      <c r="B523" s="11"/>
      <c r="C523" s="11"/>
      <c r="D523" s="11"/>
      <c r="E523" s="11"/>
    </row>
    <row r="524" spans="1:5" ht="25.5" customHeight="1">
      <c r="A524" s="4" t="s">
        <v>1599</v>
      </c>
      <c r="B524" s="12"/>
      <c r="C524" s="12"/>
      <c r="D524" s="12"/>
      <c r="E524" s="12"/>
    </row>
    <row r="525" spans="1:5" ht="12.75" customHeight="1">
      <c r="A525" s="3" t="s">
        <v>1600</v>
      </c>
      <c r="B525" s="11">
        <f>+'DCA-Anexo I-C'!B526+'DCA-Anexo I-C'!B527</f>
        <v>0</v>
      </c>
      <c r="C525" s="11">
        <f>+'DCA-Anexo I-C'!C526+'DCA-Anexo I-C'!C527</f>
        <v>0</v>
      </c>
      <c r="D525" s="11">
        <f>+'DCA-Anexo I-C'!D526+'DCA-Anexo I-C'!D527</f>
        <v>0</v>
      </c>
      <c r="E525" s="11">
        <f>+'DCA-Anexo I-C'!E526+'DCA-Anexo I-C'!E527</f>
        <v>0</v>
      </c>
    </row>
    <row r="526" spans="1:5" ht="12.75" customHeight="1">
      <c r="A526" s="4" t="s">
        <v>1601</v>
      </c>
      <c r="B526" s="12"/>
      <c r="C526" s="12"/>
      <c r="D526" s="12"/>
      <c r="E526" s="12"/>
    </row>
    <row r="527" spans="1:5" ht="12.75" customHeight="1">
      <c r="A527" s="3" t="s">
        <v>1602</v>
      </c>
      <c r="B527" s="11"/>
      <c r="C527" s="11"/>
      <c r="D527" s="11"/>
      <c r="E527" s="11"/>
    </row>
    <row r="528" spans="1:5" ht="12.75" customHeight="1">
      <c r="A528" s="4" t="s">
        <v>1603</v>
      </c>
      <c r="B528" s="12">
        <f>+'DCA-Anexo I-C'!B529</f>
        <v>0</v>
      </c>
      <c r="C528" s="12">
        <f>+'DCA-Anexo I-C'!C529</f>
        <v>0</v>
      </c>
      <c r="D528" s="12">
        <f>+'DCA-Anexo I-C'!D529</f>
        <v>0</v>
      </c>
      <c r="E528" s="12">
        <f>+'DCA-Anexo I-C'!E529</f>
        <v>0</v>
      </c>
    </row>
    <row r="529" spans="1:5" ht="12.75" customHeight="1">
      <c r="A529" s="3" t="s">
        <v>1604</v>
      </c>
      <c r="B529" s="11">
        <f>+'DCA-Anexo I-C'!B530+'DCA-Anexo I-C'!B531+'DCA-Anexo I-C'!B532+'DCA-Anexo I-C'!B533</f>
        <v>0</v>
      </c>
      <c r="C529" s="11">
        <f>+'DCA-Anexo I-C'!C530+'DCA-Anexo I-C'!C531+'DCA-Anexo I-C'!C532+'DCA-Anexo I-C'!C533</f>
        <v>0</v>
      </c>
      <c r="D529" s="11">
        <f>+'DCA-Anexo I-C'!D530+'DCA-Anexo I-C'!D531+'DCA-Anexo I-C'!D532+'DCA-Anexo I-C'!D533</f>
        <v>0</v>
      </c>
      <c r="E529" s="11">
        <f>+'DCA-Anexo I-C'!E530+'DCA-Anexo I-C'!E531+'DCA-Anexo I-C'!E532+'DCA-Anexo I-C'!E533</f>
        <v>0</v>
      </c>
    </row>
    <row r="530" spans="1:5" ht="25.5" customHeight="1">
      <c r="A530" s="4" t="s">
        <v>1605</v>
      </c>
      <c r="B530" s="12"/>
      <c r="C530" s="12"/>
      <c r="D530" s="12"/>
      <c r="E530" s="12"/>
    </row>
    <row r="531" spans="1:5" ht="25.5" customHeight="1">
      <c r="A531" s="3" t="s">
        <v>1606</v>
      </c>
      <c r="B531" s="11"/>
      <c r="C531" s="11"/>
      <c r="D531" s="11"/>
      <c r="E531" s="11"/>
    </row>
    <row r="532" spans="1:5" ht="25.5" customHeight="1">
      <c r="A532" s="4" t="s">
        <v>1607</v>
      </c>
      <c r="B532" s="12"/>
      <c r="C532" s="12"/>
      <c r="D532" s="12"/>
      <c r="E532" s="12"/>
    </row>
    <row r="533" spans="1:5" ht="12.75" customHeight="1">
      <c r="A533" s="3" t="s">
        <v>1608</v>
      </c>
      <c r="B533" s="11"/>
      <c r="C533" s="11"/>
      <c r="D533" s="11"/>
      <c r="E533" s="11"/>
    </row>
    <row r="534" spans="1:5" ht="12.75" customHeight="1">
      <c r="A534" s="4" t="s">
        <v>1609</v>
      </c>
      <c r="B534" s="12">
        <f>+'DCA-Anexo I-C'!B535+'DCA-Anexo I-C'!B536</f>
        <v>20431382.530000001</v>
      </c>
      <c r="C534" s="12">
        <f>+'DCA-Anexo I-C'!C535+'DCA-Anexo I-C'!C536</f>
        <v>0</v>
      </c>
      <c r="D534" s="12">
        <f>+'DCA-Anexo I-C'!D535+'DCA-Anexo I-C'!D536</f>
        <v>0</v>
      </c>
      <c r="E534" s="12">
        <f>+'DCA-Anexo I-C'!E535+'DCA-Anexo I-C'!E536</f>
        <v>0</v>
      </c>
    </row>
    <row r="535" spans="1:5" ht="38.25" customHeight="1">
      <c r="A535" s="3" t="s">
        <v>1610</v>
      </c>
      <c r="B535" s="11">
        <v>20431382.530000001</v>
      </c>
      <c r="C535" s="11"/>
      <c r="D535" s="11"/>
      <c r="E535" s="11"/>
    </row>
    <row r="536" spans="1:5" ht="12.75" customHeight="1">
      <c r="A536" s="4" t="s">
        <v>1611</v>
      </c>
      <c r="B536" s="12"/>
      <c r="C536" s="12"/>
      <c r="D536" s="12"/>
      <c r="E536" s="12"/>
    </row>
    <row r="537" spans="1:5" ht="12.75" customHeight="1">
      <c r="A537" s="3" t="s">
        <v>1612</v>
      </c>
      <c r="B537" s="11">
        <f>+'DCA-Anexo I-C'!B538</f>
        <v>0</v>
      </c>
      <c r="C537" s="11">
        <f>+'DCA-Anexo I-C'!C538</f>
        <v>0</v>
      </c>
      <c r="D537" s="11">
        <f>+'DCA-Anexo I-C'!D538</f>
        <v>0</v>
      </c>
      <c r="E537" s="11">
        <f>+'DCA-Anexo I-C'!E538</f>
        <v>0</v>
      </c>
    </row>
    <row r="538" spans="1:5" ht="12.75" customHeight="1">
      <c r="A538" s="4" t="s">
        <v>1613</v>
      </c>
      <c r="B538" s="12">
        <f>+'DCA-Anexo I-C'!B539+'DCA-Anexo I-C'!B540+'DCA-Anexo I-C'!B541+'DCA-Anexo I-C'!B542</f>
        <v>0</v>
      </c>
      <c r="C538" s="12">
        <f>+'DCA-Anexo I-C'!C539+'DCA-Anexo I-C'!C540+'DCA-Anexo I-C'!C541+'DCA-Anexo I-C'!C542</f>
        <v>0</v>
      </c>
      <c r="D538" s="12">
        <f>+'DCA-Anexo I-C'!D539+'DCA-Anexo I-C'!D540+'DCA-Anexo I-C'!D541+'DCA-Anexo I-C'!D542</f>
        <v>0</v>
      </c>
      <c r="E538" s="12">
        <f>+'DCA-Anexo I-C'!E539+'DCA-Anexo I-C'!E540+'DCA-Anexo I-C'!E541+'DCA-Anexo I-C'!E542</f>
        <v>0</v>
      </c>
    </row>
    <row r="539" spans="1:5" ht="25.5" customHeight="1">
      <c r="A539" s="3" t="s">
        <v>1614</v>
      </c>
      <c r="B539" s="11"/>
      <c r="C539" s="11"/>
      <c r="D539" s="11"/>
      <c r="E539" s="11"/>
    </row>
    <row r="540" spans="1:5" ht="25.5" customHeight="1">
      <c r="A540" s="4" t="s">
        <v>1615</v>
      </c>
      <c r="B540" s="12"/>
      <c r="C540" s="12"/>
      <c r="D540" s="12"/>
      <c r="E540" s="12"/>
    </row>
    <row r="541" spans="1:5" ht="25.5" customHeight="1">
      <c r="A541" s="3" t="s">
        <v>1616</v>
      </c>
      <c r="B541" s="11"/>
      <c r="C541" s="11"/>
      <c r="D541" s="11"/>
      <c r="E541" s="11"/>
    </row>
    <row r="542" spans="1:5" ht="12.75" customHeight="1">
      <c r="A542" s="4" t="s">
        <v>1617</v>
      </c>
      <c r="B542" s="12"/>
      <c r="C542" s="12"/>
      <c r="D542" s="12"/>
      <c r="E542" s="12"/>
    </row>
    <row r="543" spans="1:5" ht="12.75" customHeight="1">
      <c r="A543" s="3" t="s">
        <v>1618</v>
      </c>
      <c r="B543" s="11">
        <f>+'DCA-Anexo I-C'!B544+'DCA-Anexo I-C'!B549+'DCA-Anexo I-C'!B550</f>
        <v>0</v>
      </c>
      <c r="C543" s="11">
        <f>+'DCA-Anexo I-C'!C544+'DCA-Anexo I-C'!C549+'DCA-Anexo I-C'!C550</f>
        <v>0</v>
      </c>
      <c r="D543" s="11">
        <f>+'DCA-Anexo I-C'!D544+'DCA-Anexo I-C'!D549+'DCA-Anexo I-C'!D550</f>
        <v>0</v>
      </c>
      <c r="E543" s="11">
        <f>+'DCA-Anexo I-C'!E544+'DCA-Anexo I-C'!E549+'DCA-Anexo I-C'!E550</f>
        <v>0</v>
      </c>
    </row>
    <row r="544" spans="1:5" ht="12.75" customHeight="1">
      <c r="A544" s="4" t="s">
        <v>1619</v>
      </c>
      <c r="B544" s="12">
        <f>+'DCA-Anexo I-C'!B545+'DCA-Anexo I-C'!B546+'DCA-Anexo I-C'!B547+'DCA-Anexo I-C'!B548</f>
        <v>0</v>
      </c>
      <c r="C544" s="12">
        <f>+'DCA-Anexo I-C'!C545+'DCA-Anexo I-C'!C546+'DCA-Anexo I-C'!C547+'DCA-Anexo I-C'!C548</f>
        <v>0</v>
      </c>
      <c r="D544" s="12">
        <f>+'DCA-Anexo I-C'!D545+'DCA-Anexo I-C'!D546+'DCA-Anexo I-C'!D547+'DCA-Anexo I-C'!D548</f>
        <v>0</v>
      </c>
      <c r="E544" s="12">
        <f>+'DCA-Anexo I-C'!E545+'DCA-Anexo I-C'!E546+'DCA-Anexo I-C'!E547+'DCA-Anexo I-C'!E548</f>
        <v>0</v>
      </c>
    </row>
    <row r="545" spans="1:5" ht="25.5" customHeight="1">
      <c r="A545" s="3" t="s">
        <v>1620</v>
      </c>
      <c r="B545" s="11"/>
      <c r="C545" s="11"/>
      <c r="D545" s="11"/>
      <c r="E545" s="11"/>
    </row>
    <row r="546" spans="1:5" ht="25.5" customHeight="1">
      <c r="A546" s="4" t="s">
        <v>1621</v>
      </c>
      <c r="B546" s="12"/>
      <c r="C546" s="12"/>
      <c r="D546" s="12"/>
      <c r="E546" s="12"/>
    </row>
    <row r="547" spans="1:5" ht="25.5" customHeight="1">
      <c r="A547" s="3" t="s">
        <v>1622</v>
      </c>
      <c r="B547" s="11"/>
      <c r="C547" s="11"/>
      <c r="D547" s="11"/>
      <c r="E547" s="11"/>
    </row>
    <row r="548" spans="1:5" ht="12.75" customHeight="1">
      <c r="A548" s="4" t="s">
        <v>1623</v>
      </c>
      <c r="B548" s="12"/>
      <c r="C548" s="12"/>
      <c r="D548" s="12"/>
      <c r="E548" s="12"/>
    </row>
    <row r="549" spans="1:5" ht="25.5" customHeight="1">
      <c r="A549" s="3" t="s">
        <v>1624</v>
      </c>
      <c r="B549" s="11"/>
      <c r="C549" s="11"/>
      <c r="D549" s="11"/>
      <c r="E549" s="11"/>
    </row>
    <row r="550" spans="1:5" ht="12.75" customHeight="1">
      <c r="A550" s="4" t="s">
        <v>1625</v>
      </c>
      <c r="B550" s="12"/>
      <c r="C550" s="12"/>
      <c r="D550" s="12"/>
      <c r="E550" s="12"/>
    </row>
    <row r="551" spans="1:5" ht="12.75" customHeight="1">
      <c r="A551" s="3" t="s">
        <v>1626</v>
      </c>
      <c r="B551" s="11">
        <f>+'DCA-Anexo I-C'!B552+'DCA-Anexo I-C'!B573+'DCA-Anexo I-C'!B614+'DCA-Anexo I-C'!B629+'DCA-Anexo I-C'!B659</f>
        <v>1015.97</v>
      </c>
      <c r="C551" s="11">
        <f>+'DCA-Anexo I-C'!C552+'DCA-Anexo I-C'!C573+'DCA-Anexo I-C'!C614+'DCA-Anexo I-C'!C629+'DCA-Anexo I-C'!C659</f>
        <v>0</v>
      </c>
      <c r="D551" s="11">
        <f>+'DCA-Anexo I-C'!D552+'DCA-Anexo I-C'!D573+'DCA-Anexo I-C'!D614+'DCA-Anexo I-C'!D629+'DCA-Anexo I-C'!D659</f>
        <v>0</v>
      </c>
      <c r="E551" s="11">
        <f>+'DCA-Anexo I-C'!E552+'DCA-Anexo I-C'!E573+'DCA-Anexo I-C'!E614+'DCA-Anexo I-C'!E629+'DCA-Anexo I-C'!E659</f>
        <v>0</v>
      </c>
    </row>
    <row r="552" spans="1:5" ht="12.75" customHeight="1">
      <c r="A552" s="4" t="s">
        <v>1627</v>
      </c>
      <c r="B552" s="12">
        <f>+'DCA-Anexo I-C'!B553</f>
        <v>1000</v>
      </c>
      <c r="C552" s="12">
        <f>+'DCA-Anexo I-C'!C553</f>
        <v>0</v>
      </c>
      <c r="D552" s="12">
        <f>+'DCA-Anexo I-C'!D553</f>
        <v>0</v>
      </c>
      <c r="E552" s="12">
        <f>+'DCA-Anexo I-C'!E553</f>
        <v>0</v>
      </c>
    </row>
    <row r="553" spans="1:5" ht="12.75" customHeight="1">
      <c r="A553" s="3" t="s">
        <v>1628</v>
      </c>
      <c r="B553" s="11">
        <f>+'DCA-Anexo I-C'!B554+'DCA-Anexo I-C'!B555+'DCA-Anexo I-C'!B556+'DCA-Anexo I-C'!B557+'DCA-Anexo I-C'!B558+'DCA-Anexo I-C'!B559+'DCA-Anexo I-C'!B562+'DCA-Anexo I-C'!B563+'DCA-Anexo I-C'!B564+'DCA-Anexo I-C'!B565+'DCA-Anexo I-C'!B566+'DCA-Anexo I-C'!B567+'DCA-Anexo I-C'!B568+'DCA-Anexo I-C'!B571+'DCA-Anexo I-C'!B572</f>
        <v>1000</v>
      </c>
      <c r="C553" s="11">
        <f>+'DCA-Anexo I-C'!C554+'DCA-Anexo I-C'!C555+'DCA-Anexo I-C'!C556+'DCA-Anexo I-C'!C557+'DCA-Anexo I-C'!C558+'DCA-Anexo I-C'!C559+'DCA-Anexo I-C'!C562+'DCA-Anexo I-C'!C563+'DCA-Anexo I-C'!C564+'DCA-Anexo I-C'!C565+'DCA-Anexo I-C'!C566+'DCA-Anexo I-C'!C567+'DCA-Anexo I-C'!C568+'DCA-Anexo I-C'!C571+'DCA-Anexo I-C'!C572</f>
        <v>0</v>
      </c>
      <c r="D553" s="11">
        <f>+'DCA-Anexo I-C'!D554+'DCA-Anexo I-C'!D555+'DCA-Anexo I-C'!D556+'DCA-Anexo I-C'!D557+'DCA-Anexo I-C'!D558+'DCA-Anexo I-C'!D559+'DCA-Anexo I-C'!D562+'DCA-Anexo I-C'!D563+'DCA-Anexo I-C'!D564+'DCA-Anexo I-C'!D565+'DCA-Anexo I-C'!D566+'DCA-Anexo I-C'!D567+'DCA-Anexo I-C'!D568+'DCA-Anexo I-C'!D571+'DCA-Anexo I-C'!D572</f>
        <v>0</v>
      </c>
      <c r="E553" s="11">
        <f>+'DCA-Anexo I-C'!E554+'DCA-Anexo I-C'!E555+'DCA-Anexo I-C'!E556+'DCA-Anexo I-C'!E557+'DCA-Anexo I-C'!E558+'DCA-Anexo I-C'!E559+'DCA-Anexo I-C'!E562+'DCA-Anexo I-C'!E563+'DCA-Anexo I-C'!E564+'DCA-Anexo I-C'!E565+'DCA-Anexo I-C'!E566+'DCA-Anexo I-C'!E567+'DCA-Anexo I-C'!E568+'DCA-Anexo I-C'!E571+'DCA-Anexo I-C'!E572</f>
        <v>0</v>
      </c>
    </row>
    <row r="554" spans="1:5" ht="12.75" customHeight="1">
      <c r="A554" s="4" t="s">
        <v>1629</v>
      </c>
      <c r="B554" s="12"/>
      <c r="C554" s="12"/>
      <c r="D554" s="12"/>
      <c r="E554" s="12"/>
    </row>
    <row r="555" spans="1:5" ht="12.75" customHeight="1">
      <c r="A555" s="3" t="s">
        <v>1630</v>
      </c>
      <c r="B555" s="11"/>
      <c r="C555" s="11"/>
      <c r="D555" s="11"/>
      <c r="E555" s="11"/>
    </row>
    <row r="556" spans="1:5" ht="25.5" customHeight="1">
      <c r="A556" s="4" t="s">
        <v>1631</v>
      </c>
      <c r="B556" s="12"/>
      <c r="C556" s="12"/>
      <c r="D556" s="12"/>
      <c r="E556" s="12"/>
    </row>
    <row r="557" spans="1:5" ht="25.5" customHeight="1">
      <c r="A557" s="3" t="s">
        <v>1632</v>
      </c>
      <c r="B557" s="11"/>
      <c r="C557" s="11"/>
      <c r="D557" s="11"/>
      <c r="E557" s="11"/>
    </row>
    <row r="558" spans="1:5" ht="25.5" customHeight="1">
      <c r="A558" s="4" t="s">
        <v>1633</v>
      </c>
      <c r="B558" s="12"/>
      <c r="C558" s="12"/>
      <c r="D558" s="12"/>
      <c r="E558" s="12"/>
    </row>
    <row r="559" spans="1:5" ht="12.75" customHeight="1">
      <c r="A559" s="3" t="s">
        <v>1634</v>
      </c>
      <c r="B559" s="11">
        <f>+'DCA-Anexo I-C'!B560+'DCA-Anexo I-C'!B561</f>
        <v>0</v>
      </c>
      <c r="C559" s="11">
        <f>+'DCA-Anexo I-C'!C560+'DCA-Anexo I-C'!C561</f>
        <v>0</v>
      </c>
      <c r="D559" s="11">
        <f>+'DCA-Anexo I-C'!D560+'DCA-Anexo I-C'!D561</f>
        <v>0</v>
      </c>
      <c r="E559" s="11">
        <f>+'DCA-Anexo I-C'!E560+'DCA-Anexo I-C'!E561</f>
        <v>0</v>
      </c>
    </row>
    <row r="560" spans="1:5" ht="12.75" customHeight="1">
      <c r="A560" s="4" t="s">
        <v>1635</v>
      </c>
      <c r="B560" s="12"/>
      <c r="C560" s="12"/>
      <c r="D560" s="12"/>
      <c r="E560" s="12"/>
    </row>
    <row r="561" spans="1:5" ht="12.75" customHeight="1">
      <c r="A561" s="3" t="s">
        <v>1636</v>
      </c>
      <c r="B561" s="11"/>
      <c r="C561" s="11"/>
      <c r="D561" s="11"/>
      <c r="E561" s="11"/>
    </row>
    <row r="562" spans="1:5" ht="12.75" customHeight="1">
      <c r="A562" s="4" t="s">
        <v>1637</v>
      </c>
      <c r="B562" s="12">
        <v>1000</v>
      </c>
      <c r="C562" s="12"/>
      <c r="D562" s="12"/>
      <c r="E562" s="12"/>
    </row>
    <row r="563" spans="1:5" ht="12.75" customHeight="1">
      <c r="A563" s="3" t="s">
        <v>1638</v>
      </c>
      <c r="B563" s="11"/>
      <c r="C563" s="11"/>
      <c r="D563" s="11"/>
      <c r="E563" s="11"/>
    </row>
    <row r="564" spans="1:5" ht="12.75" customHeight="1">
      <c r="A564" s="4" t="s">
        <v>1639</v>
      </c>
      <c r="B564" s="12"/>
      <c r="C564" s="12"/>
      <c r="D564" s="12"/>
      <c r="E564" s="12"/>
    </row>
    <row r="565" spans="1:5" ht="25.5" customHeight="1">
      <c r="A565" s="3" t="s">
        <v>1640</v>
      </c>
      <c r="B565" s="11"/>
      <c r="C565" s="11"/>
      <c r="D565" s="11"/>
      <c r="E565" s="11"/>
    </row>
    <row r="566" spans="1:5" ht="25.5" customHeight="1">
      <c r="A566" s="4" t="s">
        <v>1641</v>
      </c>
      <c r="B566" s="12"/>
      <c r="C566" s="12"/>
      <c r="D566" s="12"/>
      <c r="E566" s="12"/>
    </row>
    <row r="567" spans="1:5" ht="12.75" customHeight="1">
      <c r="A567" s="3" t="s">
        <v>1642</v>
      </c>
      <c r="B567" s="11"/>
      <c r="C567" s="11"/>
      <c r="D567" s="11"/>
      <c r="E567" s="11"/>
    </row>
    <row r="568" spans="1:5" ht="12.75" customHeight="1">
      <c r="A568" s="4" t="s">
        <v>1643</v>
      </c>
      <c r="B568" s="12">
        <f>+'DCA-Anexo I-C'!B569+'DCA-Anexo I-C'!B570</f>
        <v>0</v>
      </c>
      <c r="C568" s="12">
        <f>+'DCA-Anexo I-C'!C569+'DCA-Anexo I-C'!C570</f>
        <v>0</v>
      </c>
      <c r="D568" s="12">
        <f>+'DCA-Anexo I-C'!D569+'DCA-Anexo I-C'!D570</f>
        <v>0</v>
      </c>
      <c r="E568" s="12">
        <f>+'DCA-Anexo I-C'!E569+'DCA-Anexo I-C'!E570</f>
        <v>0</v>
      </c>
    </row>
    <row r="569" spans="1:5" ht="25.5" customHeight="1">
      <c r="A569" s="3" t="s">
        <v>1644</v>
      </c>
      <c r="B569" s="11"/>
      <c r="C569" s="11"/>
      <c r="D569" s="11"/>
      <c r="E569" s="11"/>
    </row>
    <row r="570" spans="1:5" ht="25.5" customHeight="1">
      <c r="A570" s="4" t="s">
        <v>1645</v>
      </c>
      <c r="B570" s="12"/>
      <c r="C570" s="12"/>
      <c r="D570" s="12"/>
      <c r="E570" s="12"/>
    </row>
    <row r="571" spans="1:5" ht="25.5" customHeight="1">
      <c r="A571" s="3" t="s">
        <v>1646</v>
      </c>
      <c r="B571" s="11"/>
      <c r="C571" s="11"/>
      <c r="D571" s="11"/>
      <c r="E571" s="11"/>
    </row>
    <row r="572" spans="1:5" ht="25.5" customHeight="1">
      <c r="A572" s="4" t="s">
        <v>1647</v>
      </c>
      <c r="B572" s="12"/>
      <c r="C572" s="12"/>
      <c r="D572" s="12"/>
      <c r="E572" s="12"/>
    </row>
    <row r="573" spans="1:5" ht="12.75" customHeight="1">
      <c r="A573" s="3" t="s">
        <v>1648</v>
      </c>
      <c r="B573" s="11">
        <f>+'DCA-Anexo I-C'!B574+'DCA-Anexo I-C'!B582+'DCA-Anexo I-C'!B607</f>
        <v>0</v>
      </c>
      <c r="C573" s="11">
        <f>+'DCA-Anexo I-C'!C574+'DCA-Anexo I-C'!C582+'DCA-Anexo I-C'!C607</f>
        <v>0</v>
      </c>
      <c r="D573" s="11">
        <f>+'DCA-Anexo I-C'!D574+'DCA-Anexo I-C'!D582+'DCA-Anexo I-C'!D607</f>
        <v>0</v>
      </c>
      <c r="E573" s="11">
        <f>+'DCA-Anexo I-C'!E574+'DCA-Anexo I-C'!E582+'DCA-Anexo I-C'!E607</f>
        <v>0</v>
      </c>
    </row>
    <row r="574" spans="1:5" ht="12.75" customHeight="1">
      <c r="A574" s="4" t="s">
        <v>1649</v>
      </c>
      <c r="B574" s="12">
        <f>+'DCA-Anexo I-C'!B575+'DCA-Anexo I-C'!B576+'DCA-Anexo I-C'!B577+'DCA-Anexo I-C'!B578+'DCA-Anexo I-C'!B579+'DCA-Anexo I-C'!B580+'DCA-Anexo I-C'!B581</f>
        <v>0</v>
      </c>
      <c r="C574" s="12">
        <f>+'DCA-Anexo I-C'!C575+'DCA-Anexo I-C'!C576+'DCA-Anexo I-C'!C577+'DCA-Anexo I-C'!C578+'DCA-Anexo I-C'!C579+'DCA-Anexo I-C'!C580+'DCA-Anexo I-C'!C581</f>
        <v>0</v>
      </c>
      <c r="D574" s="12">
        <f>+'DCA-Anexo I-C'!D575+'DCA-Anexo I-C'!D576+'DCA-Anexo I-C'!D577+'DCA-Anexo I-C'!D578+'DCA-Anexo I-C'!D579+'DCA-Anexo I-C'!D580+'DCA-Anexo I-C'!D581</f>
        <v>0</v>
      </c>
      <c r="E574" s="12">
        <f>+'DCA-Anexo I-C'!E575+'DCA-Anexo I-C'!E576+'DCA-Anexo I-C'!E577+'DCA-Anexo I-C'!E578+'DCA-Anexo I-C'!E579+'DCA-Anexo I-C'!E580+'DCA-Anexo I-C'!E581</f>
        <v>0</v>
      </c>
    </row>
    <row r="575" spans="1:5" ht="12.75" customHeight="1">
      <c r="A575" s="3" t="s">
        <v>1650</v>
      </c>
      <c r="B575" s="11"/>
      <c r="C575" s="11"/>
      <c r="D575" s="11"/>
      <c r="E575" s="11"/>
    </row>
    <row r="576" spans="1:5" ht="25.5" customHeight="1">
      <c r="A576" s="4" t="s">
        <v>1651</v>
      </c>
      <c r="B576" s="12"/>
      <c r="C576" s="12"/>
      <c r="D576" s="12"/>
      <c r="E576" s="12"/>
    </row>
    <row r="577" spans="1:5" ht="12.75" customHeight="1">
      <c r="A577" s="3" t="s">
        <v>1652</v>
      </c>
      <c r="B577" s="11"/>
      <c r="C577" s="11"/>
      <c r="D577" s="11"/>
      <c r="E577" s="11"/>
    </row>
    <row r="578" spans="1:5" ht="12.75" customHeight="1">
      <c r="A578" s="4" t="s">
        <v>1653</v>
      </c>
      <c r="B578" s="12"/>
      <c r="C578" s="12"/>
      <c r="D578" s="12"/>
      <c r="E578" s="12"/>
    </row>
    <row r="579" spans="1:5" ht="25.5" customHeight="1">
      <c r="A579" s="3" t="s">
        <v>1654</v>
      </c>
      <c r="B579" s="11"/>
      <c r="C579" s="11"/>
      <c r="D579" s="11"/>
      <c r="E579" s="11"/>
    </row>
    <row r="580" spans="1:5" ht="25.5" customHeight="1">
      <c r="A580" s="4" t="s">
        <v>1655</v>
      </c>
      <c r="B580" s="12"/>
      <c r="C580" s="12"/>
      <c r="D580" s="12"/>
      <c r="E580" s="12"/>
    </row>
    <row r="581" spans="1:5" ht="12.75" customHeight="1">
      <c r="A581" s="3" t="s">
        <v>1656</v>
      </c>
      <c r="B581" s="11"/>
      <c r="C581" s="11"/>
      <c r="D581" s="11"/>
      <c r="E581" s="11"/>
    </row>
    <row r="582" spans="1:5" ht="12.75" customHeight="1">
      <c r="A582" s="4" t="s">
        <v>1657</v>
      </c>
      <c r="B582" s="12">
        <f>+'DCA-Anexo I-C'!B583+'DCA-Anexo I-C'!B586+'DCA-Anexo I-C'!B587+'DCA-Anexo I-C'!B588+'DCA-Anexo I-C'!B589+'DCA-Anexo I-C'!B590+'DCA-Anexo I-C'!B594+'DCA-Anexo I-C'!B595+'DCA-Anexo I-C'!B596+'DCA-Anexo I-C'!B597+'DCA-Anexo I-C'!B600+'DCA-Anexo I-C'!B601+'DCA-Anexo I-C'!B602+'DCA-Anexo I-C'!B603+'DCA-Anexo I-C'!B604+'DCA-Anexo I-C'!B605+'DCA-Anexo I-C'!B606</f>
        <v>0</v>
      </c>
      <c r="C582" s="12">
        <f>+'DCA-Anexo I-C'!C583+'DCA-Anexo I-C'!C586+'DCA-Anexo I-C'!C587+'DCA-Anexo I-C'!C588+'DCA-Anexo I-C'!C589+'DCA-Anexo I-C'!C590+'DCA-Anexo I-C'!C594+'DCA-Anexo I-C'!C595+'DCA-Anexo I-C'!C596+'DCA-Anexo I-C'!C597+'DCA-Anexo I-C'!C600+'DCA-Anexo I-C'!C601+'DCA-Anexo I-C'!C602+'DCA-Anexo I-C'!C603+'DCA-Anexo I-C'!C604+'DCA-Anexo I-C'!C605+'DCA-Anexo I-C'!C606</f>
        <v>0</v>
      </c>
      <c r="D582" s="12">
        <f>+'DCA-Anexo I-C'!D583+'DCA-Anexo I-C'!D586+'DCA-Anexo I-C'!D587+'DCA-Anexo I-C'!D588+'DCA-Anexo I-C'!D589+'DCA-Anexo I-C'!D590+'DCA-Anexo I-C'!D594+'DCA-Anexo I-C'!D595+'DCA-Anexo I-C'!D596+'DCA-Anexo I-C'!D597+'DCA-Anexo I-C'!D600+'DCA-Anexo I-C'!D601+'DCA-Anexo I-C'!D602+'DCA-Anexo I-C'!D603+'DCA-Anexo I-C'!D604+'DCA-Anexo I-C'!D605+'DCA-Anexo I-C'!D606</f>
        <v>0</v>
      </c>
      <c r="E582" s="12">
        <f>+'DCA-Anexo I-C'!E583+'DCA-Anexo I-C'!E586+'DCA-Anexo I-C'!E587+'DCA-Anexo I-C'!E588+'DCA-Anexo I-C'!E589+'DCA-Anexo I-C'!E590+'DCA-Anexo I-C'!E594+'DCA-Anexo I-C'!E595+'DCA-Anexo I-C'!E596+'DCA-Anexo I-C'!E597+'DCA-Anexo I-C'!E600+'DCA-Anexo I-C'!E601+'DCA-Anexo I-C'!E602+'DCA-Anexo I-C'!E603+'DCA-Anexo I-C'!E604+'DCA-Anexo I-C'!E605+'DCA-Anexo I-C'!E606</f>
        <v>0</v>
      </c>
    </row>
    <row r="583" spans="1:5" ht="12.75" customHeight="1">
      <c r="A583" s="3" t="s">
        <v>1658</v>
      </c>
      <c r="B583" s="11">
        <f>+'DCA-Anexo I-C'!B584+'DCA-Anexo I-C'!B585</f>
        <v>0</v>
      </c>
      <c r="C583" s="11">
        <f>+'DCA-Anexo I-C'!C584+'DCA-Anexo I-C'!C585</f>
        <v>0</v>
      </c>
      <c r="D583" s="11">
        <f>+'DCA-Anexo I-C'!D584+'DCA-Anexo I-C'!D585</f>
        <v>0</v>
      </c>
      <c r="E583" s="11">
        <f>+'DCA-Anexo I-C'!E584+'DCA-Anexo I-C'!E585</f>
        <v>0</v>
      </c>
    </row>
    <row r="584" spans="1:5" ht="12.75" customHeight="1">
      <c r="A584" s="4" t="s">
        <v>1659</v>
      </c>
      <c r="B584" s="12"/>
      <c r="C584" s="12"/>
      <c r="D584" s="12"/>
      <c r="E584" s="12"/>
    </row>
    <row r="585" spans="1:5" ht="12.75" customHeight="1">
      <c r="A585" s="3" t="s">
        <v>1660</v>
      </c>
      <c r="B585" s="11"/>
      <c r="C585" s="11"/>
      <c r="D585" s="11"/>
      <c r="E585" s="11"/>
    </row>
    <row r="586" spans="1:5" ht="12.75" customHeight="1">
      <c r="A586" s="4" t="s">
        <v>1661</v>
      </c>
      <c r="B586" s="12"/>
      <c r="C586" s="12"/>
      <c r="D586" s="12"/>
      <c r="E586" s="12"/>
    </row>
    <row r="587" spans="1:5" ht="12.75" customHeight="1">
      <c r="A587" s="3" t="s">
        <v>1662</v>
      </c>
      <c r="B587" s="11"/>
      <c r="C587" s="11"/>
      <c r="D587" s="11"/>
      <c r="E587" s="11"/>
    </row>
    <row r="588" spans="1:5" ht="12.75" customHeight="1">
      <c r="A588" s="4" t="s">
        <v>1663</v>
      </c>
      <c r="B588" s="12"/>
      <c r="C588" s="12"/>
      <c r="D588" s="12"/>
      <c r="E588" s="12"/>
    </row>
    <row r="589" spans="1:5" ht="25.5" customHeight="1">
      <c r="A589" s="3" t="s">
        <v>1664</v>
      </c>
      <c r="B589" s="11"/>
      <c r="C589" s="11"/>
      <c r="D589" s="11"/>
      <c r="E589" s="11"/>
    </row>
    <row r="590" spans="1:5" ht="12.75" customHeight="1">
      <c r="A590" s="4" t="s">
        <v>1665</v>
      </c>
      <c r="B590" s="12">
        <f>+'DCA-Anexo I-C'!B592+'DCA-Anexo I-C'!B593+'DCA-Anexo I-C'!B591</f>
        <v>0</v>
      </c>
      <c r="C590" s="12">
        <f>+'DCA-Anexo I-C'!C592+'DCA-Anexo I-C'!C593+'DCA-Anexo I-C'!C591</f>
        <v>0</v>
      </c>
      <c r="D590" s="12">
        <f>+'DCA-Anexo I-C'!D592+'DCA-Anexo I-C'!D593+'DCA-Anexo I-C'!D591</f>
        <v>0</v>
      </c>
      <c r="E590" s="12">
        <f>+'DCA-Anexo I-C'!E592+'DCA-Anexo I-C'!E593+'DCA-Anexo I-C'!E591</f>
        <v>0</v>
      </c>
    </row>
    <row r="591" spans="1:5" ht="12.75" customHeight="1">
      <c r="A591" s="3" t="s">
        <v>1666</v>
      </c>
      <c r="B591" s="11"/>
      <c r="C591" s="11"/>
      <c r="D591" s="11"/>
      <c r="E591" s="11"/>
    </row>
    <row r="592" spans="1:5" ht="25.5" customHeight="1">
      <c r="A592" s="4" t="s">
        <v>1667</v>
      </c>
      <c r="B592" s="12"/>
      <c r="C592" s="12"/>
      <c r="D592" s="12"/>
      <c r="E592" s="12"/>
    </row>
    <row r="593" spans="1:5" ht="25.5" customHeight="1">
      <c r="A593" s="3" t="s">
        <v>1668</v>
      </c>
      <c r="B593" s="11"/>
      <c r="C593" s="11"/>
      <c r="D593" s="11"/>
      <c r="E593" s="11"/>
    </row>
    <row r="594" spans="1:5" ht="25.5" customHeight="1">
      <c r="A594" s="4" t="s">
        <v>1669</v>
      </c>
      <c r="B594" s="12"/>
      <c r="C594" s="12"/>
      <c r="D594" s="12"/>
      <c r="E594" s="12"/>
    </row>
    <row r="595" spans="1:5" ht="12.75" customHeight="1">
      <c r="A595" s="3" t="s">
        <v>1670</v>
      </c>
      <c r="B595" s="11"/>
      <c r="C595" s="11"/>
      <c r="D595" s="11"/>
      <c r="E595" s="11"/>
    </row>
    <row r="596" spans="1:5" ht="25.5" customHeight="1">
      <c r="A596" s="4" t="s">
        <v>1671</v>
      </c>
      <c r="B596" s="12"/>
      <c r="C596" s="12"/>
      <c r="D596" s="12"/>
      <c r="E596" s="12"/>
    </row>
    <row r="597" spans="1:5" ht="25.5" customHeight="1">
      <c r="A597" s="3" t="s">
        <v>1672</v>
      </c>
      <c r="B597" s="11">
        <f>+'DCA-Anexo I-C'!B598+'DCA-Anexo I-C'!B599</f>
        <v>0</v>
      </c>
      <c r="C597" s="11">
        <f>+'DCA-Anexo I-C'!C598+'DCA-Anexo I-C'!C599</f>
        <v>0</v>
      </c>
      <c r="D597" s="11">
        <f>+'DCA-Anexo I-C'!D598+'DCA-Anexo I-C'!D599</f>
        <v>0</v>
      </c>
      <c r="E597" s="11">
        <f>+'DCA-Anexo I-C'!E598+'DCA-Anexo I-C'!E599</f>
        <v>0</v>
      </c>
    </row>
    <row r="598" spans="1:5" ht="25.5" customHeight="1">
      <c r="A598" s="4" t="s">
        <v>1673</v>
      </c>
      <c r="B598" s="12"/>
      <c r="C598" s="12"/>
      <c r="D598" s="12"/>
      <c r="E598" s="12"/>
    </row>
    <row r="599" spans="1:5" ht="25.5" customHeight="1">
      <c r="A599" s="3" t="s">
        <v>1674</v>
      </c>
      <c r="B599" s="11"/>
      <c r="C599" s="11"/>
      <c r="D599" s="11"/>
      <c r="E599" s="11"/>
    </row>
    <row r="600" spans="1:5" ht="25.5" customHeight="1">
      <c r="A600" s="4" t="s">
        <v>1675</v>
      </c>
      <c r="B600" s="12"/>
      <c r="C600" s="12"/>
      <c r="D600" s="12"/>
      <c r="E600" s="12"/>
    </row>
    <row r="601" spans="1:5" ht="25.5" customHeight="1">
      <c r="A601" s="3" t="s">
        <v>1676</v>
      </c>
      <c r="B601" s="11"/>
      <c r="C601" s="11"/>
      <c r="D601" s="11"/>
      <c r="E601" s="11"/>
    </row>
    <row r="602" spans="1:5" ht="25.5" customHeight="1">
      <c r="A602" s="4" t="s">
        <v>1677</v>
      </c>
      <c r="B602" s="12"/>
      <c r="C602" s="12"/>
      <c r="D602" s="12"/>
      <c r="E602" s="12"/>
    </row>
    <row r="603" spans="1:5" ht="12.75" customHeight="1">
      <c r="A603" s="3" t="s">
        <v>1678</v>
      </c>
      <c r="B603" s="11"/>
      <c r="C603" s="11"/>
      <c r="D603" s="11"/>
      <c r="E603" s="11"/>
    </row>
    <row r="604" spans="1:5" ht="12.75" customHeight="1">
      <c r="A604" s="4" t="s">
        <v>1679</v>
      </c>
      <c r="B604" s="12"/>
      <c r="C604" s="12"/>
      <c r="D604" s="12"/>
      <c r="E604" s="12"/>
    </row>
    <row r="605" spans="1:5" ht="12.75" customHeight="1">
      <c r="A605" s="3" t="s">
        <v>1680</v>
      </c>
      <c r="B605" s="11"/>
      <c r="C605" s="11"/>
      <c r="D605" s="11"/>
      <c r="E605" s="11"/>
    </row>
    <row r="606" spans="1:5" ht="12.75" customHeight="1">
      <c r="A606" s="4" t="s">
        <v>1681</v>
      </c>
      <c r="B606" s="12"/>
      <c r="C606" s="12"/>
      <c r="D606" s="12"/>
      <c r="E606" s="12"/>
    </row>
    <row r="607" spans="1:5" ht="12.75" customHeight="1">
      <c r="A607" s="3" t="s">
        <v>1682</v>
      </c>
      <c r="B607" s="11">
        <f>+'DCA-Anexo I-C'!B608+'DCA-Anexo I-C'!B609+'DCA-Anexo I-C'!B610+'DCA-Anexo I-C'!B611+'DCA-Anexo I-C'!B613+'DCA-Anexo I-C'!B612</f>
        <v>0</v>
      </c>
      <c r="C607" s="11">
        <f>+'DCA-Anexo I-C'!C608+'DCA-Anexo I-C'!C609+'DCA-Anexo I-C'!C610+'DCA-Anexo I-C'!C611+'DCA-Anexo I-C'!C613+'DCA-Anexo I-C'!C612</f>
        <v>0</v>
      </c>
      <c r="D607" s="11">
        <f>+'DCA-Anexo I-C'!D608+'DCA-Anexo I-C'!D609+'DCA-Anexo I-C'!D610+'DCA-Anexo I-C'!D611+'DCA-Anexo I-C'!D613+'DCA-Anexo I-C'!D612</f>
        <v>0</v>
      </c>
      <c r="E607" s="11">
        <f>+'DCA-Anexo I-C'!E608+'DCA-Anexo I-C'!E609+'DCA-Anexo I-C'!E610+'DCA-Anexo I-C'!E611+'DCA-Anexo I-C'!E613+'DCA-Anexo I-C'!E612</f>
        <v>0</v>
      </c>
    </row>
    <row r="608" spans="1:5" ht="25.5" customHeight="1">
      <c r="A608" s="4" t="s">
        <v>1683</v>
      </c>
      <c r="B608" s="12"/>
      <c r="C608" s="12"/>
      <c r="D608" s="12"/>
      <c r="E608" s="12"/>
    </row>
    <row r="609" spans="1:5" ht="12.75" customHeight="1">
      <c r="A609" s="3" t="s">
        <v>1684</v>
      </c>
      <c r="B609" s="11"/>
      <c r="C609" s="11"/>
      <c r="D609" s="11"/>
      <c r="E609" s="11"/>
    </row>
    <row r="610" spans="1:5" ht="12.75" customHeight="1">
      <c r="A610" s="4" t="s">
        <v>1685</v>
      </c>
      <c r="B610" s="12"/>
      <c r="C610" s="12"/>
      <c r="D610" s="12"/>
      <c r="E610" s="12"/>
    </row>
    <row r="611" spans="1:5" ht="25.5" customHeight="1">
      <c r="A611" s="3" t="s">
        <v>1686</v>
      </c>
      <c r="B611" s="11"/>
      <c r="C611" s="11"/>
      <c r="D611" s="11"/>
      <c r="E611" s="11"/>
    </row>
    <row r="612" spans="1:5" ht="25.5" customHeight="1">
      <c r="A612" s="4" t="s">
        <v>1687</v>
      </c>
      <c r="B612" s="12"/>
      <c r="C612" s="12"/>
      <c r="D612" s="12"/>
      <c r="E612" s="12"/>
    </row>
    <row r="613" spans="1:5" ht="12.75" customHeight="1">
      <c r="A613" s="3" t="s">
        <v>1688</v>
      </c>
      <c r="B613" s="11"/>
      <c r="C613" s="11"/>
      <c r="D613" s="11"/>
      <c r="E613" s="11"/>
    </row>
    <row r="614" spans="1:5" ht="25.5" customHeight="1">
      <c r="A614" s="4" t="s">
        <v>1689</v>
      </c>
      <c r="B614" s="12">
        <f>+'DCA-Anexo I-C'!B615</f>
        <v>0</v>
      </c>
      <c r="C614" s="12">
        <f>+'DCA-Anexo I-C'!C615</f>
        <v>0</v>
      </c>
      <c r="D614" s="12">
        <f>+'DCA-Anexo I-C'!D615</f>
        <v>0</v>
      </c>
      <c r="E614" s="12">
        <f>+'DCA-Anexo I-C'!E615</f>
        <v>0</v>
      </c>
    </row>
    <row r="615" spans="1:5" ht="25.5" customHeight="1">
      <c r="A615" s="3" t="s">
        <v>1690</v>
      </c>
      <c r="B615" s="11">
        <f>+'DCA-Anexo I-C'!B616+'DCA-Anexo I-C'!B617+'DCA-Anexo I-C'!B620+'DCA-Anexo I-C'!B621+'DCA-Anexo I-C'!B622+'DCA-Anexo I-C'!B623+'DCA-Anexo I-C'!B624+'DCA-Anexo I-C'!B625+'DCA-Anexo I-C'!B628+'DCA-Anexo I-C'!B626+'DCA-Anexo I-C'!B627</f>
        <v>0</v>
      </c>
      <c r="C615" s="11">
        <f>+'DCA-Anexo I-C'!C616+'DCA-Anexo I-C'!C617+'DCA-Anexo I-C'!C620+'DCA-Anexo I-C'!C621+'DCA-Anexo I-C'!C622+'DCA-Anexo I-C'!C623+'DCA-Anexo I-C'!C624+'DCA-Anexo I-C'!C625+'DCA-Anexo I-C'!C628+'DCA-Anexo I-C'!C626+'DCA-Anexo I-C'!C627</f>
        <v>0</v>
      </c>
      <c r="D615" s="11">
        <f>+'DCA-Anexo I-C'!D616+'DCA-Anexo I-C'!D617+'DCA-Anexo I-C'!D620+'DCA-Anexo I-C'!D621+'DCA-Anexo I-C'!D622+'DCA-Anexo I-C'!D623+'DCA-Anexo I-C'!D624+'DCA-Anexo I-C'!D625+'DCA-Anexo I-C'!D628+'DCA-Anexo I-C'!D626+'DCA-Anexo I-C'!D627</f>
        <v>0</v>
      </c>
      <c r="E615" s="11">
        <f>+'DCA-Anexo I-C'!E616+'DCA-Anexo I-C'!E617+'DCA-Anexo I-C'!E620+'DCA-Anexo I-C'!E621+'DCA-Anexo I-C'!E622+'DCA-Anexo I-C'!E623+'DCA-Anexo I-C'!E624+'DCA-Anexo I-C'!E625+'DCA-Anexo I-C'!E628+'DCA-Anexo I-C'!E626+'DCA-Anexo I-C'!E627</f>
        <v>0</v>
      </c>
    </row>
    <row r="616" spans="1:5" ht="25.5" customHeight="1">
      <c r="A616" s="4" t="s">
        <v>1691</v>
      </c>
      <c r="B616" s="12"/>
      <c r="C616" s="12"/>
      <c r="D616" s="12"/>
      <c r="E616" s="12"/>
    </row>
    <row r="617" spans="1:5" ht="25.5" customHeight="1">
      <c r="A617" s="3" t="s">
        <v>1692</v>
      </c>
      <c r="B617" s="11">
        <f>+'DCA-Anexo I-C'!B618+'DCA-Anexo I-C'!B619</f>
        <v>0</v>
      </c>
      <c r="C617" s="11">
        <f>+'DCA-Anexo I-C'!C618+'DCA-Anexo I-C'!C619</f>
        <v>0</v>
      </c>
      <c r="D617" s="11">
        <f>+'DCA-Anexo I-C'!D618+'DCA-Anexo I-C'!D619</f>
        <v>0</v>
      </c>
      <c r="E617" s="11">
        <f>+'DCA-Anexo I-C'!E618+'DCA-Anexo I-C'!E619</f>
        <v>0</v>
      </c>
    </row>
    <row r="618" spans="1:5" ht="25.5" customHeight="1">
      <c r="A618" s="4" t="s">
        <v>1693</v>
      </c>
      <c r="B618" s="12"/>
      <c r="C618" s="12"/>
      <c r="D618" s="12"/>
      <c r="E618" s="12"/>
    </row>
    <row r="619" spans="1:5" ht="25.5" customHeight="1">
      <c r="A619" s="3" t="s">
        <v>1694</v>
      </c>
      <c r="B619" s="11"/>
      <c r="C619" s="11"/>
      <c r="D619" s="11"/>
      <c r="E619" s="11"/>
    </row>
    <row r="620" spans="1:5" ht="25.5" customHeight="1">
      <c r="A620" s="4" t="s">
        <v>1695</v>
      </c>
      <c r="B620" s="12"/>
      <c r="C620" s="12"/>
      <c r="D620" s="12"/>
      <c r="E620" s="12"/>
    </row>
    <row r="621" spans="1:5" ht="12.75" customHeight="1">
      <c r="A621" s="3" t="s">
        <v>1696</v>
      </c>
      <c r="B621" s="11"/>
      <c r="C621" s="11"/>
      <c r="D621" s="11"/>
      <c r="E621" s="11"/>
    </row>
    <row r="622" spans="1:5" ht="25.5" customHeight="1">
      <c r="A622" s="4" t="s">
        <v>1697</v>
      </c>
      <c r="B622" s="12"/>
      <c r="C622" s="12"/>
      <c r="D622" s="12"/>
      <c r="E622" s="12"/>
    </row>
    <row r="623" spans="1:5" ht="25.5" customHeight="1">
      <c r="A623" s="3" t="s">
        <v>1698</v>
      </c>
      <c r="B623" s="11"/>
      <c r="C623" s="11"/>
      <c r="D623" s="11"/>
      <c r="E623" s="11"/>
    </row>
    <row r="624" spans="1:5" ht="25.5" customHeight="1">
      <c r="A624" s="4" t="s">
        <v>1699</v>
      </c>
      <c r="B624" s="12"/>
      <c r="C624" s="12"/>
      <c r="D624" s="12"/>
      <c r="E624" s="12"/>
    </row>
    <row r="625" spans="1:5" ht="38.25" customHeight="1">
      <c r="A625" s="3" t="s">
        <v>1700</v>
      </c>
      <c r="B625" s="11"/>
      <c r="C625" s="11"/>
      <c r="D625" s="11"/>
      <c r="E625" s="11"/>
    </row>
    <row r="626" spans="1:5" ht="25.5" customHeight="1">
      <c r="A626" s="4" t="s">
        <v>1701</v>
      </c>
      <c r="B626" s="12"/>
      <c r="C626" s="12"/>
      <c r="D626" s="12"/>
      <c r="E626" s="12"/>
    </row>
    <row r="627" spans="1:5" ht="25.5" customHeight="1">
      <c r="A627" s="3" t="s">
        <v>1702</v>
      </c>
      <c r="B627" s="11"/>
      <c r="C627" s="11"/>
      <c r="D627" s="11"/>
      <c r="E627" s="11"/>
    </row>
    <row r="628" spans="1:5" ht="38.25" customHeight="1">
      <c r="A628" s="4" t="s">
        <v>1703</v>
      </c>
      <c r="B628" s="12"/>
      <c r="C628" s="12"/>
      <c r="D628" s="12"/>
      <c r="E628" s="12"/>
    </row>
    <row r="629" spans="1:5" ht="12.75" customHeight="1">
      <c r="A629" s="3" t="s">
        <v>1704</v>
      </c>
      <c r="B629" s="11">
        <f>+'DCA-Anexo I-C'!B630+'DCA-Anexo I-C'!B639+'DCA-Anexo I-C'!B644+'DCA-Anexo I-C'!B646+'DCA-Anexo I-C'!B657</f>
        <v>0</v>
      </c>
      <c r="C629" s="11">
        <f>+'DCA-Anexo I-C'!C630+'DCA-Anexo I-C'!C639+'DCA-Anexo I-C'!C644+'DCA-Anexo I-C'!C646+'DCA-Anexo I-C'!C657</f>
        <v>0</v>
      </c>
      <c r="D629" s="11">
        <f>+'DCA-Anexo I-C'!D630+'DCA-Anexo I-C'!D639+'DCA-Anexo I-C'!D644+'DCA-Anexo I-C'!D646+'DCA-Anexo I-C'!D657</f>
        <v>0</v>
      </c>
      <c r="E629" s="11">
        <f>+'DCA-Anexo I-C'!E630+'DCA-Anexo I-C'!E639+'DCA-Anexo I-C'!E644+'DCA-Anexo I-C'!E646+'DCA-Anexo I-C'!E657</f>
        <v>0</v>
      </c>
    </row>
    <row r="630" spans="1:5" ht="12.75" customHeight="1">
      <c r="A630" s="4" t="s">
        <v>1705</v>
      </c>
      <c r="B630" s="12">
        <f>+'DCA-Anexo I-C'!B631+'DCA-Anexo I-C'!B632+'DCA-Anexo I-C'!B637+'DCA-Anexo I-C'!B638</f>
        <v>0</v>
      </c>
      <c r="C630" s="12">
        <f>+'DCA-Anexo I-C'!C631+'DCA-Anexo I-C'!C632+'DCA-Anexo I-C'!C637+'DCA-Anexo I-C'!C638</f>
        <v>0</v>
      </c>
      <c r="D630" s="12">
        <f>+'DCA-Anexo I-C'!D631+'DCA-Anexo I-C'!D632+'DCA-Anexo I-C'!D637+'DCA-Anexo I-C'!D638</f>
        <v>0</v>
      </c>
      <c r="E630" s="12">
        <f>+'DCA-Anexo I-C'!E631+'DCA-Anexo I-C'!E632+'DCA-Anexo I-C'!E637+'DCA-Anexo I-C'!E638</f>
        <v>0</v>
      </c>
    </row>
    <row r="631" spans="1:5" ht="12.75" customHeight="1">
      <c r="A631" s="3" t="s">
        <v>1706</v>
      </c>
      <c r="B631" s="11"/>
      <c r="C631" s="11"/>
      <c r="D631" s="11"/>
      <c r="E631" s="11"/>
    </row>
    <row r="632" spans="1:5" ht="12.75" customHeight="1">
      <c r="A632" s="4" t="s">
        <v>1707</v>
      </c>
      <c r="B632" s="12">
        <f>+'DCA-Anexo I-C'!B633+'DCA-Anexo I-C'!B634+'DCA-Anexo I-C'!B635+'DCA-Anexo I-C'!B636</f>
        <v>0</v>
      </c>
      <c r="C632" s="12">
        <f>+'DCA-Anexo I-C'!C633+'DCA-Anexo I-C'!C634+'DCA-Anexo I-C'!C635+'DCA-Anexo I-C'!C636</f>
        <v>0</v>
      </c>
      <c r="D632" s="12">
        <f>+'DCA-Anexo I-C'!D633+'DCA-Anexo I-C'!D634+'DCA-Anexo I-C'!D635+'DCA-Anexo I-C'!D636</f>
        <v>0</v>
      </c>
      <c r="E632" s="12">
        <f>+'DCA-Anexo I-C'!E633+'DCA-Anexo I-C'!E634+'DCA-Anexo I-C'!E635+'DCA-Anexo I-C'!E636</f>
        <v>0</v>
      </c>
    </row>
    <row r="633" spans="1:5" ht="25.5" customHeight="1">
      <c r="A633" s="3" t="s">
        <v>1708</v>
      </c>
      <c r="B633" s="11"/>
      <c r="C633" s="11"/>
      <c r="D633" s="11"/>
      <c r="E633" s="11"/>
    </row>
    <row r="634" spans="1:5" ht="25.5" customHeight="1">
      <c r="A634" s="4" t="s">
        <v>1709</v>
      </c>
      <c r="B634" s="12"/>
      <c r="C634" s="12"/>
      <c r="D634" s="12"/>
      <c r="E634" s="12"/>
    </row>
    <row r="635" spans="1:5" ht="25.5" customHeight="1">
      <c r="A635" s="3" t="s">
        <v>1710</v>
      </c>
      <c r="B635" s="11"/>
      <c r="C635" s="11"/>
      <c r="D635" s="11"/>
      <c r="E635" s="11"/>
    </row>
    <row r="636" spans="1:5" ht="25.5" customHeight="1">
      <c r="A636" s="4" t="s">
        <v>1711</v>
      </c>
      <c r="B636" s="12"/>
      <c r="C636" s="12"/>
      <c r="D636" s="12"/>
      <c r="E636" s="12"/>
    </row>
    <row r="637" spans="1:5" ht="25.5" customHeight="1">
      <c r="A637" s="3" t="s">
        <v>1712</v>
      </c>
      <c r="B637" s="11"/>
      <c r="C637" s="11"/>
      <c r="D637" s="11"/>
      <c r="E637" s="11"/>
    </row>
    <row r="638" spans="1:5" ht="25.5" customHeight="1">
      <c r="A638" s="4" t="s">
        <v>1713</v>
      </c>
      <c r="B638" s="12"/>
      <c r="C638" s="12"/>
      <c r="D638" s="12"/>
      <c r="E638" s="12"/>
    </row>
    <row r="639" spans="1:5" ht="12.75" customHeight="1">
      <c r="A639" s="3" t="s">
        <v>1714</v>
      </c>
      <c r="B639" s="11">
        <f>+'DCA-Anexo I-C'!B640+'DCA-Anexo I-C'!B641+'DCA-Anexo I-C'!B642+'DCA-Anexo I-C'!B643</f>
        <v>0</v>
      </c>
      <c r="C639" s="11">
        <f>+'DCA-Anexo I-C'!C640+'DCA-Anexo I-C'!C641+'DCA-Anexo I-C'!C642+'DCA-Anexo I-C'!C643</f>
        <v>0</v>
      </c>
      <c r="D639" s="11">
        <f>+'DCA-Anexo I-C'!D640+'DCA-Anexo I-C'!D641+'DCA-Anexo I-C'!D642+'DCA-Anexo I-C'!D643</f>
        <v>0</v>
      </c>
      <c r="E639" s="11">
        <f>+'DCA-Anexo I-C'!E640+'DCA-Anexo I-C'!E641+'DCA-Anexo I-C'!E642+'DCA-Anexo I-C'!E643</f>
        <v>0</v>
      </c>
    </row>
    <row r="640" spans="1:5" ht="25.5" customHeight="1">
      <c r="A640" s="4" t="s">
        <v>1715</v>
      </c>
      <c r="B640" s="12"/>
      <c r="C640" s="12"/>
      <c r="D640" s="12"/>
      <c r="E640" s="12"/>
    </row>
    <row r="641" spans="1:5" ht="25.5" customHeight="1">
      <c r="A641" s="3" t="s">
        <v>1716</v>
      </c>
      <c r="B641" s="11"/>
      <c r="C641" s="11"/>
      <c r="D641" s="11"/>
      <c r="E641" s="11"/>
    </row>
    <row r="642" spans="1:5" ht="25.5" customHeight="1">
      <c r="A642" s="4" t="s">
        <v>1717</v>
      </c>
      <c r="B642" s="12"/>
      <c r="C642" s="12"/>
      <c r="D642" s="12"/>
      <c r="E642" s="12"/>
    </row>
    <row r="643" spans="1:5" ht="25.5" customHeight="1">
      <c r="A643" s="3" t="s">
        <v>1718</v>
      </c>
      <c r="B643" s="11"/>
      <c r="C643" s="11"/>
      <c r="D643" s="11"/>
      <c r="E643" s="11"/>
    </row>
    <row r="644" spans="1:5" ht="25.5" customHeight="1">
      <c r="A644" s="4" t="s">
        <v>1719</v>
      </c>
      <c r="B644" s="12">
        <f>+'DCA-Anexo I-C'!B645</f>
        <v>0</v>
      </c>
      <c r="C644" s="12">
        <f>+'DCA-Anexo I-C'!C645</f>
        <v>0</v>
      </c>
      <c r="D644" s="12">
        <f>+'DCA-Anexo I-C'!D645</f>
        <v>0</v>
      </c>
      <c r="E644" s="12">
        <f>+'DCA-Anexo I-C'!E645</f>
        <v>0</v>
      </c>
    </row>
    <row r="645" spans="1:5" ht="12.75" customHeight="1">
      <c r="A645" s="3" t="s">
        <v>1720</v>
      </c>
      <c r="B645" s="11"/>
      <c r="C645" s="11"/>
      <c r="D645" s="11"/>
      <c r="E645" s="11"/>
    </row>
    <row r="646" spans="1:5" ht="12.75" customHeight="1">
      <c r="A646" s="4" t="s">
        <v>1721</v>
      </c>
      <c r="B646" s="12">
        <f>+'DCA-Anexo I-C'!B647+'DCA-Anexo I-C'!B648+'DCA-Anexo I-C'!B649+'DCA-Anexo I-C'!B650+'DCA-Anexo I-C'!B651+'DCA-Anexo I-C'!B652+'DCA-Anexo I-C'!B653</f>
        <v>0</v>
      </c>
      <c r="C646" s="12">
        <f>+'DCA-Anexo I-C'!C647+'DCA-Anexo I-C'!C648+'DCA-Anexo I-C'!C649+'DCA-Anexo I-C'!C650+'DCA-Anexo I-C'!C651+'DCA-Anexo I-C'!C652+'DCA-Anexo I-C'!C653</f>
        <v>0</v>
      </c>
      <c r="D646" s="12">
        <f>+'DCA-Anexo I-C'!D647+'DCA-Anexo I-C'!D648+'DCA-Anexo I-C'!D649+'DCA-Anexo I-C'!D650+'DCA-Anexo I-C'!D651+'DCA-Anexo I-C'!D652+'DCA-Anexo I-C'!D653</f>
        <v>0</v>
      </c>
      <c r="E646" s="12">
        <f>+'DCA-Anexo I-C'!E647+'DCA-Anexo I-C'!E648+'DCA-Anexo I-C'!E649+'DCA-Anexo I-C'!E650+'DCA-Anexo I-C'!E651+'DCA-Anexo I-C'!E652+'DCA-Anexo I-C'!E653</f>
        <v>0</v>
      </c>
    </row>
    <row r="647" spans="1:5" ht="25.5" customHeight="1">
      <c r="A647" s="3" t="s">
        <v>1722</v>
      </c>
      <c r="B647" s="11"/>
      <c r="C647" s="11"/>
      <c r="D647" s="11"/>
      <c r="E647" s="11"/>
    </row>
    <row r="648" spans="1:5" ht="25.5" customHeight="1">
      <c r="A648" s="4" t="s">
        <v>1723</v>
      </c>
      <c r="B648" s="12"/>
      <c r="C648" s="12"/>
      <c r="D648" s="12"/>
      <c r="E648" s="12"/>
    </row>
    <row r="649" spans="1:5" ht="25.5" customHeight="1">
      <c r="A649" s="3" t="s">
        <v>1724</v>
      </c>
      <c r="B649" s="11"/>
      <c r="C649" s="11"/>
      <c r="D649" s="11"/>
      <c r="E649" s="11"/>
    </row>
    <row r="650" spans="1:5" ht="25.5" customHeight="1">
      <c r="A650" s="4" t="s">
        <v>1725</v>
      </c>
      <c r="B650" s="12"/>
      <c r="C650" s="12"/>
      <c r="D650" s="12"/>
      <c r="E650" s="12"/>
    </row>
    <row r="651" spans="1:5" ht="25.5" customHeight="1">
      <c r="A651" s="3" t="s">
        <v>1726</v>
      </c>
      <c r="B651" s="11"/>
      <c r="C651" s="11"/>
      <c r="D651" s="11"/>
      <c r="E651" s="11"/>
    </row>
    <row r="652" spans="1:5" ht="25.5" customHeight="1">
      <c r="A652" s="4" t="s">
        <v>1727</v>
      </c>
      <c r="B652" s="12"/>
      <c r="C652" s="12"/>
      <c r="D652" s="12"/>
      <c r="E652" s="12"/>
    </row>
    <row r="653" spans="1:5" ht="25.5" customHeight="1">
      <c r="A653" s="3" t="s">
        <v>1728</v>
      </c>
      <c r="B653" s="11">
        <f>+'DCA-Anexo I-C'!B654+'DCA-Anexo I-C'!B655+'DCA-Anexo I-C'!B656</f>
        <v>0</v>
      </c>
      <c r="C653" s="11">
        <f>+'DCA-Anexo I-C'!C654+'DCA-Anexo I-C'!C655+'DCA-Anexo I-C'!C656</f>
        <v>0</v>
      </c>
      <c r="D653" s="11">
        <f>+'DCA-Anexo I-C'!D654+'DCA-Anexo I-C'!D655+'DCA-Anexo I-C'!D656</f>
        <v>0</v>
      </c>
      <c r="E653" s="11">
        <f>+'DCA-Anexo I-C'!E654+'DCA-Anexo I-C'!E655+'DCA-Anexo I-C'!E656</f>
        <v>0</v>
      </c>
    </row>
    <row r="654" spans="1:5" ht="25.5" customHeight="1">
      <c r="A654" s="4" t="s">
        <v>1729</v>
      </c>
      <c r="B654" s="12"/>
      <c r="C654" s="12"/>
      <c r="D654" s="12"/>
      <c r="E654" s="12"/>
    </row>
    <row r="655" spans="1:5" ht="38.25" customHeight="1">
      <c r="A655" s="3" t="s">
        <v>1730</v>
      </c>
      <c r="B655" s="11"/>
      <c r="C655" s="11"/>
      <c r="D655" s="11"/>
      <c r="E655" s="11"/>
    </row>
    <row r="656" spans="1:5" ht="25.5" customHeight="1">
      <c r="A656" s="4" t="s">
        <v>1731</v>
      </c>
      <c r="B656" s="12"/>
      <c r="C656" s="12"/>
      <c r="D656" s="12"/>
      <c r="E656" s="12"/>
    </row>
    <row r="657" spans="1:5" ht="12.75" customHeight="1">
      <c r="A657" s="3" t="s">
        <v>1732</v>
      </c>
      <c r="B657" s="11">
        <f>+'DCA-Anexo I-C'!B658</f>
        <v>0</v>
      </c>
      <c r="C657" s="11">
        <f>+'DCA-Anexo I-C'!C658</f>
        <v>0</v>
      </c>
      <c r="D657" s="11">
        <f>+'DCA-Anexo I-C'!D658</f>
        <v>0</v>
      </c>
      <c r="E657" s="11">
        <f>+'DCA-Anexo I-C'!E658</f>
        <v>0</v>
      </c>
    </row>
    <row r="658" spans="1:5" ht="12.75" customHeight="1">
      <c r="A658" s="4" t="s">
        <v>1733</v>
      </c>
      <c r="B658" s="12"/>
      <c r="C658" s="12"/>
      <c r="D658" s="12"/>
      <c r="E658" s="12"/>
    </row>
    <row r="659" spans="1:5" ht="12.75" customHeight="1">
      <c r="A659" s="3" t="s">
        <v>1734</v>
      </c>
      <c r="B659" s="11">
        <f>+'DCA-Anexo I-C'!B660</f>
        <v>15.97</v>
      </c>
      <c r="C659" s="11">
        <f>+'DCA-Anexo I-C'!C660</f>
        <v>0</v>
      </c>
      <c r="D659" s="11">
        <f>+'DCA-Anexo I-C'!D660</f>
        <v>0</v>
      </c>
      <c r="E659" s="11">
        <f>+'DCA-Anexo I-C'!E660</f>
        <v>0</v>
      </c>
    </row>
    <row r="660" spans="1:5" ht="12.75" customHeight="1">
      <c r="A660" s="4" t="s">
        <v>1735</v>
      </c>
      <c r="B660" s="12">
        <f>+'DCA-Anexo I-C'!B661+'DCA-Anexo I-C'!B662+'DCA-Anexo I-C'!B663+'DCA-Anexo I-C'!B664+'DCA-Anexo I-C'!B665+'DCA-Anexo I-C'!B666+'DCA-Anexo I-C'!B667+'DCA-Anexo I-C'!B668+'DCA-Anexo I-C'!B671+'DCA-Anexo I-C'!B672+'DCA-Anexo I-C'!B673+'DCA-Anexo I-C'!B674+'DCA-Anexo I-C'!B677+'DCA-Anexo I-C'!B678+'DCA-Anexo I-C'!B679+'DCA-Anexo I-C'!B680+'DCA-Anexo I-C'!B686+'DCA-Anexo I-C'!B681+'DCA-Anexo I-C'!B682+'DCA-Anexo I-C'!B683+'DCA-Anexo I-C'!B684+'DCA-Anexo I-C'!B685</f>
        <v>15.97</v>
      </c>
      <c r="C660" s="12">
        <f>+'DCA-Anexo I-C'!C661+'DCA-Anexo I-C'!C662+'DCA-Anexo I-C'!C663+'DCA-Anexo I-C'!C664+'DCA-Anexo I-C'!C665+'DCA-Anexo I-C'!C666+'DCA-Anexo I-C'!C667+'DCA-Anexo I-C'!C668+'DCA-Anexo I-C'!C671+'DCA-Anexo I-C'!C672+'DCA-Anexo I-C'!C673+'DCA-Anexo I-C'!C674+'DCA-Anexo I-C'!C677+'DCA-Anexo I-C'!C678+'DCA-Anexo I-C'!C679+'DCA-Anexo I-C'!C680+'DCA-Anexo I-C'!C686+'DCA-Anexo I-C'!C681+'DCA-Anexo I-C'!C682+'DCA-Anexo I-C'!C683+'DCA-Anexo I-C'!C684+'DCA-Anexo I-C'!C685</f>
        <v>0</v>
      </c>
      <c r="D660" s="12">
        <f>+'DCA-Anexo I-C'!D661+'DCA-Anexo I-C'!D662+'DCA-Anexo I-C'!D663+'DCA-Anexo I-C'!D664+'DCA-Anexo I-C'!D665+'DCA-Anexo I-C'!D666+'DCA-Anexo I-C'!D667+'DCA-Anexo I-C'!D668+'DCA-Anexo I-C'!D671+'DCA-Anexo I-C'!D672+'DCA-Anexo I-C'!D673+'DCA-Anexo I-C'!D674+'DCA-Anexo I-C'!D677+'DCA-Anexo I-C'!D678+'DCA-Anexo I-C'!D679+'DCA-Anexo I-C'!D680+'DCA-Anexo I-C'!D686+'DCA-Anexo I-C'!D681+'DCA-Anexo I-C'!D682+'DCA-Anexo I-C'!D683+'DCA-Anexo I-C'!D684+'DCA-Anexo I-C'!D685</f>
        <v>0</v>
      </c>
      <c r="E660" s="12">
        <f>+'DCA-Anexo I-C'!E661+'DCA-Anexo I-C'!E662+'DCA-Anexo I-C'!E663+'DCA-Anexo I-C'!E664+'DCA-Anexo I-C'!E665+'DCA-Anexo I-C'!E666+'DCA-Anexo I-C'!E667+'DCA-Anexo I-C'!E668+'DCA-Anexo I-C'!E671+'DCA-Anexo I-C'!E672+'DCA-Anexo I-C'!E673+'DCA-Anexo I-C'!E674+'DCA-Anexo I-C'!E677+'DCA-Anexo I-C'!E678+'DCA-Anexo I-C'!E679+'DCA-Anexo I-C'!E680+'DCA-Anexo I-C'!E686+'DCA-Anexo I-C'!E681+'DCA-Anexo I-C'!E682+'DCA-Anexo I-C'!E683+'DCA-Anexo I-C'!E684+'DCA-Anexo I-C'!E685</f>
        <v>0</v>
      </c>
    </row>
    <row r="661" spans="1:5" ht="38.25" customHeight="1">
      <c r="A661" s="3" t="s">
        <v>1736</v>
      </c>
      <c r="B661" s="11"/>
      <c r="C661" s="11"/>
      <c r="D661" s="11"/>
      <c r="E661" s="11"/>
    </row>
    <row r="662" spans="1:5" ht="12.75" customHeight="1">
      <c r="A662" s="4" t="s">
        <v>1737</v>
      </c>
      <c r="B662" s="12"/>
      <c r="C662" s="12"/>
      <c r="D662" s="12"/>
      <c r="E662" s="12"/>
    </row>
    <row r="663" spans="1:5" ht="25.5" customHeight="1">
      <c r="A663" s="3" t="s">
        <v>1738</v>
      </c>
      <c r="B663" s="11"/>
      <c r="C663" s="11"/>
      <c r="D663" s="11"/>
      <c r="E663" s="11"/>
    </row>
    <row r="664" spans="1:5" ht="12.75" customHeight="1">
      <c r="A664" s="4" t="s">
        <v>1739</v>
      </c>
      <c r="B664" s="12"/>
      <c r="C664" s="12"/>
      <c r="D664" s="12"/>
      <c r="E664" s="12"/>
    </row>
    <row r="665" spans="1:5" ht="12.75" customHeight="1">
      <c r="A665" s="3" t="s">
        <v>1740</v>
      </c>
      <c r="B665" s="11"/>
      <c r="C665" s="11"/>
      <c r="D665" s="11"/>
      <c r="E665" s="11"/>
    </row>
    <row r="666" spans="1:5" ht="12.75" customHeight="1">
      <c r="A666" s="4" t="s">
        <v>1741</v>
      </c>
      <c r="B666" s="12"/>
      <c r="C666" s="12"/>
      <c r="D666" s="12"/>
      <c r="E666" s="12"/>
    </row>
    <row r="667" spans="1:5" ht="12.75" customHeight="1">
      <c r="A667" s="3" t="s">
        <v>1742</v>
      </c>
      <c r="B667" s="11"/>
      <c r="C667" s="11"/>
      <c r="D667" s="11"/>
      <c r="E667" s="11"/>
    </row>
    <row r="668" spans="1:5" ht="25.5" customHeight="1">
      <c r="A668" s="4" t="s">
        <v>1743</v>
      </c>
      <c r="B668" s="12">
        <f>+'DCA-Anexo I-C'!B669+'DCA-Anexo I-C'!B670</f>
        <v>0</v>
      </c>
      <c r="C668" s="12">
        <f>+'DCA-Anexo I-C'!C669+'DCA-Anexo I-C'!C670</f>
        <v>0</v>
      </c>
      <c r="D668" s="12">
        <f>+'DCA-Anexo I-C'!D669+'DCA-Anexo I-C'!D670</f>
        <v>0</v>
      </c>
      <c r="E668" s="12">
        <f>+'DCA-Anexo I-C'!E669+'DCA-Anexo I-C'!E670</f>
        <v>0</v>
      </c>
    </row>
    <row r="669" spans="1:5" ht="25.5" customHeight="1">
      <c r="A669" s="3" t="s">
        <v>1744</v>
      </c>
      <c r="B669" s="11"/>
      <c r="C669" s="11"/>
      <c r="D669" s="11"/>
      <c r="E669" s="11"/>
    </row>
    <row r="670" spans="1:5" ht="38.25" customHeight="1">
      <c r="A670" s="4" t="s">
        <v>1745</v>
      </c>
      <c r="B670" s="12"/>
      <c r="C670" s="12"/>
      <c r="D670" s="12"/>
      <c r="E670" s="12"/>
    </row>
    <row r="671" spans="1:5" ht="12.75" customHeight="1">
      <c r="A671" s="3" t="s">
        <v>1746</v>
      </c>
      <c r="B671" s="11"/>
      <c r="C671" s="11"/>
      <c r="D671" s="11"/>
      <c r="E671" s="11"/>
    </row>
    <row r="672" spans="1:5" ht="12.75" customHeight="1">
      <c r="A672" s="4" t="s">
        <v>1747</v>
      </c>
      <c r="B672" s="12"/>
      <c r="C672" s="12"/>
      <c r="D672" s="12"/>
      <c r="E672" s="12"/>
    </row>
    <row r="673" spans="1:5" ht="12.75" customHeight="1">
      <c r="A673" s="3" t="s">
        <v>1748</v>
      </c>
      <c r="B673" s="11"/>
      <c r="C673" s="11"/>
      <c r="D673" s="11"/>
      <c r="E673" s="11"/>
    </row>
    <row r="674" spans="1:5" ht="25.5" customHeight="1">
      <c r="A674" s="4" t="s">
        <v>1749</v>
      </c>
      <c r="B674" s="12">
        <f>+'DCA-Anexo I-C'!B675+'DCA-Anexo I-C'!B676</f>
        <v>0</v>
      </c>
      <c r="C674" s="12">
        <f>+'DCA-Anexo I-C'!C675+'DCA-Anexo I-C'!C676</f>
        <v>0</v>
      </c>
      <c r="D674" s="12">
        <f>+'DCA-Anexo I-C'!D675+'DCA-Anexo I-C'!D676</f>
        <v>0</v>
      </c>
      <c r="E674" s="12">
        <f>+'DCA-Anexo I-C'!E675+'DCA-Anexo I-C'!E676</f>
        <v>0</v>
      </c>
    </row>
    <row r="675" spans="1:5" ht="12.75" customHeight="1">
      <c r="A675" s="3" t="s">
        <v>1750</v>
      </c>
      <c r="B675" s="11"/>
      <c r="C675" s="11"/>
      <c r="D675" s="11"/>
      <c r="E675" s="11"/>
    </row>
    <row r="676" spans="1:5" ht="12.75" customHeight="1">
      <c r="A676" s="4" t="s">
        <v>1751</v>
      </c>
      <c r="B676" s="12"/>
      <c r="C676" s="12"/>
      <c r="D676" s="12"/>
      <c r="E676" s="12"/>
    </row>
    <row r="677" spans="1:5" ht="25.5" customHeight="1">
      <c r="A677" s="3" t="s">
        <v>1752</v>
      </c>
      <c r="B677" s="11"/>
      <c r="C677" s="11"/>
      <c r="D677" s="11"/>
      <c r="E677" s="11"/>
    </row>
    <row r="678" spans="1:5" ht="25.5" customHeight="1">
      <c r="A678" s="4" t="s">
        <v>1753</v>
      </c>
      <c r="B678" s="12"/>
      <c r="C678" s="12"/>
      <c r="D678" s="12"/>
      <c r="E678" s="12"/>
    </row>
    <row r="679" spans="1:5" ht="12.75" customHeight="1">
      <c r="A679" s="3" t="s">
        <v>1754</v>
      </c>
      <c r="B679" s="11"/>
      <c r="C679" s="11"/>
      <c r="D679" s="11"/>
      <c r="E679" s="11"/>
    </row>
    <row r="680" spans="1:5" ht="25.5" customHeight="1">
      <c r="A680" s="4" t="s">
        <v>1755</v>
      </c>
      <c r="B680" s="12"/>
      <c r="C680" s="12"/>
      <c r="D680" s="12"/>
      <c r="E680" s="12"/>
    </row>
    <row r="681" spans="1:5" ht="25.5" customHeight="1">
      <c r="A681" s="3" t="s">
        <v>1756</v>
      </c>
      <c r="B681" s="11"/>
      <c r="C681" s="11"/>
      <c r="D681" s="11"/>
      <c r="E681" s="11"/>
    </row>
    <row r="682" spans="1:5" ht="12.75" customHeight="1">
      <c r="A682" s="4" t="s">
        <v>1757</v>
      </c>
      <c r="B682" s="12"/>
      <c r="C682" s="12"/>
      <c r="D682" s="12"/>
      <c r="E682" s="12"/>
    </row>
    <row r="683" spans="1:5" ht="38.25" customHeight="1">
      <c r="A683" s="3" t="s">
        <v>1758</v>
      </c>
      <c r="B683" s="11"/>
      <c r="C683" s="11"/>
      <c r="D683" s="11"/>
      <c r="E683" s="11"/>
    </row>
    <row r="684" spans="1:5" ht="25.5" customHeight="1">
      <c r="A684" s="4" t="s">
        <v>1759</v>
      </c>
      <c r="B684" s="12"/>
      <c r="C684" s="12"/>
      <c r="D684" s="12"/>
      <c r="E684" s="12"/>
    </row>
    <row r="685" spans="1:5" ht="25.5" customHeight="1">
      <c r="A685" s="3" t="s">
        <v>1760</v>
      </c>
      <c r="B685" s="11"/>
      <c r="C685" s="11"/>
      <c r="D685" s="11"/>
      <c r="E685" s="11"/>
    </row>
    <row r="686" spans="1:5" ht="12.75" customHeight="1">
      <c r="A686" s="4" t="s">
        <v>1761</v>
      </c>
      <c r="B686" s="12">
        <f>+'DCA-Anexo I-C'!B687+'DCA-Anexo I-C'!B688+'DCA-Anexo I-C'!B689</f>
        <v>15.97</v>
      </c>
      <c r="C686" s="12">
        <f>+'DCA-Anexo I-C'!C687+'DCA-Anexo I-C'!C688+'DCA-Anexo I-C'!C689</f>
        <v>0</v>
      </c>
      <c r="D686" s="12">
        <f>+'DCA-Anexo I-C'!D687+'DCA-Anexo I-C'!D688+'DCA-Anexo I-C'!D689</f>
        <v>0</v>
      </c>
      <c r="E686" s="12">
        <f>+'DCA-Anexo I-C'!E687+'DCA-Anexo I-C'!E688+'DCA-Anexo I-C'!E689</f>
        <v>0</v>
      </c>
    </row>
    <row r="687" spans="1:5" ht="12.75" customHeight="1">
      <c r="A687" s="3" t="s">
        <v>1762</v>
      </c>
      <c r="B687" s="11"/>
      <c r="C687" s="11"/>
      <c r="D687" s="11"/>
      <c r="E687" s="11"/>
    </row>
    <row r="688" spans="1:5" ht="25.5" customHeight="1">
      <c r="A688" s="4" t="s">
        <v>1763</v>
      </c>
      <c r="B688" s="12"/>
      <c r="C688" s="12"/>
      <c r="D688" s="12"/>
      <c r="E688" s="12"/>
    </row>
    <row r="689" spans="1:5" ht="25.5" customHeight="1">
      <c r="A689" s="3" t="s">
        <v>1764</v>
      </c>
      <c r="B689" s="11">
        <v>15.97</v>
      </c>
      <c r="C689" s="11"/>
      <c r="D689" s="11"/>
      <c r="E689" s="11"/>
    </row>
    <row r="690" spans="1:5" ht="12.75" customHeight="1">
      <c r="A690" s="4" t="s">
        <v>1765</v>
      </c>
      <c r="B690" s="12">
        <f>+'DCA-Anexo I-C'!B691+'DCA-Anexo I-C'!B721+'DCA-Anexo I-C'!B732+'DCA-Anexo I-C'!B742+'DCA-Anexo I-C'!B830</f>
        <v>1239214.1200000001</v>
      </c>
      <c r="C690" s="12">
        <f>+'DCA-Anexo I-C'!C691+'DCA-Anexo I-C'!C721+'DCA-Anexo I-C'!C732+'DCA-Anexo I-C'!C742+'DCA-Anexo I-C'!C830</f>
        <v>0</v>
      </c>
      <c r="D690" s="12">
        <f>+'DCA-Anexo I-C'!D691+'DCA-Anexo I-C'!D721+'DCA-Anexo I-C'!D732+'DCA-Anexo I-C'!D742+'DCA-Anexo I-C'!D830</f>
        <v>0</v>
      </c>
      <c r="E690" s="12">
        <f>+'DCA-Anexo I-C'!E691+'DCA-Anexo I-C'!E721+'DCA-Anexo I-C'!E732+'DCA-Anexo I-C'!E742+'DCA-Anexo I-C'!E830</f>
        <v>0</v>
      </c>
    </row>
    <row r="691" spans="1:5" ht="12.75" customHeight="1">
      <c r="A691" s="3" t="s">
        <v>1766</v>
      </c>
      <c r="B691" s="11">
        <f>+'DCA-Anexo I-C'!B692+'DCA-Anexo I-C'!B708</f>
        <v>0</v>
      </c>
      <c r="C691" s="11">
        <f>+'DCA-Anexo I-C'!C692+'DCA-Anexo I-C'!C708</f>
        <v>0</v>
      </c>
      <c r="D691" s="11">
        <f>+'DCA-Anexo I-C'!D692+'DCA-Anexo I-C'!D708</f>
        <v>0</v>
      </c>
      <c r="E691" s="11">
        <f>+'DCA-Anexo I-C'!E692+'DCA-Anexo I-C'!E708</f>
        <v>0</v>
      </c>
    </row>
    <row r="692" spans="1:5" ht="12.75" customHeight="1">
      <c r="A692" s="4" t="s">
        <v>1767</v>
      </c>
      <c r="B692" s="12">
        <f>+'DCA-Anexo I-C'!B693+'DCA-Anexo I-C'!B697+'DCA-Anexo I-C'!B706+'DCA-Anexo I-C'!B707</f>
        <v>0</v>
      </c>
      <c r="C692" s="12">
        <f>+'DCA-Anexo I-C'!C693+'DCA-Anexo I-C'!C697+'DCA-Anexo I-C'!C706+'DCA-Anexo I-C'!C707</f>
        <v>0</v>
      </c>
      <c r="D692" s="12">
        <f>+'DCA-Anexo I-C'!D693+'DCA-Anexo I-C'!D697+'DCA-Anexo I-C'!D706+'DCA-Anexo I-C'!D707</f>
        <v>0</v>
      </c>
      <c r="E692" s="12">
        <f>+'DCA-Anexo I-C'!E693+'DCA-Anexo I-C'!E697+'DCA-Anexo I-C'!E706+'DCA-Anexo I-C'!E707</f>
        <v>0</v>
      </c>
    </row>
    <row r="693" spans="1:5" ht="25.5" customHeight="1">
      <c r="A693" s="3" t="s">
        <v>1768</v>
      </c>
      <c r="B693" s="11">
        <f>+'DCA-Anexo I-C'!B694+'DCA-Anexo I-C'!B695+'DCA-Anexo I-C'!B696</f>
        <v>0</v>
      </c>
      <c r="C693" s="11">
        <f>+'DCA-Anexo I-C'!C694+'DCA-Anexo I-C'!C695+'DCA-Anexo I-C'!C696</f>
        <v>0</v>
      </c>
      <c r="D693" s="11">
        <f>+'DCA-Anexo I-C'!D694+'DCA-Anexo I-C'!D695+'DCA-Anexo I-C'!D696</f>
        <v>0</v>
      </c>
      <c r="E693" s="11">
        <f>+'DCA-Anexo I-C'!E694+'DCA-Anexo I-C'!E695+'DCA-Anexo I-C'!E696</f>
        <v>0</v>
      </c>
    </row>
    <row r="694" spans="1:5" ht="25.5" customHeight="1">
      <c r="A694" s="4" t="s">
        <v>1769</v>
      </c>
      <c r="B694" s="12"/>
      <c r="C694" s="12"/>
      <c r="D694" s="12"/>
      <c r="E694" s="12"/>
    </row>
    <row r="695" spans="1:5" ht="25.5" customHeight="1">
      <c r="A695" s="3" t="s">
        <v>1770</v>
      </c>
      <c r="B695" s="11"/>
      <c r="C695" s="11"/>
      <c r="D695" s="11"/>
      <c r="E695" s="11"/>
    </row>
    <row r="696" spans="1:5" ht="12.75" customHeight="1">
      <c r="A696" s="4" t="s">
        <v>1771</v>
      </c>
      <c r="B696" s="12"/>
      <c r="C696" s="12"/>
      <c r="D696" s="12"/>
      <c r="E696" s="12"/>
    </row>
    <row r="697" spans="1:5" ht="12.75" customHeight="1">
      <c r="A697" s="3" t="s">
        <v>1772</v>
      </c>
      <c r="B697" s="11">
        <f>+'DCA-Anexo I-C'!B698+'DCA-Anexo I-C'!B699+'DCA-Anexo I-C'!B700+'DCA-Anexo I-C'!B701+'DCA-Anexo I-C'!B702+'DCA-Anexo I-C'!B703+'DCA-Anexo I-C'!B704+'DCA-Anexo I-C'!B705</f>
        <v>0</v>
      </c>
      <c r="C697" s="11">
        <f>+'DCA-Anexo I-C'!C698+'DCA-Anexo I-C'!C699+'DCA-Anexo I-C'!C700+'DCA-Anexo I-C'!C701+'DCA-Anexo I-C'!C702+'DCA-Anexo I-C'!C703+'DCA-Anexo I-C'!C704+'DCA-Anexo I-C'!C705</f>
        <v>0</v>
      </c>
      <c r="D697" s="11">
        <f>+'DCA-Anexo I-C'!D698+'DCA-Anexo I-C'!D699+'DCA-Anexo I-C'!D700+'DCA-Anexo I-C'!D701+'DCA-Anexo I-C'!D702+'DCA-Anexo I-C'!D703+'DCA-Anexo I-C'!D704+'DCA-Anexo I-C'!D705</f>
        <v>0</v>
      </c>
      <c r="E697" s="11">
        <f>+'DCA-Anexo I-C'!E698+'DCA-Anexo I-C'!E699+'DCA-Anexo I-C'!E700+'DCA-Anexo I-C'!E701+'DCA-Anexo I-C'!E702+'DCA-Anexo I-C'!E703+'DCA-Anexo I-C'!E704+'DCA-Anexo I-C'!E705</f>
        <v>0</v>
      </c>
    </row>
    <row r="698" spans="1:5" ht="12.75" customHeight="1">
      <c r="A698" s="4" t="s">
        <v>1773</v>
      </c>
      <c r="B698" s="12"/>
      <c r="C698" s="12"/>
      <c r="D698" s="12"/>
      <c r="E698" s="12"/>
    </row>
    <row r="699" spans="1:5" ht="25.5" customHeight="1">
      <c r="A699" s="3" t="s">
        <v>1774</v>
      </c>
      <c r="B699" s="11"/>
      <c r="C699" s="11"/>
      <c r="D699" s="11"/>
      <c r="E699" s="11"/>
    </row>
    <row r="700" spans="1:5" ht="12.75" customHeight="1">
      <c r="A700" s="4" t="s">
        <v>1775</v>
      </c>
      <c r="B700" s="12"/>
      <c r="C700" s="12"/>
      <c r="D700" s="12"/>
      <c r="E700" s="12"/>
    </row>
    <row r="701" spans="1:5" ht="25.5" customHeight="1">
      <c r="A701" s="3" t="s">
        <v>1776</v>
      </c>
      <c r="B701" s="11"/>
      <c r="C701" s="11"/>
      <c r="D701" s="11"/>
      <c r="E701" s="11"/>
    </row>
    <row r="702" spans="1:5" ht="25.5" customHeight="1">
      <c r="A702" s="4" t="s">
        <v>1777</v>
      </c>
      <c r="B702" s="12"/>
      <c r="C702" s="12"/>
      <c r="D702" s="12"/>
      <c r="E702" s="12"/>
    </row>
    <row r="703" spans="1:5" ht="25.5" customHeight="1">
      <c r="A703" s="3" t="s">
        <v>1778</v>
      </c>
      <c r="B703" s="11"/>
      <c r="C703" s="11"/>
      <c r="D703" s="11"/>
      <c r="E703" s="11"/>
    </row>
    <row r="704" spans="1:5" ht="25.5" customHeight="1">
      <c r="A704" s="4" t="s">
        <v>1779</v>
      </c>
      <c r="B704" s="12"/>
      <c r="C704" s="12"/>
      <c r="D704" s="12"/>
      <c r="E704" s="12"/>
    </row>
    <row r="705" spans="1:5" ht="25.5" customHeight="1">
      <c r="A705" s="3" t="s">
        <v>1780</v>
      </c>
      <c r="B705" s="11"/>
      <c r="C705" s="11"/>
      <c r="D705" s="11"/>
      <c r="E705" s="11"/>
    </row>
    <row r="706" spans="1:5" ht="12.75" customHeight="1">
      <c r="A706" s="4" t="s">
        <v>1781</v>
      </c>
      <c r="B706" s="12"/>
      <c r="C706" s="12"/>
      <c r="D706" s="12"/>
      <c r="E706" s="12"/>
    </row>
    <row r="707" spans="1:5" ht="12.75" customHeight="1">
      <c r="A707" s="3" t="s">
        <v>1782</v>
      </c>
      <c r="B707" s="11"/>
      <c r="C707" s="11"/>
      <c r="D707" s="11"/>
      <c r="E707" s="11"/>
    </row>
    <row r="708" spans="1:5" ht="12.75" customHeight="1">
      <c r="A708" s="4" t="s">
        <v>1783</v>
      </c>
      <c r="B708" s="12">
        <f>+'DCA-Anexo I-C'!B709+'DCA-Anexo I-C'!B712+'DCA-Anexo I-C'!B720</f>
        <v>0</v>
      </c>
      <c r="C708" s="12">
        <f>+'DCA-Anexo I-C'!C709+'DCA-Anexo I-C'!C712+'DCA-Anexo I-C'!C720</f>
        <v>0</v>
      </c>
      <c r="D708" s="12">
        <f>+'DCA-Anexo I-C'!D709+'DCA-Anexo I-C'!D712+'DCA-Anexo I-C'!D720</f>
        <v>0</v>
      </c>
      <c r="E708" s="12">
        <f>+'DCA-Anexo I-C'!E709+'DCA-Anexo I-C'!E712+'DCA-Anexo I-C'!E720</f>
        <v>0</v>
      </c>
    </row>
    <row r="709" spans="1:5" ht="25.5" customHeight="1">
      <c r="A709" s="3" t="s">
        <v>1784</v>
      </c>
      <c r="B709" s="11">
        <f>+'DCA-Anexo I-C'!B710+'DCA-Anexo I-C'!B711</f>
        <v>0</v>
      </c>
      <c r="C709" s="11">
        <f>+'DCA-Anexo I-C'!C710+'DCA-Anexo I-C'!C711</f>
        <v>0</v>
      </c>
      <c r="D709" s="11">
        <f>+'DCA-Anexo I-C'!D710+'DCA-Anexo I-C'!D711</f>
        <v>0</v>
      </c>
      <c r="E709" s="11">
        <f>+'DCA-Anexo I-C'!E710+'DCA-Anexo I-C'!E711</f>
        <v>0</v>
      </c>
    </row>
    <row r="710" spans="1:5" ht="25.5" customHeight="1">
      <c r="A710" s="4" t="s">
        <v>1785</v>
      </c>
      <c r="B710" s="12"/>
      <c r="C710" s="12"/>
      <c r="D710" s="12"/>
      <c r="E710" s="12"/>
    </row>
    <row r="711" spans="1:5" ht="25.5" customHeight="1">
      <c r="A711" s="3" t="s">
        <v>1786</v>
      </c>
      <c r="B711" s="11"/>
      <c r="C711" s="11"/>
      <c r="D711" s="11"/>
      <c r="E711" s="11"/>
    </row>
    <row r="712" spans="1:5" ht="12.75" customHeight="1">
      <c r="A712" s="4" t="s">
        <v>1787</v>
      </c>
      <c r="B712" s="12">
        <f>+'DCA-Anexo I-C'!B713+'DCA-Anexo I-C'!B714+'DCA-Anexo I-C'!B715+'DCA-Anexo I-C'!B716+'DCA-Anexo I-C'!B717+'DCA-Anexo I-C'!B718+'DCA-Anexo I-C'!B719</f>
        <v>0</v>
      </c>
      <c r="C712" s="12">
        <f>+'DCA-Anexo I-C'!C713+'DCA-Anexo I-C'!C714+'DCA-Anexo I-C'!C715+'DCA-Anexo I-C'!C716+'DCA-Anexo I-C'!C717+'DCA-Anexo I-C'!C718+'DCA-Anexo I-C'!C719</f>
        <v>0</v>
      </c>
      <c r="D712" s="12">
        <f>+'DCA-Anexo I-C'!D713+'DCA-Anexo I-C'!D714+'DCA-Anexo I-C'!D715+'DCA-Anexo I-C'!D716+'DCA-Anexo I-C'!D717+'DCA-Anexo I-C'!D718+'DCA-Anexo I-C'!D719</f>
        <v>0</v>
      </c>
      <c r="E712" s="12">
        <f>+'DCA-Anexo I-C'!E713+'DCA-Anexo I-C'!E714+'DCA-Anexo I-C'!E715+'DCA-Anexo I-C'!E716+'DCA-Anexo I-C'!E717+'DCA-Anexo I-C'!E718+'DCA-Anexo I-C'!E719</f>
        <v>0</v>
      </c>
    </row>
    <row r="713" spans="1:5" ht="12.75" customHeight="1">
      <c r="A713" s="3" t="s">
        <v>1788</v>
      </c>
      <c r="B713" s="11"/>
      <c r="C713" s="11"/>
      <c r="D713" s="11"/>
      <c r="E713" s="11"/>
    </row>
    <row r="714" spans="1:5" ht="25.5" customHeight="1">
      <c r="A714" s="4" t="s">
        <v>1789</v>
      </c>
      <c r="B714" s="12"/>
      <c r="C714" s="12"/>
      <c r="D714" s="12"/>
      <c r="E714" s="12"/>
    </row>
    <row r="715" spans="1:5" ht="12.75" customHeight="1">
      <c r="A715" s="3" t="s">
        <v>1790</v>
      </c>
      <c r="B715" s="11"/>
      <c r="C715" s="11"/>
      <c r="D715" s="11"/>
      <c r="E715" s="11"/>
    </row>
    <row r="716" spans="1:5" ht="25.5" customHeight="1">
      <c r="A716" s="4" t="s">
        <v>1791</v>
      </c>
      <c r="B716" s="12"/>
      <c r="C716" s="12"/>
      <c r="D716" s="12"/>
      <c r="E716" s="12"/>
    </row>
    <row r="717" spans="1:5" ht="25.5" customHeight="1">
      <c r="A717" s="3" t="s">
        <v>1792</v>
      </c>
      <c r="B717" s="11"/>
      <c r="C717" s="11"/>
      <c r="D717" s="11"/>
      <c r="E717" s="11"/>
    </row>
    <row r="718" spans="1:5" ht="25.5" customHeight="1">
      <c r="A718" s="4" t="s">
        <v>1793</v>
      </c>
      <c r="B718" s="12"/>
      <c r="C718" s="12"/>
      <c r="D718" s="12"/>
      <c r="E718" s="12"/>
    </row>
    <row r="719" spans="1:5" ht="25.5" customHeight="1">
      <c r="A719" s="3" t="s">
        <v>1794</v>
      </c>
      <c r="B719" s="11"/>
      <c r="C719" s="11"/>
      <c r="D719" s="11"/>
      <c r="E719" s="11"/>
    </row>
    <row r="720" spans="1:5" ht="12.75" customHeight="1">
      <c r="A720" s="4" t="s">
        <v>1795</v>
      </c>
      <c r="B720" s="12"/>
      <c r="C720" s="12"/>
      <c r="D720" s="12"/>
      <c r="E720" s="12"/>
    </row>
    <row r="721" spans="1:5" ht="12.75" customHeight="1">
      <c r="A721" s="3" t="s">
        <v>1796</v>
      </c>
      <c r="B721" s="11">
        <f>+'DCA-Anexo I-C'!B722+'DCA-Anexo I-C'!B730+'DCA-Anexo I-C'!B731</f>
        <v>0</v>
      </c>
      <c r="C721" s="11">
        <f>+'DCA-Anexo I-C'!C722+'DCA-Anexo I-C'!C730+'DCA-Anexo I-C'!C731</f>
        <v>0</v>
      </c>
      <c r="D721" s="11">
        <f>+'DCA-Anexo I-C'!D722+'DCA-Anexo I-C'!D730+'DCA-Anexo I-C'!D731</f>
        <v>0</v>
      </c>
      <c r="E721" s="11">
        <f>+'DCA-Anexo I-C'!E722+'DCA-Anexo I-C'!E730+'DCA-Anexo I-C'!E731</f>
        <v>0</v>
      </c>
    </row>
    <row r="722" spans="1:5" ht="12.75" customHeight="1">
      <c r="A722" s="4" t="s">
        <v>1797</v>
      </c>
      <c r="B722" s="12">
        <f>+'DCA-Anexo I-C'!B723+'DCA-Anexo I-C'!B724+'DCA-Anexo I-C'!B729</f>
        <v>0</v>
      </c>
      <c r="C722" s="12">
        <f>+'DCA-Anexo I-C'!C723+'DCA-Anexo I-C'!C724+'DCA-Anexo I-C'!C729</f>
        <v>0</v>
      </c>
      <c r="D722" s="12">
        <f>+'DCA-Anexo I-C'!D723+'DCA-Anexo I-C'!D724+'DCA-Anexo I-C'!D729</f>
        <v>0</v>
      </c>
      <c r="E722" s="12">
        <f>+'DCA-Anexo I-C'!E723+'DCA-Anexo I-C'!E724+'DCA-Anexo I-C'!E729</f>
        <v>0</v>
      </c>
    </row>
    <row r="723" spans="1:5" ht="25.5" customHeight="1">
      <c r="A723" s="3" t="s">
        <v>1798</v>
      </c>
      <c r="B723" s="11"/>
      <c r="C723" s="11"/>
      <c r="D723" s="11"/>
      <c r="E723" s="11"/>
    </row>
    <row r="724" spans="1:5" ht="12.75" customHeight="1">
      <c r="A724" s="4" t="s">
        <v>1799</v>
      </c>
      <c r="B724" s="12">
        <f>+'DCA-Anexo I-C'!B725+'DCA-Anexo I-C'!B726+'DCA-Anexo I-C'!B727+'DCA-Anexo I-C'!B728</f>
        <v>0</v>
      </c>
      <c r="C724" s="12">
        <f>+'DCA-Anexo I-C'!C725+'DCA-Anexo I-C'!C726+'DCA-Anexo I-C'!C727+'DCA-Anexo I-C'!C728</f>
        <v>0</v>
      </c>
      <c r="D724" s="12">
        <f>+'DCA-Anexo I-C'!D725+'DCA-Anexo I-C'!D726+'DCA-Anexo I-C'!D727+'DCA-Anexo I-C'!D728</f>
        <v>0</v>
      </c>
      <c r="E724" s="12">
        <f>+'DCA-Anexo I-C'!E725+'DCA-Anexo I-C'!E726+'DCA-Anexo I-C'!E727+'DCA-Anexo I-C'!E728</f>
        <v>0</v>
      </c>
    </row>
    <row r="725" spans="1:5" ht="25.5" customHeight="1">
      <c r="A725" s="3" t="s">
        <v>1800</v>
      </c>
      <c r="B725" s="11"/>
      <c r="C725" s="11"/>
      <c r="D725" s="11"/>
      <c r="E725" s="11"/>
    </row>
    <row r="726" spans="1:5" ht="25.5" customHeight="1">
      <c r="A726" s="4" t="s">
        <v>1801</v>
      </c>
      <c r="B726" s="12"/>
      <c r="C726" s="12"/>
      <c r="D726" s="12"/>
      <c r="E726" s="12"/>
    </row>
    <row r="727" spans="1:5" ht="25.5" customHeight="1">
      <c r="A727" s="3" t="s">
        <v>1802</v>
      </c>
      <c r="B727" s="11"/>
      <c r="C727" s="11"/>
      <c r="D727" s="11"/>
      <c r="E727" s="11"/>
    </row>
    <row r="728" spans="1:5" ht="12.75" customHeight="1">
      <c r="A728" s="4" t="s">
        <v>1803</v>
      </c>
      <c r="B728" s="12"/>
      <c r="C728" s="12"/>
      <c r="D728" s="12"/>
      <c r="E728" s="12"/>
    </row>
    <row r="729" spans="1:5" ht="12.75" customHeight="1">
      <c r="A729" s="3" t="s">
        <v>1804</v>
      </c>
      <c r="B729" s="11"/>
      <c r="C729" s="11"/>
      <c r="D729" s="11"/>
      <c r="E729" s="11"/>
    </row>
    <row r="730" spans="1:5" ht="12.75" customHeight="1">
      <c r="A730" s="4" t="s">
        <v>1805</v>
      </c>
      <c r="B730" s="12"/>
      <c r="C730" s="12"/>
      <c r="D730" s="12"/>
      <c r="E730" s="12"/>
    </row>
    <row r="731" spans="1:5" ht="12.75" customHeight="1">
      <c r="A731" s="3" t="s">
        <v>1806</v>
      </c>
      <c r="B731" s="11"/>
      <c r="C731" s="11"/>
      <c r="D731" s="11"/>
      <c r="E731" s="11"/>
    </row>
    <row r="732" spans="1:5" ht="12.75" customHeight="1">
      <c r="A732" s="4" t="s">
        <v>1807</v>
      </c>
      <c r="B732" s="12">
        <f>+'DCA-Anexo I-C'!B733</f>
        <v>0</v>
      </c>
      <c r="C732" s="12">
        <f>+'DCA-Anexo I-C'!C733</f>
        <v>0</v>
      </c>
      <c r="D732" s="12">
        <f>+'DCA-Anexo I-C'!D733</f>
        <v>0</v>
      </c>
      <c r="E732" s="12">
        <f>+'DCA-Anexo I-C'!E733</f>
        <v>0</v>
      </c>
    </row>
    <row r="733" spans="1:5" ht="12.75" customHeight="1">
      <c r="A733" s="3" t="s">
        <v>1808</v>
      </c>
      <c r="B733" s="11">
        <f>+'DCA-Anexo I-C'!B734</f>
        <v>0</v>
      </c>
      <c r="C733" s="11">
        <f>+'DCA-Anexo I-C'!C734</f>
        <v>0</v>
      </c>
      <c r="D733" s="11">
        <f>+'DCA-Anexo I-C'!D734</f>
        <v>0</v>
      </c>
      <c r="E733" s="11">
        <f>+'DCA-Anexo I-C'!E734</f>
        <v>0</v>
      </c>
    </row>
    <row r="734" spans="1:5" ht="12.75" customHeight="1">
      <c r="A734" s="4" t="s">
        <v>1809</v>
      </c>
      <c r="B734" s="12">
        <f>+'DCA-Anexo I-C'!B735+'DCA-Anexo I-C'!B736+'DCA-Anexo I-C'!B737+'DCA-Anexo I-C'!B738+'DCA-Anexo I-C'!B739+'DCA-Anexo I-C'!B740+'DCA-Anexo I-C'!B741</f>
        <v>0</v>
      </c>
      <c r="C734" s="12">
        <f>+'DCA-Anexo I-C'!C735+'DCA-Anexo I-C'!C736+'DCA-Anexo I-C'!C737+'DCA-Anexo I-C'!C738+'DCA-Anexo I-C'!C739+'DCA-Anexo I-C'!C740+'DCA-Anexo I-C'!C741</f>
        <v>0</v>
      </c>
      <c r="D734" s="12">
        <f>+'DCA-Anexo I-C'!D735+'DCA-Anexo I-C'!D736+'DCA-Anexo I-C'!D737+'DCA-Anexo I-C'!D738+'DCA-Anexo I-C'!D739+'DCA-Anexo I-C'!D740+'DCA-Anexo I-C'!D741</f>
        <v>0</v>
      </c>
      <c r="E734" s="12">
        <f>+'DCA-Anexo I-C'!E735+'DCA-Anexo I-C'!E736+'DCA-Anexo I-C'!E737+'DCA-Anexo I-C'!E738+'DCA-Anexo I-C'!E739+'DCA-Anexo I-C'!E740+'DCA-Anexo I-C'!E741</f>
        <v>0</v>
      </c>
    </row>
    <row r="735" spans="1:5" ht="12.75" customHeight="1">
      <c r="A735" s="3" t="s">
        <v>1810</v>
      </c>
      <c r="B735" s="11"/>
      <c r="C735" s="11"/>
      <c r="D735" s="11"/>
      <c r="E735" s="11"/>
    </row>
    <row r="736" spans="1:5" ht="25.5" customHeight="1">
      <c r="A736" s="4" t="s">
        <v>1811</v>
      </c>
      <c r="B736" s="12"/>
      <c r="C736" s="12"/>
      <c r="D736" s="12"/>
      <c r="E736" s="12"/>
    </row>
    <row r="737" spans="1:5" ht="12.75" customHeight="1">
      <c r="A737" s="3" t="s">
        <v>1812</v>
      </c>
      <c r="B737" s="11"/>
      <c r="C737" s="11"/>
      <c r="D737" s="11"/>
      <c r="E737" s="11"/>
    </row>
    <row r="738" spans="1:5" ht="25.5" customHeight="1">
      <c r="A738" s="4" t="s">
        <v>1813</v>
      </c>
      <c r="B738" s="12"/>
      <c r="C738" s="12"/>
      <c r="D738" s="12"/>
      <c r="E738" s="12"/>
    </row>
    <row r="739" spans="1:5" ht="25.5" customHeight="1">
      <c r="A739" s="3" t="s">
        <v>1814</v>
      </c>
      <c r="B739" s="11"/>
      <c r="C739" s="11"/>
      <c r="D739" s="11"/>
      <c r="E739" s="11"/>
    </row>
    <row r="740" spans="1:5" ht="12.75" customHeight="1">
      <c r="A740" s="4" t="s">
        <v>1815</v>
      </c>
      <c r="B740" s="12"/>
      <c r="C740" s="12"/>
      <c r="D740" s="12"/>
      <c r="E740" s="12"/>
    </row>
    <row r="741" spans="1:5" ht="12.75" customHeight="1">
      <c r="A741" s="3" t="s">
        <v>1816</v>
      </c>
      <c r="B741" s="11"/>
      <c r="C741" s="11"/>
      <c r="D741" s="11"/>
      <c r="E741" s="11"/>
    </row>
    <row r="742" spans="1:5" ht="12.75" customHeight="1">
      <c r="A742" s="4" t="s">
        <v>1817</v>
      </c>
      <c r="B742" s="12">
        <f>+'DCA-Anexo I-C'!B743+'DCA-Anexo I-C'!B781+'DCA-Anexo I-C'!B796+'DCA-Anexo I-C'!B808+'DCA-Anexo I-C'!B814+'DCA-Anexo I-C'!B816+'DCA-Anexo I-C'!B822</f>
        <v>1239214.1200000001</v>
      </c>
      <c r="C742" s="12">
        <f>+'DCA-Anexo I-C'!C743+'DCA-Anexo I-C'!C781+'DCA-Anexo I-C'!C796+'DCA-Anexo I-C'!C808+'DCA-Anexo I-C'!C814+'DCA-Anexo I-C'!C816+'DCA-Anexo I-C'!C822</f>
        <v>0</v>
      </c>
      <c r="D742" s="12">
        <f>+'DCA-Anexo I-C'!D743+'DCA-Anexo I-C'!D781+'DCA-Anexo I-C'!D796+'DCA-Anexo I-C'!D808+'DCA-Anexo I-C'!D814+'DCA-Anexo I-C'!D816+'DCA-Anexo I-C'!D822</f>
        <v>0</v>
      </c>
      <c r="E742" s="12">
        <f>+'DCA-Anexo I-C'!E743+'DCA-Anexo I-C'!E781+'DCA-Anexo I-C'!E796+'DCA-Anexo I-C'!E808+'DCA-Anexo I-C'!E814+'DCA-Anexo I-C'!E816+'DCA-Anexo I-C'!E822</f>
        <v>0</v>
      </c>
    </row>
    <row r="743" spans="1:5" ht="12.75" customHeight="1">
      <c r="A743" s="3" t="s">
        <v>1818</v>
      </c>
      <c r="B743" s="11">
        <f>+'DCA-Anexo I-C'!B744+'DCA-Anexo I-C'!B760+'DCA-Anexo I-C'!B765+'DCA-Anexo I-C'!B767+'DCA-Anexo I-C'!B774</f>
        <v>1039214.1200000001</v>
      </c>
      <c r="C743" s="11">
        <f>+'DCA-Anexo I-C'!C744+'DCA-Anexo I-C'!C760+'DCA-Anexo I-C'!C765+'DCA-Anexo I-C'!C767+'DCA-Anexo I-C'!C774</f>
        <v>0</v>
      </c>
      <c r="D743" s="11">
        <f>+'DCA-Anexo I-C'!D744+'DCA-Anexo I-C'!D760+'DCA-Anexo I-C'!D765+'DCA-Anexo I-C'!D767+'DCA-Anexo I-C'!D774</f>
        <v>0</v>
      </c>
      <c r="E743" s="11">
        <f>+'DCA-Anexo I-C'!E744+'DCA-Anexo I-C'!E760+'DCA-Anexo I-C'!E765+'DCA-Anexo I-C'!E767+'DCA-Anexo I-C'!E774</f>
        <v>0</v>
      </c>
    </row>
    <row r="744" spans="1:5" ht="25.5" customHeight="1">
      <c r="A744" s="4" t="s">
        <v>1819</v>
      </c>
      <c r="B744" s="12">
        <f>+'DCA-Anexo I-C'!B745+'DCA-Anexo I-C'!B752+'DCA-Anexo I-C'!B759</f>
        <v>0</v>
      </c>
      <c r="C744" s="12">
        <f>+'DCA-Anexo I-C'!C745+'DCA-Anexo I-C'!C752+'DCA-Anexo I-C'!C759</f>
        <v>0</v>
      </c>
      <c r="D744" s="12">
        <f>+'DCA-Anexo I-C'!D745+'DCA-Anexo I-C'!D752+'DCA-Anexo I-C'!D759</f>
        <v>0</v>
      </c>
      <c r="E744" s="12">
        <f>+'DCA-Anexo I-C'!E745+'DCA-Anexo I-C'!E752+'DCA-Anexo I-C'!E759</f>
        <v>0</v>
      </c>
    </row>
    <row r="745" spans="1:5" ht="38.25" customHeight="1">
      <c r="A745" s="3" t="s">
        <v>1820</v>
      </c>
      <c r="B745" s="11">
        <f>+'DCA-Anexo I-C'!B746+'DCA-Anexo I-C'!B747+'DCA-Anexo I-C'!B748+'DCA-Anexo I-C'!B749+'DCA-Anexo I-C'!B750+'DCA-Anexo I-C'!B751</f>
        <v>0</v>
      </c>
      <c r="C745" s="11">
        <f>+'DCA-Anexo I-C'!C746+'DCA-Anexo I-C'!C747+'DCA-Anexo I-C'!C748+'DCA-Anexo I-C'!C749+'DCA-Anexo I-C'!C750+'DCA-Anexo I-C'!C751</f>
        <v>0</v>
      </c>
      <c r="D745" s="11">
        <f>+'DCA-Anexo I-C'!D746+'DCA-Anexo I-C'!D747+'DCA-Anexo I-C'!D748+'DCA-Anexo I-C'!D749+'DCA-Anexo I-C'!D750+'DCA-Anexo I-C'!D751</f>
        <v>0</v>
      </c>
      <c r="E745" s="11">
        <f>+'DCA-Anexo I-C'!E746+'DCA-Anexo I-C'!E747+'DCA-Anexo I-C'!E748+'DCA-Anexo I-C'!E749+'DCA-Anexo I-C'!E750+'DCA-Anexo I-C'!E751</f>
        <v>0</v>
      </c>
    </row>
    <row r="746" spans="1:5" ht="25.5" customHeight="1">
      <c r="A746" s="4" t="s">
        <v>1821</v>
      </c>
      <c r="B746" s="12"/>
      <c r="C746" s="12"/>
      <c r="D746" s="12"/>
      <c r="E746" s="12"/>
    </row>
    <row r="747" spans="1:5" ht="25.5" customHeight="1">
      <c r="A747" s="3" t="s">
        <v>1822</v>
      </c>
      <c r="B747" s="11"/>
      <c r="C747" s="11"/>
      <c r="D747" s="11"/>
      <c r="E747" s="11"/>
    </row>
    <row r="748" spans="1:5" ht="25.5" customHeight="1">
      <c r="A748" s="4" t="s">
        <v>1823</v>
      </c>
      <c r="B748" s="12"/>
      <c r="C748" s="12"/>
      <c r="D748" s="12"/>
      <c r="E748" s="12"/>
    </row>
    <row r="749" spans="1:5" ht="25.5" customHeight="1">
      <c r="A749" s="3" t="s">
        <v>1824</v>
      </c>
      <c r="B749" s="11"/>
      <c r="C749" s="11"/>
      <c r="D749" s="11"/>
      <c r="E749" s="11"/>
    </row>
    <row r="750" spans="1:5" ht="25.5" customHeight="1">
      <c r="A750" s="4" t="s">
        <v>1825</v>
      </c>
      <c r="B750" s="12"/>
      <c r="C750" s="12"/>
      <c r="D750" s="12"/>
      <c r="E750" s="12"/>
    </row>
    <row r="751" spans="1:5" ht="25.5" customHeight="1">
      <c r="A751" s="3" t="s">
        <v>1826</v>
      </c>
      <c r="B751" s="11"/>
      <c r="C751" s="11"/>
      <c r="D751" s="11"/>
      <c r="E751" s="11"/>
    </row>
    <row r="752" spans="1:5" ht="38.25" customHeight="1">
      <c r="A752" s="4" t="s">
        <v>1827</v>
      </c>
      <c r="B752" s="12">
        <f>+'DCA-Anexo I-C'!B753+'DCA-Anexo I-C'!B754+'DCA-Anexo I-C'!B755+'DCA-Anexo I-C'!B756+'DCA-Anexo I-C'!B757+'DCA-Anexo I-C'!B758</f>
        <v>0</v>
      </c>
      <c r="C752" s="12">
        <f>+'DCA-Anexo I-C'!C753+'DCA-Anexo I-C'!C754+'DCA-Anexo I-C'!C755+'DCA-Anexo I-C'!C756+'DCA-Anexo I-C'!C757+'DCA-Anexo I-C'!C758</f>
        <v>0</v>
      </c>
      <c r="D752" s="12">
        <f>+'DCA-Anexo I-C'!D753+'DCA-Anexo I-C'!D754+'DCA-Anexo I-C'!D755+'DCA-Anexo I-C'!D756+'DCA-Anexo I-C'!D757+'DCA-Anexo I-C'!D758</f>
        <v>0</v>
      </c>
      <c r="E752" s="12">
        <f>+'DCA-Anexo I-C'!E753+'DCA-Anexo I-C'!E754+'DCA-Anexo I-C'!E755+'DCA-Anexo I-C'!E756+'DCA-Anexo I-C'!E757+'DCA-Anexo I-C'!E758</f>
        <v>0</v>
      </c>
    </row>
    <row r="753" spans="1:5" ht="25.5" customHeight="1">
      <c r="A753" s="3" t="s">
        <v>1828</v>
      </c>
      <c r="B753" s="11"/>
      <c r="C753" s="11"/>
      <c r="D753" s="11"/>
      <c r="E753" s="11"/>
    </row>
    <row r="754" spans="1:5" ht="25.5" customHeight="1">
      <c r="A754" s="4" t="s">
        <v>1829</v>
      </c>
      <c r="B754" s="12"/>
      <c r="C754" s="12"/>
      <c r="D754" s="12"/>
      <c r="E754" s="12"/>
    </row>
    <row r="755" spans="1:5" ht="25.5" customHeight="1">
      <c r="A755" s="3" t="s">
        <v>1830</v>
      </c>
      <c r="B755" s="11"/>
      <c r="C755" s="11"/>
      <c r="D755" s="11"/>
      <c r="E755" s="11"/>
    </row>
    <row r="756" spans="1:5" ht="25.5" customHeight="1">
      <c r="A756" s="4" t="s">
        <v>1831</v>
      </c>
      <c r="B756" s="12"/>
      <c r="C756" s="12"/>
      <c r="D756" s="12"/>
      <c r="E756" s="12"/>
    </row>
    <row r="757" spans="1:5" ht="25.5" customHeight="1">
      <c r="A757" s="3" t="s">
        <v>1832</v>
      </c>
      <c r="B757" s="11"/>
      <c r="C757" s="11"/>
      <c r="D757" s="11"/>
      <c r="E757" s="11"/>
    </row>
    <row r="758" spans="1:5" ht="25.5" customHeight="1">
      <c r="A758" s="4" t="s">
        <v>1833</v>
      </c>
      <c r="B758" s="12"/>
      <c r="C758" s="12"/>
      <c r="D758" s="12"/>
      <c r="E758" s="12"/>
    </row>
    <row r="759" spans="1:5" ht="25.5" customHeight="1">
      <c r="A759" s="3" t="s">
        <v>1834</v>
      </c>
      <c r="B759" s="11"/>
      <c r="C759" s="11"/>
      <c r="D759" s="11"/>
      <c r="E759" s="11"/>
    </row>
    <row r="760" spans="1:5" ht="25.5" customHeight="1">
      <c r="A760" s="4" t="s">
        <v>1835</v>
      </c>
      <c r="B760" s="12">
        <f>+'DCA-Anexo I-C'!B761</f>
        <v>0</v>
      </c>
      <c r="C760" s="12">
        <f>+'DCA-Anexo I-C'!C761</f>
        <v>0</v>
      </c>
      <c r="D760" s="12">
        <f>+'DCA-Anexo I-C'!D761</f>
        <v>0</v>
      </c>
      <c r="E760" s="12">
        <f>+'DCA-Anexo I-C'!E761</f>
        <v>0</v>
      </c>
    </row>
    <row r="761" spans="1:5" ht="25.5" customHeight="1">
      <c r="A761" s="3" t="s">
        <v>1836</v>
      </c>
      <c r="B761" s="11">
        <f>+'DCA-Anexo I-C'!B762+'DCA-Anexo I-C'!B763+'DCA-Anexo I-C'!B764</f>
        <v>0</v>
      </c>
      <c r="C761" s="11">
        <f>+'DCA-Anexo I-C'!C762+'DCA-Anexo I-C'!C763+'DCA-Anexo I-C'!C764</f>
        <v>0</v>
      </c>
      <c r="D761" s="11">
        <f>+'DCA-Anexo I-C'!D762+'DCA-Anexo I-C'!D763+'DCA-Anexo I-C'!D764</f>
        <v>0</v>
      </c>
      <c r="E761" s="11">
        <f>+'DCA-Anexo I-C'!E762+'DCA-Anexo I-C'!E763+'DCA-Anexo I-C'!E764</f>
        <v>0</v>
      </c>
    </row>
    <row r="762" spans="1:5" ht="25.5" customHeight="1">
      <c r="A762" s="4" t="s">
        <v>1837</v>
      </c>
      <c r="B762" s="12"/>
      <c r="C762" s="12"/>
      <c r="D762" s="12"/>
      <c r="E762" s="12"/>
    </row>
    <row r="763" spans="1:5" ht="38.25" customHeight="1">
      <c r="A763" s="3" t="s">
        <v>1838</v>
      </c>
      <c r="B763" s="11"/>
      <c r="C763" s="11"/>
      <c r="D763" s="11"/>
      <c r="E763" s="11"/>
    </row>
    <row r="764" spans="1:5" ht="25.5" customHeight="1">
      <c r="A764" s="4" t="s">
        <v>1839</v>
      </c>
      <c r="B764" s="12"/>
      <c r="C764" s="12"/>
      <c r="D764" s="12"/>
      <c r="E764" s="12"/>
    </row>
    <row r="765" spans="1:5" ht="25.5" customHeight="1">
      <c r="A765" s="3" t="s">
        <v>1840</v>
      </c>
      <c r="B765" s="11">
        <f>+'DCA-Anexo I-C'!B766</f>
        <v>0</v>
      </c>
      <c r="C765" s="11">
        <f>+'DCA-Anexo I-C'!C766</f>
        <v>0</v>
      </c>
      <c r="D765" s="11">
        <f>+'DCA-Anexo I-C'!D766</f>
        <v>0</v>
      </c>
      <c r="E765" s="11">
        <f>+'DCA-Anexo I-C'!E766</f>
        <v>0</v>
      </c>
    </row>
    <row r="766" spans="1:5" ht="25.5" customHeight="1">
      <c r="A766" s="4" t="s">
        <v>1841</v>
      </c>
      <c r="B766" s="12"/>
      <c r="C766" s="12"/>
      <c r="D766" s="12"/>
      <c r="E766" s="12"/>
    </row>
    <row r="767" spans="1:5" ht="25.5" customHeight="1">
      <c r="A767" s="3" t="s">
        <v>1842</v>
      </c>
      <c r="B767" s="11">
        <f>+'DCA-Anexo I-C'!B768+'DCA-Anexo I-C'!B769+'DCA-Anexo I-C'!B770+'DCA-Anexo I-C'!B771+'DCA-Anexo I-C'!B772+'DCA-Anexo I-C'!B773</f>
        <v>1039214.1200000001</v>
      </c>
      <c r="C767" s="11">
        <f>+'DCA-Anexo I-C'!C768+'DCA-Anexo I-C'!C769+'DCA-Anexo I-C'!C770+'DCA-Anexo I-C'!C771+'DCA-Anexo I-C'!C772+'DCA-Anexo I-C'!C773</f>
        <v>0</v>
      </c>
      <c r="D767" s="11">
        <f>+'DCA-Anexo I-C'!D768+'DCA-Anexo I-C'!D769+'DCA-Anexo I-C'!D770+'DCA-Anexo I-C'!D771+'DCA-Anexo I-C'!D772+'DCA-Anexo I-C'!D773</f>
        <v>0</v>
      </c>
      <c r="E767" s="11">
        <f>+'DCA-Anexo I-C'!E768+'DCA-Anexo I-C'!E769+'DCA-Anexo I-C'!E770+'DCA-Anexo I-C'!E771+'DCA-Anexo I-C'!E772+'DCA-Anexo I-C'!E773</f>
        <v>0</v>
      </c>
    </row>
    <row r="768" spans="1:5" ht="25.5" customHeight="1">
      <c r="A768" s="4" t="s">
        <v>1843</v>
      </c>
      <c r="B768" s="12"/>
      <c r="C768" s="12"/>
      <c r="D768" s="12"/>
      <c r="E768" s="12"/>
    </row>
    <row r="769" spans="1:5" ht="25.5" customHeight="1">
      <c r="A769" s="3" t="s">
        <v>1844</v>
      </c>
      <c r="B769" s="11">
        <v>583741.54</v>
      </c>
      <c r="C769" s="11"/>
      <c r="D769" s="11"/>
      <c r="E769" s="11"/>
    </row>
    <row r="770" spans="1:5" ht="25.5" customHeight="1">
      <c r="A770" s="4" t="s">
        <v>1845</v>
      </c>
      <c r="B770" s="12"/>
      <c r="C770" s="12"/>
      <c r="D770" s="12"/>
      <c r="E770" s="12"/>
    </row>
    <row r="771" spans="1:5" ht="25.5" customHeight="1">
      <c r="A771" s="3" t="s">
        <v>1846</v>
      </c>
      <c r="B771" s="11"/>
      <c r="C771" s="11"/>
      <c r="D771" s="11"/>
      <c r="E771" s="11"/>
    </row>
    <row r="772" spans="1:5" ht="25.5" customHeight="1">
      <c r="A772" s="4" t="s">
        <v>1847</v>
      </c>
      <c r="B772" s="12"/>
      <c r="C772" s="12"/>
      <c r="D772" s="12"/>
      <c r="E772" s="12"/>
    </row>
    <row r="773" spans="1:5" ht="25.5" customHeight="1">
      <c r="A773" s="3" t="s">
        <v>1848</v>
      </c>
      <c r="B773" s="11">
        <v>455472.58</v>
      </c>
      <c r="C773" s="11"/>
      <c r="D773" s="11"/>
      <c r="E773" s="11"/>
    </row>
    <row r="774" spans="1:5" ht="25.5" customHeight="1">
      <c r="A774" s="4" t="s">
        <v>1849</v>
      </c>
      <c r="B774" s="12">
        <f>+'DCA-Anexo I-C'!B775+'DCA-Anexo I-C'!B776+'DCA-Anexo I-C'!B777+'DCA-Anexo I-C'!B778+'DCA-Anexo I-C'!B779+'DCA-Anexo I-C'!B780</f>
        <v>0</v>
      </c>
      <c r="C774" s="12">
        <f>+'DCA-Anexo I-C'!C775+'DCA-Anexo I-C'!C776+'DCA-Anexo I-C'!C777+'DCA-Anexo I-C'!C778+'DCA-Anexo I-C'!C779+'DCA-Anexo I-C'!C780</f>
        <v>0</v>
      </c>
      <c r="D774" s="12">
        <f>+'DCA-Anexo I-C'!D775+'DCA-Anexo I-C'!D776+'DCA-Anexo I-C'!D777+'DCA-Anexo I-C'!D778+'DCA-Anexo I-C'!D779+'DCA-Anexo I-C'!D780</f>
        <v>0</v>
      </c>
      <c r="E774" s="12">
        <f>+'DCA-Anexo I-C'!E775+'DCA-Anexo I-C'!E776+'DCA-Anexo I-C'!E777+'DCA-Anexo I-C'!E778+'DCA-Anexo I-C'!E779+'DCA-Anexo I-C'!E780</f>
        <v>0</v>
      </c>
    </row>
    <row r="775" spans="1:5" ht="12.75" customHeight="1">
      <c r="A775" s="3" t="s">
        <v>1850</v>
      </c>
      <c r="B775" s="11"/>
      <c r="C775" s="11"/>
      <c r="D775" s="11"/>
      <c r="E775" s="11"/>
    </row>
    <row r="776" spans="1:5" ht="12.75" customHeight="1">
      <c r="A776" s="4" t="s">
        <v>1851</v>
      </c>
      <c r="B776" s="12"/>
      <c r="C776" s="12"/>
      <c r="D776" s="12"/>
      <c r="E776" s="12"/>
    </row>
    <row r="777" spans="1:5" ht="25.5" customHeight="1">
      <c r="A777" s="3" t="s">
        <v>1852</v>
      </c>
      <c r="B777" s="11"/>
      <c r="C777" s="11"/>
      <c r="D777" s="11"/>
      <c r="E777" s="11"/>
    </row>
    <row r="778" spans="1:5" ht="25.5" customHeight="1">
      <c r="A778" s="4" t="s">
        <v>1853</v>
      </c>
      <c r="B778" s="12"/>
      <c r="C778" s="12"/>
      <c r="D778" s="12"/>
      <c r="E778" s="12"/>
    </row>
    <row r="779" spans="1:5" ht="25.5" customHeight="1">
      <c r="A779" s="3" t="s">
        <v>1854</v>
      </c>
      <c r="B779" s="11"/>
      <c r="C779" s="11"/>
      <c r="D779" s="11"/>
      <c r="E779" s="11"/>
    </row>
    <row r="780" spans="1:5" ht="25.5" customHeight="1">
      <c r="A780" s="4" t="s">
        <v>1855</v>
      </c>
      <c r="B780" s="12"/>
      <c r="C780" s="12"/>
      <c r="D780" s="12"/>
      <c r="E780" s="12"/>
    </row>
    <row r="781" spans="1:5" ht="25.5" customHeight="1">
      <c r="A781" s="3" t="s">
        <v>1856</v>
      </c>
      <c r="B781" s="11">
        <f>+'DCA-Anexo I-C'!B782+'DCA-Anexo I-C'!B784+'DCA-Anexo I-C'!B792</f>
        <v>200000</v>
      </c>
      <c r="C781" s="11">
        <f>+'DCA-Anexo I-C'!C782+'DCA-Anexo I-C'!C784+'DCA-Anexo I-C'!C792</f>
        <v>0</v>
      </c>
      <c r="D781" s="11">
        <f>+'DCA-Anexo I-C'!D782+'DCA-Anexo I-C'!D784+'DCA-Anexo I-C'!D792</f>
        <v>0</v>
      </c>
      <c r="E781" s="11">
        <f>+'DCA-Anexo I-C'!E782+'DCA-Anexo I-C'!E784+'DCA-Anexo I-C'!E792</f>
        <v>0</v>
      </c>
    </row>
    <row r="782" spans="1:5" ht="25.5" customHeight="1">
      <c r="A782" s="4" t="s">
        <v>1857</v>
      </c>
      <c r="B782" s="12">
        <f>+'DCA-Anexo I-C'!B783</f>
        <v>0</v>
      </c>
      <c r="C782" s="12">
        <f>+'DCA-Anexo I-C'!C783</f>
        <v>0</v>
      </c>
      <c r="D782" s="12">
        <f>+'DCA-Anexo I-C'!D783</f>
        <v>0</v>
      </c>
      <c r="E782" s="12">
        <f>+'DCA-Anexo I-C'!E783</f>
        <v>0</v>
      </c>
    </row>
    <row r="783" spans="1:5" ht="25.5" customHeight="1">
      <c r="A783" s="3" t="s">
        <v>1858</v>
      </c>
      <c r="B783" s="11"/>
      <c r="C783" s="11"/>
      <c r="D783" s="11"/>
      <c r="E783" s="11"/>
    </row>
    <row r="784" spans="1:5" ht="25.5" customHeight="1">
      <c r="A784" s="4" t="s">
        <v>1859</v>
      </c>
      <c r="B784" s="12">
        <f>+'DCA-Anexo I-C'!B785+'DCA-Anexo I-C'!B786+'DCA-Anexo I-C'!B787+'DCA-Anexo I-C'!B788+'DCA-Anexo I-C'!B789+'DCA-Anexo I-C'!B790+'DCA-Anexo I-C'!B791</f>
        <v>200000</v>
      </c>
      <c r="C784" s="12">
        <f>+'DCA-Anexo I-C'!C785+'DCA-Anexo I-C'!C786+'DCA-Anexo I-C'!C787+'DCA-Anexo I-C'!C788+'DCA-Anexo I-C'!C789+'DCA-Anexo I-C'!C790+'DCA-Anexo I-C'!C791</f>
        <v>0</v>
      </c>
      <c r="D784" s="12">
        <f>+'DCA-Anexo I-C'!D785+'DCA-Anexo I-C'!D786+'DCA-Anexo I-C'!D787+'DCA-Anexo I-C'!D788+'DCA-Anexo I-C'!D789+'DCA-Anexo I-C'!D790+'DCA-Anexo I-C'!D791</f>
        <v>0</v>
      </c>
      <c r="E784" s="12">
        <f>+'DCA-Anexo I-C'!E785+'DCA-Anexo I-C'!E786+'DCA-Anexo I-C'!E787+'DCA-Anexo I-C'!E788+'DCA-Anexo I-C'!E789+'DCA-Anexo I-C'!E790+'DCA-Anexo I-C'!E791</f>
        <v>0</v>
      </c>
    </row>
    <row r="785" spans="1:5" ht="25.5" customHeight="1">
      <c r="A785" s="3" t="s">
        <v>1860</v>
      </c>
      <c r="B785" s="11"/>
      <c r="C785" s="11"/>
      <c r="D785" s="11"/>
      <c r="E785" s="11"/>
    </row>
    <row r="786" spans="1:5" ht="25.5" customHeight="1">
      <c r="A786" s="4" t="s">
        <v>1861</v>
      </c>
      <c r="B786" s="12"/>
      <c r="C786" s="12"/>
      <c r="D786" s="12"/>
      <c r="E786" s="12"/>
    </row>
    <row r="787" spans="1:5" ht="25.5" customHeight="1">
      <c r="A787" s="3" t="s">
        <v>1862</v>
      </c>
      <c r="B787" s="11"/>
      <c r="C787" s="11"/>
      <c r="D787" s="11"/>
      <c r="E787" s="11"/>
    </row>
    <row r="788" spans="1:5" ht="25.5" customHeight="1">
      <c r="A788" s="4" t="s">
        <v>1863</v>
      </c>
      <c r="B788" s="12"/>
      <c r="C788" s="12"/>
      <c r="D788" s="12"/>
      <c r="E788" s="12"/>
    </row>
    <row r="789" spans="1:5" ht="25.5" customHeight="1">
      <c r="A789" s="3" t="s">
        <v>1864</v>
      </c>
      <c r="B789" s="11"/>
      <c r="C789" s="11"/>
      <c r="D789" s="11"/>
      <c r="E789" s="11"/>
    </row>
    <row r="790" spans="1:5" ht="25.5" customHeight="1">
      <c r="A790" s="4" t="s">
        <v>1865</v>
      </c>
      <c r="B790" s="12"/>
      <c r="C790" s="12"/>
      <c r="D790" s="12"/>
      <c r="E790" s="12"/>
    </row>
    <row r="791" spans="1:5" ht="25.5" customHeight="1">
      <c r="A791" s="3" t="s">
        <v>1866</v>
      </c>
      <c r="B791" s="11">
        <v>200000</v>
      </c>
      <c r="C791" s="11"/>
      <c r="D791" s="11"/>
      <c r="E791" s="11"/>
    </row>
    <row r="792" spans="1:5" ht="12.75" customHeight="1">
      <c r="A792" s="4" t="s">
        <v>1867</v>
      </c>
      <c r="B792" s="12">
        <f>+'DCA-Anexo I-C'!B793+'DCA-Anexo I-C'!B794+'DCA-Anexo I-C'!B795</f>
        <v>0</v>
      </c>
      <c r="C792" s="12">
        <f>+'DCA-Anexo I-C'!C793+'DCA-Anexo I-C'!C794+'DCA-Anexo I-C'!C795</f>
        <v>0</v>
      </c>
      <c r="D792" s="12">
        <f>+'DCA-Anexo I-C'!D793+'DCA-Anexo I-C'!D794+'DCA-Anexo I-C'!D795</f>
        <v>0</v>
      </c>
      <c r="E792" s="12">
        <f>+'DCA-Anexo I-C'!E793+'DCA-Anexo I-C'!E794+'DCA-Anexo I-C'!E795</f>
        <v>0</v>
      </c>
    </row>
    <row r="793" spans="1:5" ht="25.5" customHeight="1">
      <c r="A793" s="3" t="s">
        <v>1868</v>
      </c>
      <c r="B793" s="11"/>
      <c r="C793" s="11"/>
      <c r="D793" s="11"/>
      <c r="E793" s="11"/>
    </row>
    <row r="794" spans="1:5" ht="25.5" customHeight="1">
      <c r="A794" s="4" t="s">
        <v>1869</v>
      </c>
      <c r="B794" s="12"/>
      <c r="C794" s="12"/>
      <c r="D794" s="12"/>
      <c r="E794" s="12"/>
    </row>
    <row r="795" spans="1:5" ht="12.75" customHeight="1">
      <c r="A795" s="3" t="s">
        <v>1870</v>
      </c>
      <c r="B795" s="11"/>
      <c r="C795" s="11"/>
      <c r="D795" s="11"/>
      <c r="E795" s="11"/>
    </row>
    <row r="796" spans="1:5" ht="12.75" customHeight="1">
      <c r="A796" s="4" t="s">
        <v>1871</v>
      </c>
      <c r="B796" s="12">
        <f>+'DCA-Anexo I-C'!B797+'DCA-Anexo I-C'!B799+'DCA-Anexo I-C'!B805</f>
        <v>0</v>
      </c>
      <c r="C796" s="12">
        <f>+'DCA-Anexo I-C'!C797+'DCA-Anexo I-C'!C799+'DCA-Anexo I-C'!C805</f>
        <v>0</v>
      </c>
      <c r="D796" s="12">
        <f>+'DCA-Anexo I-C'!D797+'DCA-Anexo I-C'!D799+'DCA-Anexo I-C'!D805</f>
        <v>0</v>
      </c>
      <c r="E796" s="12">
        <f>+'DCA-Anexo I-C'!E797+'DCA-Anexo I-C'!E799+'DCA-Anexo I-C'!E805</f>
        <v>0</v>
      </c>
    </row>
    <row r="797" spans="1:5" ht="25.5" customHeight="1">
      <c r="A797" s="3" t="s">
        <v>1872</v>
      </c>
      <c r="B797" s="11">
        <f>+'DCA-Anexo I-C'!B798</f>
        <v>0</v>
      </c>
      <c r="C797" s="11">
        <f>+'DCA-Anexo I-C'!C798</f>
        <v>0</v>
      </c>
      <c r="D797" s="11">
        <f>+'DCA-Anexo I-C'!D798</f>
        <v>0</v>
      </c>
      <c r="E797" s="11">
        <f>+'DCA-Anexo I-C'!E798</f>
        <v>0</v>
      </c>
    </row>
    <row r="798" spans="1:5" ht="25.5" customHeight="1">
      <c r="A798" s="4" t="s">
        <v>1873</v>
      </c>
      <c r="B798" s="12"/>
      <c r="C798" s="12"/>
      <c r="D798" s="12"/>
      <c r="E798" s="12"/>
    </row>
    <row r="799" spans="1:5" ht="25.5" customHeight="1">
      <c r="A799" s="3" t="s">
        <v>1874</v>
      </c>
      <c r="B799" s="11">
        <f>+'DCA-Anexo I-C'!B800+'DCA-Anexo I-C'!B801+'DCA-Anexo I-C'!B802+'DCA-Anexo I-C'!B803+'DCA-Anexo I-C'!B804</f>
        <v>0</v>
      </c>
      <c r="C799" s="11">
        <f>+'DCA-Anexo I-C'!C800+'DCA-Anexo I-C'!C801+'DCA-Anexo I-C'!C802+'DCA-Anexo I-C'!C803+'DCA-Anexo I-C'!C804</f>
        <v>0</v>
      </c>
      <c r="D799" s="11">
        <f>+'DCA-Anexo I-C'!D800+'DCA-Anexo I-C'!D801+'DCA-Anexo I-C'!D802+'DCA-Anexo I-C'!D803+'DCA-Anexo I-C'!D804</f>
        <v>0</v>
      </c>
      <c r="E799" s="11">
        <f>+'DCA-Anexo I-C'!E800+'DCA-Anexo I-C'!E801+'DCA-Anexo I-C'!E802+'DCA-Anexo I-C'!E803+'DCA-Anexo I-C'!E804</f>
        <v>0</v>
      </c>
    </row>
    <row r="800" spans="1:5" ht="25.5" customHeight="1">
      <c r="A800" s="4" t="s">
        <v>1875</v>
      </c>
      <c r="B800" s="12"/>
      <c r="C800" s="12"/>
      <c r="D800" s="12"/>
      <c r="E800" s="12"/>
    </row>
    <row r="801" spans="1:5" ht="25.5" customHeight="1">
      <c r="A801" s="3" t="s">
        <v>1876</v>
      </c>
      <c r="B801" s="11"/>
      <c r="C801" s="11"/>
      <c r="D801" s="11"/>
      <c r="E801" s="11"/>
    </row>
    <row r="802" spans="1:5" ht="25.5" customHeight="1">
      <c r="A802" s="4" t="s">
        <v>1877</v>
      </c>
      <c r="B802" s="12"/>
      <c r="C802" s="12"/>
      <c r="D802" s="12"/>
      <c r="E802" s="12"/>
    </row>
    <row r="803" spans="1:5" ht="25.5" customHeight="1">
      <c r="A803" s="3" t="s">
        <v>1878</v>
      </c>
      <c r="B803" s="11"/>
      <c r="C803" s="11"/>
      <c r="D803" s="11"/>
      <c r="E803" s="11"/>
    </row>
    <row r="804" spans="1:5" ht="25.5" customHeight="1">
      <c r="A804" s="4" t="s">
        <v>1879</v>
      </c>
      <c r="B804" s="12"/>
      <c r="C804" s="12"/>
      <c r="D804" s="12"/>
      <c r="E804" s="12"/>
    </row>
    <row r="805" spans="1:5" ht="12.75" customHeight="1">
      <c r="A805" s="3" t="s">
        <v>1880</v>
      </c>
      <c r="B805" s="11">
        <f>+'DCA-Anexo I-C'!B806+'DCA-Anexo I-C'!B807</f>
        <v>0</v>
      </c>
      <c r="C805" s="11">
        <f>+'DCA-Anexo I-C'!C806+'DCA-Anexo I-C'!C807</f>
        <v>0</v>
      </c>
      <c r="D805" s="11">
        <f>+'DCA-Anexo I-C'!D806+'DCA-Anexo I-C'!D807</f>
        <v>0</v>
      </c>
      <c r="E805" s="11">
        <f>+'DCA-Anexo I-C'!E806+'DCA-Anexo I-C'!E807</f>
        <v>0</v>
      </c>
    </row>
    <row r="806" spans="1:5" ht="12.75" customHeight="1">
      <c r="A806" s="4" t="s">
        <v>1881</v>
      </c>
      <c r="B806" s="12"/>
      <c r="C806" s="12"/>
      <c r="D806" s="12"/>
      <c r="E806" s="12"/>
    </row>
    <row r="807" spans="1:5" ht="12.75" customHeight="1">
      <c r="A807" s="3" t="s">
        <v>1882</v>
      </c>
      <c r="B807" s="11"/>
      <c r="C807" s="11"/>
      <c r="D807" s="11"/>
      <c r="E807" s="11"/>
    </row>
    <row r="808" spans="1:5" ht="12.75" customHeight="1">
      <c r="A808" s="4" t="s">
        <v>1883</v>
      </c>
      <c r="B808" s="12">
        <f>+'DCA-Anexo I-C'!B809</f>
        <v>0</v>
      </c>
      <c r="C808" s="12">
        <f>+'DCA-Anexo I-C'!C809</f>
        <v>0</v>
      </c>
      <c r="D808" s="12">
        <f>+'DCA-Anexo I-C'!D809</f>
        <v>0</v>
      </c>
      <c r="E808" s="12">
        <f>+'DCA-Anexo I-C'!E809</f>
        <v>0</v>
      </c>
    </row>
    <row r="809" spans="1:5" ht="12.75" customHeight="1">
      <c r="A809" s="3" t="s">
        <v>1884</v>
      </c>
      <c r="B809" s="11">
        <f>+'DCA-Anexo I-C'!B810+'DCA-Anexo I-C'!B811+'DCA-Anexo I-C'!B812+'DCA-Anexo I-C'!B813</f>
        <v>0</v>
      </c>
      <c r="C809" s="11">
        <f>+'DCA-Anexo I-C'!C810+'DCA-Anexo I-C'!C811+'DCA-Anexo I-C'!C812+'DCA-Anexo I-C'!C813</f>
        <v>0</v>
      </c>
      <c r="D809" s="11">
        <f>+'DCA-Anexo I-C'!D810+'DCA-Anexo I-C'!D811+'DCA-Anexo I-C'!D812+'DCA-Anexo I-C'!D813</f>
        <v>0</v>
      </c>
      <c r="E809" s="11">
        <f>+'DCA-Anexo I-C'!E810+'DCA-Anexo I-C'!E811+'DCA-Anexo I-C'!E812+'DCA-Anexo I-C'!E813</f>
        <v>0</v>
      </c>
    </row>
    <row r="810" spans="1:5" ht="25.5" customHeight="1">
      <c r="A810" s="4" t="s">
        <v>1885</v>
      </c>
      <c r="B810" s="12"/>
      <c r="C810" s="12"/>
      <c r="D810" s="12"/>
      <c r="E810" s="12"/>
    </row>
    <row r="811" spans="1:5" ht="25.5" customHeight="1">
      <c r="A811" s="3" t="s">
        <v>1886</v>
      </c>
      <c r="B811" s="11"/>
      <c r="C811" s="11"/>
      <c r="D811" s="11"/>
      <c r="E811" s="11"/>
    </row>
    <row r="812" spans="1:5" ht="25.5" customHeight="1">
      <c r="A812" s="4" t="s">
        <v>1887</v>
      </c>
      <c r="B812" s="12"/>
      <c r="C812" s="12"/>
      <c r="D812" s="12"/>
      <c r="E812" s="12"/>
    </row>
    <row r="813" spans="1:5" ht="12.75" customHeight="1">
      <c r="A813" s="3" t="s">
        <v>1888</v>
      </c>
      <c r="B813" s="11"/>
      <c r="C813" s="11"/>
      <c r="D813" s="11"/>
      <c r="E813" s="11"/>
    </row>
    <row r="814" spans="1:5" ht="12.75" customHeight="1">
      <c r="A814" s="4" t="s">
        <v>1889</v>
      </c>
      <c r="B814" s="12">
        <f>+'DCA-Anexo I-C'!B815</f>
        <v>0</v>
      </c>
      <c r="C814" s="12">
        <f>+'DCA-Anexo I-C'!C815</f>
        <v>0</v>
      </c>
      <c r="D814" s="12">
        <f>+'DCA-Anexo I-C'!D815</f>
        <v>0</v>
      </c>
      <c r="E814" s="12">
        <f>+'DCA-Anexo I-C'!E815</f>
        <v>0</v>
      </c>
    </row>
    <row r="815" spans="1:5" ht="12.75" customHeight="1">
      <c r="A815" s="3" t="s">
        <v>1890</v>
      </c>
      <c r="B815" s="11"/>
      <c r="C815" s="11"/>
      <c r="D815" s="11"/>
      <c r="E815" s="11"/>
    </row>
    <row r="816" spans="1:5" ht="12.75" customHeight="1">
      <c r="A816" s="4" t="s">
        <v>1891</v>
      </c>
      <c r="B816" s="12">
        <f>+'DCA-Anexo I-C'!B817</f>
        <v>0</v>
      </c>
      <c r="C816" s="12">
        <f>+'DCA-Anexo I-C'!C817</f>
        <v>0</v>
      </c>
      <c r="D816" s="12">
        <f>+'DCA-Anexo I-C'!D817</f>
        <v>0</v>
      </c>
      <c r="E816" s="12">
        <f>+'DCA-Anexo I-C'!E817</f>
        <v>0</v>
      </c>
    </row>
    <row r="817" spans="1:5" ht="12.75" customHeight="1">
      <c r="A817" s="3" t="s">
        <v>1892</v>
      </c>
      <c r="B817" s="11">
        <f>+'DCA-Anexo I-C'!B818+'DCA-Anexo I-C'!B819+'DCA-Anexo I-C'!B820+'DCA-Anexo I-C'!B821</f>
        <v>0</v>
      </c>
      <c r="C817" s="11">
        <f>+'DCA-Anexo I-C'!C818+'DCA-Anexo I-C'!C819+'DCA-Anexo I-C'!C820+'DCA-Anexo I-C'!C821</f>
        <v>0</v>
      </c>
      <c r="D817" s="11">
        <f>+'DCA-Anexo I-C'!D818+'DCA-Anexo I-C'!D819+'DCA-Anexo I-C'!D820+'DCA-Anexo I-C'!D821</f>
        <v>0</v>
      </c>
      <c r="E817" s="11">
        <f>+'DCA-Anexo I-C'!E818+'DCA-Anexo I-C'!E819+'DCA-Anexo I-C'!E820+'DCA-Anexo I-C'!E821</f>
        <v>0</v>
      </c>
    </row>
    <row r="818" spans="1:5" ht="25.5" customHeight="1">
      <c r="A818" s="4" t="s">
        <v>1893</v>
      </c>
      <c r="B818" s="12"/>
      <c r="C818" s="12"/>
      <c r="D818" s="12"/>
      <c r="E818" s="12"/>
    </row>
    <row r="819" spans="1:5" ht="12.75" customHeight="1">
      <c r="A819" s="3" t="s">
        <v>1894</v>
      </c>
      <c r="B819" s="11"/>
      <c r="C819" s="11"/>
      <c r="D819" s="11"/>
      <c r="E819" s="11"/>
    </row>
    <row r="820" spans="1:5" ht="12.75" customHeight="1">
      <c r="A820" s="4" t="s">
        <v>1895</v>
      </c>
      <c r="B820" s="12"/>
      <c r="C820" s="12"/>
      <c r="D820" s="12"/>
      <c r="E820" s="12"/>
    </row>
    <row r="821" spans="1:5" ht="12.75" customHeight="1">
      <c r="A821" s="3" t="s">
        <v>1896</v>
      </c>
      <c r="B821" s="11"/>
      <c r="C821" s="11"/>
      <c r="D821" s="11"/>
      <c r="E821" s="11"/>
    </row>
    <row r="822" spans="1:5" ht="12.75" customHeight="1">
      <c r="A822" s="4" t="s">
        <v>1897</v>
      </c>
      <c r="B822" s="12">
        <f>+'DCA-Anexo I-C'!B823+'DCA-Anexo I-C'!B828+'DCA-Anexo I-C'!B829</f>
        <v>0</v>
      </c>
      <c r="C822" s="12">
        <f>+'DCA-Anexo I-C'!C823+'DCA-Anexo I-C'!C828+'DCA-Anexo I-C'!C829</f>
        <v>0</v>
      </c>
      <c r="D822" s="12">
        <f>+'DCA-Anexo I-C'!D823+'DCA-Anexo I-C'!D828+'DCA-Anexo I-C'!D829</f>
        <v>0</v>
      </c>
      <c r="E822" s="12">
        <f>+'DCA-Anexo I-C'!E823+'DCA-Anexo I-C'!E828+'DCA-Anexo I-C'!E829</f>
        <v>0</v>
      </c>
    </row>
    <row r="823" spans="1:5" ht="12.75" customHeight="1">
      <c r="A823" s="3" t="s">
        <v>1898</v>
      </c>
      <c r="B823" s="11">
        <f>+'DCA-Anexo I-C'!B824+'DCA-Anexo I-C'!B825+'DCA-Anexo I-C'!B826+'DCA-Anexo I-C'!B827</f>
        <v>0</v>
      </c>
      <c r="C823" s="11">
        <f>+'DCA-Anexo I-C'!C824+'DCA-Anexo I-C'!C825+'DCA-Anexo I-C'!C826+'DCA-Anexo I-C'!C827</f>
        <v>0</v>
      </c>
      <c r="D823" s="11">
        <f>+'DCA-Anexo I-C'!D824+'DCA-Anexo I-C'!D825+'DCA-Anexo I-C'!D826+'DCA-Anexo I-C'!D827</f>
        <v>0</v>
      </c>
      <c r="E823" s="11">
        <f>+'DCA-Anexo I-C'!E824+'DCA-Anexo I-C'!E825+'DCA-Anexo I-C'!E826+'DCA-Anexo I-C'!E827</f>
        <v>0</v>
      </c>
    </row>
    <row r="824" spans="1:5" ht="25.5" customHeight="1">
      <c r="A824" s="4" t="s">
        <v>1899</v>
      </c>
      <c r="B824" s="12"/>
      <c r="C824" s="12"/>
      <c r="D824" s="12"/>
      <c r="E824" s="12"/>
    </row>
    <row r="825" spans="1:5" ht="25.5" customHeight="1">
      <c r="A825" s="3" t="s">
        <v>1900</v>
      </c>
      <c r="B825" s="11"/>
      <c r="C825" s="11"/>
      <c r="D825" s="11"/>
      <c r="E825" s="11"/>
    </row>
    <row r="826" spans="1:5" ht="25.5" customHeight="1">
      <c r="A826" s="4" t="s">
        <v>1901</v>
      </c>
      <c r="B826" s="12"/>
      <c r="C826" s="12"/>
      <c r="D826" s="12"/>
      <c r="E826" s="12"/>
    </row>
    <row r="827" spans="1:5" ht="12.75" customHeight="1">
      <c r="A827" s="3" t="s">
        <v>1902</v>
      </c>
      <c r="B827" s="11"/>
      <c r="C827" s="11"/>
      <c r="D827" s="11"/>
      <c r="E827" s="11"/>
    </row>
    <row r="828" spans="1:5" ht="25.5" customHeight="1">
      <c r="A828" s="4" t="s">
        <v>1903</v>
      </c>
      <c r="B828" s="12"/>
      <c r="C828" s="12"/>
      <c r="D828" s="12"/>
      <c r="E828" s="12"/>
    </row>
    <row r="829" spans="1:5" ht="12.75" customHeight="1">
      <c r="A829" s="3" t="s">
        <v>1904</v>
      </c>
      <c r="B829" s="11"/>
      <c r="C829" s="11"/>
      <c r="D829" s="11"/>
      <c r="E829" s="11"/>
    </row>
    <row r="830" spans="1:5" ht="12.75" customHeight="1">
      <c r="A830" s="4" t="s">
        <v>1905</v>
      </c>
      <c r="B830" s="12">
        <f>+'DCA-Anexo I-C'!B831+'DCA-Anexo I-C'!B832+'DCA-Anexo I-C'!B836+'DCA-Anexo I-C'!B837+'DCA-Anexo I-C'!B838</f>
        <v>0</v>
      </c>
      <c r="C830" s="12">
        <f>+'DCA-Anexo I-C'!C831+'DCA-Anexo I-C'!C832+'DCA-Anexo I-C'!C836+'DCA-Anexo I-C'!C837+'DCA-Anexo I-C'!C838</f>
        <v>0</v>
      </c>
      <c r="D830" s="12">
        <f>+'DCA-Anexo I-C'!D831+'DCA-Anexo I-C'!D832+'DCA-Anexo I-C'!D836+'DCA-Anexo I-C'!D837+'DCA-Anexo I-C'!D838</f>
        <v>0</v>
      </c>
      <c r="E830" s="12">
        <f>+'DCA-Anexo I-C'!E831+'DCA-Anexo I-C'!E832+'DCA-Anexo I-C'!E836+'DCA-Anexo I-C'!E837+'DCA-Anexo I-C'!E838</f>
        <v>0</v>
      </c>
    </row>
    <row r="831" spans="1:5" ht="12.75" customHeight="1">
      <c r="A831" s="3" t="s">
        <v>1906</v>
      </c>
      <c r="B831" s="11"/>
      <c r="C831" s="11"/>
      <c r="D831" s="11"/>
      <c r="E831" s="11"/>
    </row>
    <row r="832" spans="1:5" ht="12.75" customHeight="1">
      <c r="A832" s="4" t="s">
        <v>1907</v>
      </c>
      <c r="B832" s="12">
        <f>+'DCA-Anexo I-C'!B833</f>
        <v>0</v>
      </c>
      <c r="C832" s="12">
        <f>+'DCA-Anexo I-C'!C833</f>
        <v>0</v>
      </c>
      <c r="D832" s="12">
        <f>+'DCA-Anexo I-C'!D833</f>
        <v>0</v>
      </c>
      <c r="E832" s="12">
        <f>+'DCA-Anexo I-C'!E833</f>
        <v>0</v>
      </c>
    </row>
    <row r="833" spans="1:5" ht="12.75" customHeight="1">
      <c r="A833" s="3" t="s">
        <v>1908</v>
      </c>
      <c r="B833" s="11">
        <f>+'DCA-Anexo I-C'!B834+'DCA-Anexo I-C'!B835</f>
        <v>0</v>
      </c>
      <c r="C833" s="11">
        <f>+'DCA-Anexo I-C'!C834+'DCA-Anexo I-C'!C835</f>
        <v>0</v>
      </c>
      <c r="D833" s="11">
        <f>+'DCA-Anexo I-C'!D834+'DCA-Anexo I-C'!D835</f>
        <v>0</v>
      </c>
      <c r="E833" s="11">
        <f>+'DCA-Anexo I-C'!E834+'DCA-Anexo I-C'!E835</f>
        <v>0</v>
      </c>
    </row>
    <row r="834" spans="1:5" ht="25.5" customHeight="1">
      <c r="A834" s="4" t="s">
        <v>1909</v>
      </c>
      <c r="B834" s="12"/>
      <c r="C834" s="12"/>
      <c r="D834" s="12"/>
      <c r="E834" s="12"/>
    </row>
    <row r="835" spans="1:5" ht="12.75" customHeight="1">
      <c r="A835" s="3" t="s">
        <v>1910</v>
      </c>
      <c r="B835" s="11"/>
      <c r="C835" s="11"/>
      <c r="D835" s="11"/>
      <c r="E835" s="11"/>
    </row>
    <row r="836" spans="1:5" ht="12.75" customHeight="1">
      <c r="A836" s="4" t="s">
        <v>1911</v>
      </c>
      <c r="B836" s="12"/>
      <c r="C836" s="12"/>
      <c r="D836" s="12"/>
      <c r="E836" s="12"/>
    </row>
    <row r="837" spans="1:5" ht="12.75" customHeight="1">
      <c r="A837" s="3" t="s">
        <v>1912</v>
      </c>
      <c r="B837" s="11"/>
      <c r="C837" s="11"/>
      <c r="D837" s="11"/>
      <c r="E837" s="11"/>
    </row>
    <row r="838" spans="1:5" ht="12.75" customHeight="1">
      <c r="A838" s="4" t="s">
        <v>1913</v>
      </c>
      <c r="B838" s="12">
        <f>+'DCA-Anexo I-C'!B839</f>
        <v>0</v>
      </c>
      <c r="C838" s="12">
        <f>+'DCA-Anexo I-C'!C839</f>
        <v>0</v>
      </c>
      <c r="D838" s="12">
        <f>+'DCA-Anexo I-C'!D839</f>
        <v>0</v>
      </c>
      <c r="E838" s="12">
        <f>+'DCA-Anexo I-C'!E839</f>
        <v>0</v>
      </c>
    </row>
    <row r="839" spans="1:5" ht="12.75" customHeight="1">
      <c r="A839" s="3" t="s">
        <v>1914</v>
      </c>
      <c r="B839" s="11">
        <f>+'DCA-Anexo I-C'!B840+'DCA-Anexo I-C'!B841</f>
        <v>0</v>
      </c>
      <c r="C839" s="11">
        <f>+'DCA-Anexo I-C'!C840+'DCA-Anexo I-C'!C841</f>
        <v>0</v>
      </c>
      <c r="D839" s="11">
        <f>+'DCA-Anexo I-C'!D840+'DCA-Anexo I-C'!D841</f>
        <v>0</v>
      </c>
      <c r="E839" s="11">
        <f>+'DCA-Anexo I-C'!E840+'DCA-Anexo I-C'!E841</f>
        <v>0</v>
      </c>
    </row>
    <row r="840" spans="1:5" ht="25.5" customHeight="1">
      <c r="A840" s="4" t="s">
        <v>1915</v>
      </c>
      <c r="B840" s="12"/>
      <c r="C840" s="12"/>
      <c r="D840" s="12"/>
      <c r="E840" s="12"/>
    </row>
    <row r="841" spans="1:5" ht="12.75" customHeight="1">
      <c r="A841" s="3" t="s">
        <v>1916</v>
      </c>
      <c r="B841" s="11"/>
      <c r="C841" s="11"/>
      <c r="D841" s="11"/>
      <c r="E841" s="11"/>
    </row>
    <row r="842" spans="1:5" ht="12.75" customHeight="1">
      <c r="A842" s="4" t="s">
        <v>1917</v>
      </c>
      <c r="B842" s="12">
        <f>+'DCA-Anexo I-C'!B1060+'DCA-Anexo I-C'!B843</f>
        <v>205151.4</v>
      </c>
      <c r="C842" s="12">
        <f>+'DCA-Anexo I-C'!C1060+'DCA-Anexo I-C'!C843</f>
        <v>0</v>
      </c>
      <c r="D842" s="12">
        <f>+'DCA-Anexo I-C'!D1060+'DCA-Anexo I-C'!D843</f>
        <v>0</v>
      </c>
      <c r="E842" s="12">
        <f>+'DCA-Anexo I-C'!E1060+'DCA-Anexo I-C'!E843</f>
        <v>0</v>
      </c>
    </row>
    <row r="843" spans="1:5" ht="12.75" customHeight="1">
      <c r="A843" s="3" t="s">
        <v>1918</v>
      </c>
      <c r="B843" s="11">
        <f>+'DCA-Anexo I-C'!B844+'DCA-Anexo I-C'!B845+'DCA-Anexo I-C'!B911+'DCA-Anexo I-C'!B981+'DCA-Anexo I-C'!B982+'DCA-Anexo I-C'!B983+'DCA-Anexo I-C'!B1015+'DCA-Anexo I-C'!B1023</f>
        <v>205151.4</v>
      </c>
      <c r="C843" s="11">
        <f>+'DCA-Anexo I-C'!C844+'DCA-Anexo I-C'!C845+'DCA-Anexo I-C'!C911+'DCA-Anexo I-C'!C981+'DCA-Anexo I-C'!C982+'DCA-Anexo I-C'!C983+'DCA-Anexo I-C'!C1015+'DCA-Anexo I-C'!C1023</f>
        <v>0</v>
      </c>
      <c r="D843" s="11">
        <f>+'DCA-Anexo I-C'!D844+'DCA-Anexo I-C'!D845+'DCA-Anexo I-C'!D911+'DCA-Anexo I-C'!D981+'DCA-Anexo I-C'!D982+'DCA-Anexo I-C'!D983+'DCA-Anexo I-C'!D1015+'DCA-Anexo I-C'!D1023</f>
        <v>0</v>
      </c>
      <c r="E843" s="11">
        <f>+'DCA-Anexo I-C'!E844+'DCA-Anexo I-C'!E845+'DCA-Anexo I-C'!E911+'DCA-Anexo I-C'!E981+'DCA-Anexo I-C'!E982+'DCA-Anexo I-C'!E983+'DCA-Anexo I-C'!E1015+'DCA-Anexo I-C'!E1023</f>
        <v>0</v>
      </c>
    </row>
    <row r="844" spans="1:5" ht="12.75" customHeight="1">
      <c r="A844" s="4" t="s">
        <v>1919</v>
      </c>
      <c r="B844" s="12"/>
      <c r="C844" s="12"/>
      <c r="D844" s="12"/>
      <c r="E844" s="12"/>
    </row>
    <row r="845" spans="1:5" ht="12.75" customHeight="1">
      <c r="A845" s="3" t="s">
        <v>1920</v>
      </c>
      <c r="B845" s="11">
        <f>+'DCA-Anexo I-C'!B846+'DCA-Anexo I-C'!B908+'DCA-Anexo I-C'!B909+'DCA-Anexo I-C'!B910</f>
        <v>0</v>
      </c>
      <c r="C845" s="11">
        <f>+'DCA-Anexo I-C'!C846+'DCA-Anexo I-C'!C908+'DCA-Anexo I-C'!C909+'DCA-Anexo I-C'!C910</f>
        <v>0</v>
      </c>
      <c r="D845" s="11">
        <f>+'DCA-Anexo I-C'!D846+'DCA-Anexo I-C'!D908+'DCA-Anexo I-C'!D909+'DCA-Anexo I-C'!D910</f>
        <v>0</v>
      </c>
      <c r="E845" s="11">
        <f>+'DCA-Anexo I-C'!E846+'DCA-Anexo I-C'!E908+'DCA-Anexo I-C'!E909+'DCA-Anexo I-C'!E910</f>
        <v>0</v>
      </c>
    </row>
    <row r="846" spans="1:5" ht="12.75" customHeight="1">
      <c r="A846" s="4" t="s">
        <v>1921</v>
      </c>
      <c r="B846" s="12">
        <f>+'DCA-Anexo I-C'!B847+'DCA-Anexo I-C'!B848+'DCA-Anexo I-C'!B849+'DCA-Anexo I-C'!B850+'DCA-Anexo I-C'!B854+'DCA-Anexo I-C'!B890+'DCA-Anexo I-C'!B906+'DCA-Anexo I-C'!B907</f>
        <v>0</v>
      </c>
      <c r="C846" s="12">
        <f>+'DCA-Anexo I-C'!C847+'DCA-Anexo I-C'!C848+'DCA-Anexo I-C'!C849+'DCA-Anexo I-C'!C850+'DCA-Anexo I-C'!C854+'DCA-Anexo I-C'!C890+'DCA-Anexo I-C'!C906+'DCA-Anexo I-C'!C907</f>
        <v>0</v>
      </c>
      <c r="D846" s="12">
        <f>+'DCA-Anexo I-C'!D847+'DCA-Anexo I-C'!D848+'DCA-Anexo I-C'!D849+'DCA-Anexo I-C'!D850+'DCA-Anexo I-C'!D854+'DCA-Anexo I-C'!D890+'DCA-Anexo I-C'!D906+'DCA-Anexo I-C'!D907</f>
        <v>0</v>
      </c>
      <c r="E846" s="12">
        <f>+'DCA-Anexo I-C'!E847+'DCA-Anexo I-C'!E848+'DCA-Anexo I-C'!E849+'DCA-Anexo I-C'!E850+'DCA-Anexo I-C'!E854+'DCA-Anexo I-C'!E890+'DCA-Anexo I-C'!E906+'DCA-Anexo I-C'!E907</f>
        <v>0</v>
      </c>
    </row>
    <row r="847" spans="1:5" ht="25.5" customHeight="1">
      <c r="A847" s="3" t="s">
        <v>1922</v>
      </c>
      <c r="B847" s="11"/>
      <c r="C847" s="11"/>
      <c r="D847" s="11"/>
      <c r="E847" s="11"/>
    </row>
    <row r="848" spans="1:5" ht="25.5" customHeight="1">
      <c r="A848" s="4" t="s">
        <v>1923</v>
      </c>
      <c r="B848" s="12"/>
      <c r="C848" s="12"/>
      <c r="D848" s="12"/>
      <c r="E848" s="12"/>
    </row>
    <row r="849" spans="1:5" ht="12.75" customHeight="1">
      <c r="A849" s="3" t="s">
        <v>1924</v>
      </c>
      <c r="B849" s="11"/>
      <c r="C849" s="11"/>
      <c r="D849" s="11"/>
      <c r="E849" s="11"/>
    </row>
    <row r="850" spans="1:5" ht="25.5" customHeight="1">
      <c r="A850" s="4" t="s">
        <v>1925</v>
      </c>
      <c r="B850" s="12">
        <f>+'DCA-Anexo I-C'!B851+'DCA-Anexo I-C'!B852+'DCA-Anexo I-C'!B853</f>
        <v>0</v>
      </c>
      <c r="C850" s="12">
        <f>+'DCA-Anexo I-C'!C851+'DCA-Anexo I-C'!C852+'DCA-Anexo I-C'!C853</f>
        <v>0</v>
      </c>
      <c r="D850" s="12">
        <f>+'DCA-Anexo I-C'!D851+'DCA-Anexo I-C'!D852+'DCA-Anexo I-C'!D853</f>
        <v>0</v>
      </c>
      <c r="E850" s="12">
        <f>+'DCA-Anexo I-C'!E851+'DCA-Anexo I-C'!E852+'DCA-Anexo I-C'!E853</f>
        <v>0</v>
      </c>
    </row>
    <row r="851" spans="1:5" ht="25.5" customHeight="1">
      <c r="A851" s="3" t="s">
        <v>1926</v>
      </c>
      <c r="B851" s="11"/>
      <c r="C851" s="11"/>
      <c r="D851" s="11"/>
      <c r="E851" s="11"/>
    </row>
    <row r="852" spans="1:5" ht="12.75" customHeight="1">
      <c r="A852" s="4" t="s">
        <v>1927</v>
      </c>
      <c r="B852" s="12"/>
      <c r="C852" s="12"/>
      <c r="D852" s="12"/>
      <c r="E852" s="12"/>
    </row>
    <row r="853" spans="1:5" ht="25.5" customHeight="1">
      <c r="A853" s="3" t="s">
        <v>1928</v>
      </c>
      <c r="B853" s="11"/>
      <c r="C853" s="11"/>
      <c r="D853" s="11"/>
      <c r="E853" s="11"/>
    </row>
    <row r="854" spans="1:5" ht="25.5" customHeight="1">
      <c r="A854" s="4" t="s">
        <v>1929</v>
      </c>
      <c r="B854" s="12">
        <f>+'DCA-Anexo I-C'!B855+'DCA-Anexo I-C'!B856+'DCA-Anexo I-C'!B859+'DCA-Anexo I-C'!B860+'DCA-Anexo I-C'!B864+'DCA-Anexo I-C'!B869+'DCA-Anexo I-C'!B873+'DCA-Anexo I-C'!B874+'DCA-Anexo I-C'!B881+'DCA-Anexo I-C'!B885+'DCA-Anexo I-C'!B886</f>
        <v>0</v>
      </c>
      <c r="C854" s="12">
        <f>+'DCA-Anexo I-C'!C855+'DCA-Anexo I-C'!C856+'DCA-Anexo I-C'!C859+'DCA-Anexo I-C'!C860+'DCA-Anexo I-C'!C864+'DCA-Anexo I-C'!C869+'DCA-Anexo I-C'!C873+'DCA-Anexo I-C'!C874+'DCA-Anexo I-C'!C881+'DCA-Anexo I-C'!C885+'DCA-Anexo I-C'!C886</f>
        <v>0</v>
      </c>
      <c r="D854" s="12">
        <f>+'DCA-Anexo I-C'!D855+'DCA-Anexo I-C'!D856+'DCA-Anexo I-C'!D859+'DCA-Anexo I-C'!D860+'DCA-Anexo I-C'!D864+'DCA-Anexo I-C'!D869+'DCA-Anexo I-C'!D873+'DCA-Anexo I-C'!D874+'DCA-Anexo I-C'!D881+'DCA-Anexo I-C'!D885+'DCA-Anexo I-C'!D886</f>
        <v>0</v>
      </c>
      <c r="E854" s="12">
        <f>+'DCA-Anexo I-C'!E855+'DCA-Anexo I-C'!E856+'DCA-Anexo I-C'!E859+'DCA-Anexo I-C'!E860+'DCA-Anexo I-C'!E864+'DCA-Anexo I-C'!E869+'DCA-Anexo I-C'!E873+'DCA-Anexo I-C'!E874+'DCA-Anexo I-C'!E881+'DCA-Anexo I-C'!E885+'DCA-Anexo I-C'!E886</f>
        <v>0</v>
      </c>
    </row>
    <row r="855" spans="1:5" ht="12.75" customHeight="1">
      <c r="A855" s="3" t="s">
        <v>1930</v>
      </c>
      <c r="B855" s="11"/>
      <c r="C855" s="11"/>
      <c r="D855" s="11"/>
      <c r="E855" s="11"/>
    </row>
    <row r="856" spans="1:5" ht="12.75" customHeight="1">
      <c r="A856" s="4" t="s">
        <v>1931</v>
      </c>
      <c r="B856" s="12">
        <f>+'DCA-Anexo I-C'!B857+'DCA-Anexo I-C'!B858</f>
        <v>0</v>
      </c>
      <c r="C856" s="12">
        <f>+'DCA-Anexo I-C'!C857+'DCA-Anexo I-C'!C858</f>
        <v>0</v>
      </c>
      <c r="D856" s="12">
        <f>+'DCA-Anexo I-C'!D857+'DCA-Anexo I-C'!D858</f>
        <v>0</v>
      </c>
      <c r="E856" s="12">
        <f>+'DCA-Anexo I-C'!E857+'DCA-Anexo I-C'!E858</f>
        <v>0</v>
      </c>
    </row>
    <row r="857" spans="1:5" ht="12.75" customHeight="1">
      <c r="A857" s="3" t="s">
        <v>1932</v>
      </c>
      <c r="B857" s="11"/>
      <c r="C857" s="11"/>
      <c r="D857" s="11"/>
      <c r="E857" s="11"/>
    </row>
    <row r="858" spans="1:5" ht="25.5" customHeight="1">
      <c r="A858" s="4" t="s">
        <v>1933</v>
      </c>
      <c r="B858" s="12"/>
      <c r="C858" s="12"/>
      <c r="D858" s="12"/>
      <c r="E858" s="12"/>
    </row>
    <row r="859" spans="1:5" ht="12.75" customHeight="1">
      <c r="A859" s="3" t="s">
        <v>1934</v>
      </c>
      <c r="B859" s="11"/>
      <c r="C859" s="11"/>
      <c r="D859" s="11"/>
      <c r="E859" s="11"/>
    </row>
    <row r="860" spans="1:5" ht="25.5" customHeight="1">
      <c r="A860" s="4" t="s">
        <v>1935</v>
      </c>
      <c r="B860" s="12">
        <f>+'DCA-Anexo I-C'!B861+'DCA-Anexo I-C'!B862+'DCA-Anexo I-C'!B863</f>
        <v>0</v>
      </c>
      <c r="C860" s="12">
        <f>+'DCA-Anexo I-C'!C861+'DCA-Anexo I-C'!C862+'DCA-Anexo I-C'!C863</f>
        <v>0</v>
      </c>
      <c r="D860" s="12">
        <f>+'DCA-Anexo I-C'!D861+'DCA-Anexo I-C'!D862+'DCA-Anexo I-C'!D863</f>
        <v>0</v>
      </c>
      <c r="E860" s="12">
        <f>+'DCA-Anexo I-C'!E861+'DCA-Anexo I-C'!E862+'DCA-Anexo I-C'!E863</f>
        <v>0</v>
      </c>
    </row>
    <row r="861" spans="1:5" ht="25.5" customHeight="1">
      <c r="A861" s="3" t="s">
        <v>1936</v>
      </c>
      <c r="B861" s="11"/>
      <c r="C861" s="11"/>
      <c r="D861" s="11"/>
      <c r="E861" s="11"/>
    </row>
    <row r="862" spans="1:5" ht="25.5" customHeight="1">
      <c r="A862" s="4" t="s">
        <v>1937</v>
      </c>
      <c r="B862" s="12"/>
      <c r="C862" s="12"/>
      <c r="D862" s="12"/>
      <c r="E862" s="12"/>
    </row>
    <row r="863" spans="1:5" ht="25.5" customHeight="1">
      <c r="A863" s="3" t="s">
        <v>1938</v>
      </c>
      <c r="B863" s="11"/>
      <c r="C863" s="11"/>
      <c r="D863" s="11"/>
      <c r="E863" s="11"/>
    </row>
    <row r="864" spans="1:5" ht="25.5" customHeight="1">
      <c r="A864" s="4" t="s">
        <v>1939</v>
      </c>
      <c r="B864" s="12">
        <f>+'DCA-Anexo I-C'!B865+'DCA-Anexo I-C'!B866+'DCA-Anexo I-C'!B867+'DCA-Anexo I-C'!B868</f>
        <v>0</v>
      </c>
      <c r="C864" s="12">
        <f>+'DCA-Anexo I-C'!C865+'DCA-Anexo I-C'!C866+'DCA-Anexo I-C'!C867+'DCA-Anexo I-C'!C868</f>
        <v>0</v>
      </c>
      <c r="D864" s="12">
        <f>+'DCA-Anexo I-C'!D865+'DCA-Anexo I-C'!D866+'DCA-Anexo I-C'!D867+'DCA-Anexo I-C'!D868</f>
        <v>0</v>
      </c>
      <c r="E864" s="12">
        <f>+'DCA-Anexo I-C'!E865+'DCA-Anexo I-C'!E866+'DCA-Anexo I-C'!E867+'DCA-Anexo I-C'!E868</f>
        <v>0</v>
      </c>
    </row>
    <row r="865" spans="1:5" ht="12.75" customHeight="1">
      <c r="A865" s="3" t="s">
        <v>1940</v>
      </c>
      <c r="B865" s="11"/>
      <c r="C865" s="11"/>
      <c r="D865" s="11"/>
      <c r="E865" s="11"/>
    </row>
    <row r="866" spans="1:5" ht="25.5" customHeight="1">
      <c r="A866" s="4" t="s">
        <v>1941</v>
      </c>
      <c r="B866" s="12"/>
      <c r="C866" s="12"/>
      <c r="D866" s="12"/>
      <c r="E866" s="12"/>
    </row>
    <row r="867" spans="1:5" ht="25.5" customHeight="1">
      <c r="A867" s="3" t="s">
        <v>1942</v>
      </c>
      <c r="B867" s="11"/>
      <c r="C867" s="11"/>
      <c r="D867" s="11"/>
      <c r="E867" s="11"/>
    </row>
    <row r="868" spans="1:5" ht="25.5" customHeight="1">
      <c r="A868" s="4" t="s">
        <v>1943</v>
      </c>
      <c r="B868" s="12"/>
      <c r="C868" s="12"/>
      <c r="D868" s="12"/>
      <c r="E868" s="12"/>
    </row>
    <row r="869" spans="1:5" ht="12.75" customHeight="1">
      <c r="A869" s="3" t="s">
        <v>1944</v>
      </c>
      <c r="B869" s="11">
        <f>+'DCA-Anexo I-C'!B870+'DCA-Anexo I-C'!B871+'DCA-Anexo I-C'!B872</f>
        <v>0</v>
      </c>
      <c r="C869" s="11">
        <f>+'DCA-Anexo I-C'!C870+'DCA-Anexo I-C'!C871+'DCA-Anexo I-C'!C872</f>
        <v>0</v>
      </c>
      <c r="D869" s="11">
        <f>+'DCA-Anexo I-C'!D870+'DCA-Anexo I-C'!D871+'DCA-Anexo I-C'!D872</f>
        <v>0</v>
      </c>
      <c r="E869" s="11">
        <f>+'DCA-Anexo I-C'!E870+'DCA-Anexo I-C'!E871+'DCA-Anexo I-C'!E872</f>
        <v>0</v>
      </c>
    </row>
    <row r="870" spans="1:5" ht="25.5" customHeight="1">
      <c r="A870" s="4" t="s">
        <v>1945</v>
      </c>
      <c r="B870" s="12"/>
      <c r="C870" s="12"/>
      <c r="D870" s="12"/>
      <c r="E870" s="12"/>
    </row>
    <row r="871" spans="1:5" ht="25.5" customHeight="1">
      <c r="A871" s="3" t="s">
        <v>1946</v>
      </c>
      <c r="B871" s="11"/>
      <c r="C871" s="11"/>
      <c r="D871" s="11"/>
      <c r="E871" s="11"/>
    </row>
    <row r="872" spans="1:5" ht="25.5" customHeight="1">
      <c r="A872" s="4" t="s">
        <v>1947</v>
      </c>
      <c r="B872" s="12"/>
      <c r="C872" s="12"/>
      <c r="D872" s="12"/>
      <c r="E872" s="12"/>
    </row>
    <row r="873" spans="1:5" ht="25.5" customHeight="1">
      <c r="A873" s="3" t="s">
        <v>1948</v>
      </c>
      <c r="B873" s="11"/>
      <c r="C873" s="11"/>
      <c r="D873" s="11"/>
      <c r="E873" s="11"/>
    </row>
    <row r="874" spans="1:5" ht="25.5" customHeight="1">
      <c r="A874" s="4" t="s">
        <v>1949</v>
      </c>
      <c r="B874" s="12">
        <f>+'DCA-Anexo I-C'!B875+'DCA-Anexo I-C'!B876+'DCA-Anexo I-C'!B877+'DCA-Anexo I-C'!B878+'DCA-Anexo I-C'!B879+'DCA-Anexo I-C'!B880</f>
        <v>0</v>
      </c>
      <c r="C874" s="12">
        <f>+'DCA-Anexo I-C'!C875+'DCA-Anexo I-C'!C876+'DCA-Anexo I-C'!C877+'DCA-Anexo I-C'!C878+'DCA-Anexo I-C'!C879+'DCA-Anexo I-C'!C880</f>
        <v>0</v>
      </c>
      <c r="D874" s="12">
        <f>+'DCA-Anexo I-C'!D875+'DCA-Anexo I-C'!D876+'DCA-Anexo I-C'!D877+'DCA-Anexo I-C'!D878+'DCA-Anexo I-C'!D879+'DCA-Anexo I-C'!D880</f>
        <v>0</v>
      </c>
      <c r="E874" s="12">
        <f>+'DCA-Anexo I-C'!E875+'DCA-Anexo I-C'!E876+'DCA-Anexo I-C'!E877+'DCA-Anexo I-C'!E878+'DCA-Anexo I-C'!E879+'DCA-Anexo I-C'!E880</f>
        <v>0</v>
      </c>
    </row>
    <row r="875" spans="1:5" ht="12.75" customHeight="1">
      <c r="A875" s="3" t="s">
        <v>1950</v>
      </c>
      <c r="B875" s="11"/>
      <c r="C875" s="11"/>
      <c r="D875" s="11"/>
      <c r="E875" s="11"/>
    </row>
    <row r="876" spans="1:5" ht="12.75" customHeight="1">
      <c r="A876" s="4" t="s">
        <v>1951</v>
      </c>
      <c r="B876" s="12"/>
      <c r="C876" s="12"/>
      <c r="D876" s="12"/>
      <c r="E876" s="12"/>
    </row>
    <row r="877" spans="1:5" ht="12.75" customHeight="1">
      <c r="A877" s="3" t="s">
        <v>1952</v>
      </c>
      <c r="B877" s="11"/>
      <c r="C877" s="11"/>
      <c r="D877" s="11"/>
      <c r="E877" s="11"/>
    </row>
    <row r="878" spans="1:5" ht="25.5" customHeight="1">
      <c r="A878" s="4" t="s">
        <v>1953</v>
      </c>
      <c r="B878" s="12"/>
      <c r="C878" s="12"/>
      <c r="D878" s="12"/>
      <c r="E878" s="12"/>
    </row>
    <row r="879" spans="1:5" ht="25.5" customHeight="1">
      <c r="A879" s="3" t="s">
        <v>1954</v>
      </c>
      <c r="B879" s="11"/>
      <c r="C879" s="11"/>
      <c r="D879" s="11"/>
      <c r="E879" s="11"/>
    </row>
    <row r="880" spans="1:5" ht="25.5" customHeight="1">
      <c r="A880" s="4" t="s">
        <v>1955</v>
      </c>
      <c r="B880" s="12"/>
      <c r="C880" s="12"/>
      <c r="D880" s="12"/>
      <c r="E880" s="12"/>
    </row>
    <row r="881" spans="1:5" ht="25.5" customHeight="1">
      <c r="A881" s="3" t="s">
        <v>1956</v>
      </c>
      <c r="B881" s="11">
        <f>+'DCA-Anexo I-C'!B882+'DCA-Anexo I-C'!B883+'DCA-Anexo I-C'!B884</f>
        <v>0</v>
      </c>
      <c r="C881" s="11">
        <f>+'DCA-Anexo I-C'!C882+'DCA-Anexo I-C'!C883+'DCA-Anexo I-C'!C884</f>
        <v>0</v>
      </c>
      <c r="D881" s="11">
        <f>+'DCA-Anexo I-C'!D882+'DCA-Anexo I-C'!D883+'DCA-Anexo I-C'!D884</f>
        <v>0</v>
      </c>
      <c r="E881" s="11">
        <f>+'DCA-Anexo I-C'!E882+'DCA-Anexo I-C'!E883+'DCA-Anexo I-C'!E884</f>
        <v>0</v>
      </c>
    </row>
    <row r="882" spans="1:5" ht="25.5" customHeight="1">
      <c r="A882" s="4" t="s">
        <v>1957</v>
      </c>
      <c r="B882" s="12"/>
      <c r="C882" s="12"/>
      <c r="D882" s="12"/>
      <c r="E882" s="12"/>
    </row>
    <row r="883" spans="1:5" ht="25.5" customHeight="1">
      <c r="A883" s="3" t="s">
        <v>1958</v>
      </c>
      <c r="B883" s="11"/>
      <c r="C883" s="11"/>
      <c r="D883" s="11"/>
      <c r="E883" s="11"/>
    </row>
    <row r="884" spans="1:5" ht="25.5" customHeight="1">
      <c r="A884" s="4" t="s">
        <v>1959</v>
      </c>
      <c r="B884" s="12"/>
      <c r="C884" s="12"/>
      <c r="D884" s="12"/>
      <c r="E884" s="12"/>
    </row>
    <row r="885" spans="1:5" ht="25.5" customHeight="1">
      <c r="A885" s="3" t="s">
        <v>1960</v>
      </c>
      <c r="B885" s="11"/>
      <c r="C885" s="11"/>
      <c r="D885" s="11"/>
      <c r="E885" s="11"/>
    </row>
    <row r="886" spans="1:5" ht="25.5" customHeight="1">
      <c r="A886" s="4" t="s">
        <v>1961</v>
      </c>
      <c r="B886" s="12">
        <f>+'DCA-Anexo I-C'!B887+'DCA-Anexo I-C'!B888+'DCA-Anexo I-C'!B889</f>
        <v>0</v>
      </c>
      <c r="C886" s="12">
        <f>+'DCA-Anexo I-C'!C887+'DCA-Anexo I-C'!C888+'DCA-Anexo I-C'!C889</f>
        <v>0</v>
      </c>
      <c r="D886" s="12">
        <f>+'DCA-Anexo I-C'!D887+'DCA-Anexo I-C'!D888+'DCA-Anexo I-C'!D889</f>
        <v>0</v>
      </c>
      <c r="E886" s="12">
        <f>+'DCA-Anexo I-C'!E887+'DCA-Anexo I-C'!E888+'DCA-Anexo I-C'!E889</f>
        <v>0</v>
      </c>
    </row>
    <row r="887" spans="1:5" ht="25.5" customHeight="1">
      <c r="A887" s="3" t="s">
        <v>1962</v>
      </c>
      <c r="B887" s="11"/>
      <c r="C887" s="11"/>
      <c r="D887" s="11"/>
      <c r="E887" s="11"/>
    </row>
    <row r="888" spans="1:5" ht="25.5" customHeight="1">
      <c r="A888" s="4" t="s">
        <v>1963</v>
      </c>
      <c r="B888" s="12"/>
      <c r="C888" s="12"/>
      <c r="D888" s="12"/>
      <c r="E888" s="12"/>
    </row>
    <row r="889" spans="1:5" ht="25.5" customHeight="1">
      <c r="A889" s="3" t="s">
        <v>1964</v>
      </c>
      <c r="B889" s="11"/>
      <c r="C889" s="11"/>
      <c r="D889" s="11"/>
      <c r="E889" s="11"/>
    </row>
    <row r="890" spans="1:5" ht="25.5" customHeight="1">
      <c r="A890" s="4" t="s">
        <v>1965</v>
      </c>
      <c r="B890" s="12">
        <f>+'DCA-Anexo I-C'!B891+'DCA-Anexo I-C'!B894+'DCA-Anexo I-C'!B897+'DCA-Anexo I-C'!B900+'DCA-Anexo I-C'!B903</f>
        <v>0</v>
      </c>
      <c r="C890" s="12">
        <f>+'DCA-Anexo I-C'!C891+'DCA-Anexo I-C'!C894+'DCA-Anexo I-C'!C897+'DCA-Anexo I-C'!C900+'DCA-Anexo I-C'!C903</f>
        <v>0</v>
      </c>
      <c r="D890" s="12">
        <f>+'DCA-Anexo I-C'!D891+'DCA-Anexo I-C'!D894+'DCA-Anexo I-C'!D897+'DCA-Anexo I-C'!D900+'DCA-Anexo I-C'!D903</f>
        <v>0</v>
      </c>
      <c r="E890" s="12">
        <f>+'DCA-Anexo I-C'!E891+'DCA-Anexo I-C'!E894+'DCA-Anexo I-C'!E897+'DCA-Anexo I-C'!E900+'DCA-Anexo I-C'!E903</f>
        <v>0</v>
      </c>
    </row>
    <row r="891" spans="1:5" ht="25.5" customHeight="1">
      <c r="A891" s="3" t="s">
        <v>1966</v>
      </c>
      <c r="B891" s="11">
        <f>+'DCA-Anexo I-C'!B892+'DCA-Anexo I-C'!B893</f>
        <v>0</v>
      </c>
      <c r="C891" s="11">
        <f>+'DCA-Anexo I-C'!C892+'DCA-Anexo I-C'!C893</f>
        <v>0</v>
      </c>
      <c r="D891" s="11">
        <f>+'DCA-Anexo I-C'!D892+'DCA-Anexo I-C'!D893</f>
        <v>0</v>
      </c>
      <c r="E891" s="11">
        <f>+'DCA-Anexo I-C'!E892+'DCA-Anexo I-C'!E893</f>
        <v>0</v>
      </c>
    </row>
    <row r="892" spans="1:5" ht="25.5" customHeight="1">
      <c r="A892" s="4" t="s">
        <v>1967</v>
      </c>
      <c r="B892" s="12"/>
      <c r="C892" s="12"/>
      <c r="D892" s="12"/>
      <c r="E892" s="12"/>
    </row>
    <row r="893" spans="1:5" ht="25.5" customHeight="1">
      <c r="A893" s="3" t="s">
        <v>1968</v>
      </c>
      <c r="B893" s="11"/>
      <c r="C893" s="11"/>
      <c r="D893" s="11"/>
      <c r="E893" s="11"/>
    </row>
    <row r="894" spans="1:5" ht="25.5" customHeight="1">
      <c r="A894" s="4" t="s">
        <v>1969</v>
      </c>
      <c r="B894" s="12">
        <f>+'DCA-Anexo I-C'!B895+'DCA-Anexo I-C'!B896</f>
        <v>0</v>
      </c>
      <c r="C894" s="12">
        <f>+'DCA-Anexo I-C'!C895+'DCA-Anexo I-C'!C896</f>
        <v>0</v>
      </c>
      <c r="D894" s="12">
        <f>+'DCA-Anexo I-C'!D895+'DCA-Anexo I-C'!D896</f>
        <v>0</v>
      </c>
      <c r="E894" s="12">
        <f>+'DCA-Anexo I-C'!E895+'DCA-Anexo I-C'!E896</f>
        <v>0</v>
      </c>
    </row>
    <row r="895" spans="1:5" ht="25.5" customHeight="1">
      <c r="A895" s="3" t="s">
        <v>1970</v>
      </c>
      <c r="B895" s="11"/>
      <c r="C895" s="11"/>
      <c r="D895" s="11"/>
      <c r="E895" s="11"/>
    </row>
    <row r="896" spans="1:5" ht="25.5" customHeight="1">
      <c r="A896" s="4" t="s">
        <v>1971</v>
      </c>
      <c r="B896" s="12"/>
      <c r="C896" s="12"/>
      <c r="D896" s="12"/>
      <c r="E896" s="12"/>
    </row>
    <row r="897" spans="1:5" ht="25.5" customHeight="1">
      <c r="A897" s="3" t="s">
        <v>1972</v>
      </c>
      <c r="B897" s="11">
        <f>+'DCA-Anexo I-C'!B898+'DCA-Anexo I-C'!B899</f>
        <v>0</v>
      </c>
      <c r="C897" s="11">
        <f>+'DCA-Anexo I-C'!C898+'DCA-Anexo I-C'!C899</f>
        <v>0</v>
      </c>
      <c r="D897" s="11">
        <f>+'DCA-Anexo I-C'!D898+'DCA-Anexo I-C'!D899</f>
        <v>0</v>
      </c>
      <c r="E897" s="11">
        <f>+'DCA-Anexo I-C'!E898+'DCA-Anexo I-C'!E899</f>
        <v>0</v>
      </c>
    </row>
    <row r="898" spans="1:5" ht="25.5" customHeight="1">
      <c r="A898" s="4" t="s">
        <v>1973</v>
      </c>
      <c r="B898" s="12"/>
      <c r="C898" s="12"/>
      <c r="D898" s="12"/>
      <c r="E898" s="12"/>
    </row>
    <row r="899" spans="1:5" ht="25.5" customHeight="1">
      <c r="A899" s="3" t="s">
        <v>1974</v>
      </c>
      <c r="B899" s="11"/>
      <c r="C899" s="11"/>
      <c r="D899" s="11"/>
      <c r="E899" s="11"/>
    </row>
    <row r="900" spans="1:5" ht="25.5" customHeight="1">
      <c r="A900" s="4" t="s">
        <v>1975</v>
      </c>
      <c r="B900" s="12">
        <f>+'DCA-Anexo I-C'!B901+'DCA-Anexo I-C'!B902</f>
        <v>0</v>
      </c>
      <c r="C900" s="12">
        <f>+'DCA-Anexo I-C'!C901+'DCA-Anexo I-C'!C902</f>
        <v>0</v>
      </c>
      <c r="D900" s="12">
        <f>+'DCA-Anexo I-C'!D901+'DCA-Anexo I-C'!D902</f>
        <v>0</v>
      </c>
      <c r="E900" s="12">
        <f>+'DCA-Anexo I-C'!E901+'DCA-Anexo I-C'!E902</f>
        <v>0</v>
      </c>
    </row>
    <row r="901" spans="1:5" ht="25.5" customHeight="1">
      <c r="A901" s="3" t="s">
        <v>1976</v>
      </c>
      <c r="B901" s="11"/>
      <c r="C901" s="11"/>
      <c r="D901" s="11"/>
      <c r="E901" s="11"/>
    </row>
    <row r="902" spans="1:5" ht="25.5" customHeight="1">
      <c r="A902" s="4" t="s">
        <v>1977</v>
      </c>
      <c r="B902" s="12"/>
      <c r="C902" s="12"/>
      <c r="D902" s="12"/>
      <c r="E902" s="12"/>
    </row>
    <row r="903" spans="1:5" ht="25.5" customHeight="1">
      <c r="A903" s="3" t="s">
        <v>1978</v>
      </c>
      <c r="B903" s="11">
        <f>+'DCA-Anexo I-C'!B904+'DCA-Anexo I-C'!B905</f>
        <v>0</v>
      </c>
      <c r="C903" s="11">
        <f>+'DCA-Anexo I-C'!C904+'DCA-Anexo I-C'!C905</f>
        <v>0</v>
      </c>
      <c r="D903" s="11">
        <f>+'DCA-Anexo I-C'!D904+'DCA-Anexo I-C'!D905</f>
        <v>0</v>
      </c>
      <c r="E903" s="11">
        <f>+'DCA-Anexo I-C'!E904+'DCA-Anexo I-C'!E905</f>
        <v>0</v>
      </c>
    </row>
    <row r="904" spans="1:5" ht="25.5" customHeight="1">
      <c r="A904" s="4" t="s">
        <v>1979</v>
      </c>
      <c r="B904" s="12"/>
      <c r="C904" s="12"/>
      <c r="D904" s="12"/>
      <c r="E904" s="12"/>
    </row>
    <row r="905" spans="1:5" ht="25.5" customHeight="1">
      <c r="A905" s="3" t="s">
        <v>1980</v>
      </c>
      <c r="B905" s="11"/>
      <c r="C905" s="11"/>
      <c r="D905" s="11"/>
      <c r="E905" s="11"/>
    </row>
    <row r="906" spans="1:5" ht="25.5" customHeight="1">
      <c r="A906" s="4" t="s">
        <v>1981</v>
      </c>
      <c r="B906" s="12"/>
      <c r="C906" s="12"/>
      <c r="D906" s="12"/>
      <c r="E906" s="12"/>
    </row>
    <row r="907" spans="1:5" ht="12.75" customHeight="1">
      <c r="A907" s="3" t="s">
        <v>1982</v>
      </c>
      <c r="B907" s="11"/>
      <c r="C907" s="11"/>
      <c r="D907" s="11"/>
      <c r="E907" s="11"/>
    </row>
    <row r="908" spans="1:5" ht="12.75" customHeight="1">
      <c r="A908" s="4" t="s">
        <v>1983</v>
      </c>
      <c r="B908" s="12"/>
      <c r="C908" s="12"/>
      <c r="D908" s="12"/>
      <c r="E908" s="12"/>
    </row>
    <row r="909" spans="1:5" ht="25.5" customHeight="1">
      <c r="A909" s="3" t="s">
        <v>1984</v>
      </c>
      <c r="B909" s="11"/>
      <c r="C909" s="11"/>
      <c r="D909" s="11"/>
      <c r="E909" s="11"/>
    </row>
    <row r="910" spans="1:5" ht="25.5" customHeight="1">
      <c r="A910" s="4" t="s">
        <v>1985</v>
      </c>
      <c r="B910" s="12"/>
      <c r="C910" s="12"/>
      <c r="D910" s="12"/>
      <c r="E910" s="12"/>
    </row>
    <row r="911" spans="1:5" ht="12.75" customHeight="1">
      <c r="A911" s="3" t="s">
        <v>1986</v>
      </c>
      <c r="B911" s="11">
        <f>+'DCA-Anexo I-C'!B912+'DCA-Anexo I-C'!B917+'DCA-Anexo I-C'!B922+'DCA-Anexo I-C'!B942+'DCA-Anexo I-C'!B971+'DCA-Anexo I-C'!B977+'DCA-Anexo I-C'!B980</f>
        <v>0</v>
      </c>
      <c r="C911" s="11">
        <f>+'DCA-Anexo I-C'!C912+'DCA-Anexo I-C'!C917+'DCA-Anexo I-C'!C922+'DCA-Anexo I-C'!C942+'DCA-Anexo I-C'!C971+'DCA-Anexo I-C'!C977+'DCA-Anexo I-C'!C980</f>
        <v>0</v>
      </c>
      <c r="D911" s="11">
        <f>+'DCA-Anexo I-C'!D912+'DCA-Anexo I-C'!D917+'DCA-Anexo I-C'!D922+'DCA-Anexo I-C'!D942+'DCA-Anexo I-C'!D971+'DCA-Anexo I-C'!D977+'DCA-Anexo I-C'!D980</f>
        <v>0</v>
      </c>
      <c r="E911" s="11">
        <f>+'DCA-Anexo I-C'!E912+'DCA-Anexo I-C'!E917+'DCA-Anexo I-C'!E922+'DCA-Anexo I-C'!E942+'DCA-Anexo I-C'!E971+'DCA-Anexo I-C'!E977+'DCA-Anexo I-C'!E980</f>
        <v>0</v>
      </c>
    </row>
    <row r="912" spans="1:5" ht="12.75" customHeight="1">
      <c r="A912" s="4" t="s">
        <v>1987</v>
      </c>
      <c r="B912" s="12">
        <f>+'DCA-Anexo I-C'!B913</f>
        <v>0</v>
      </c>
      <c r="C912" s="12">
        <f>+'DCA-Anexo I-C'!C913</f>
        <v>0</v>
      </c>
      <c r="D912" s="12">
        <f>+'DCA-Anexo I-C'!D913</f>
        <v>0</v>
      </c>
      <c r="E912" s="12">
        <f>+'DCA-Anexo I-C'!E913</f>
        <v>0</v>
      </c>
    </row>
    <row r="913" spans="1:5" ht="12.75" customHeight="1">
      <c r="A913" s="3" t="s">
        <v>1988</v>
      </c>
      <c r="B913" s="11">
        <f>+'DCA-Anexo I-C'!B914+'DCA-Anexo I-C'!B915+'DCA-Anexo I-C'!B916</f>
        <v>0</v>
      </c>
      <c r="C913" s="11">
        <f>+'DCA-Anexo I-C'!C914+'DCA-Anexo I-C'!C915+'DCA-Anexo I-C'!C916</f>
        <v>0</v>
      </c>
      <c r="D913" s="11">
        <f>+'DCA-Anexo I-C'!D914+'DCA-Anexo I-C'!D915+'DCA-Anexo I-C'!D916</f>
        <v>0</v>
      </c>
      <c r="E913" s="11">
        <f>+'DCA-Anexo I-C'!E914+'DCA-Anexo I-C'!E915+'DCA-Anexo I-C'!E916</f>
        <v>0</v>
      </c>
    </row>
    <row r="914" spans="1:5" ht="25.5" customHeight="1">
      <c r="A914" s="4" t="s">
        <v>1989</v>
      </c>
      <c r="B914" s="12"/>
      <c r="C914" s="12"/>
      <c r="D914" s="12"/>
      <c r="E914" s="12"/>
    </row>
    <row r="915" spans="1:5" ht="25.5" customHeight="1">
      <c r="A915" s="3" t="s">
        <v>1990</v>
      </c>
      <c r="B915" s="11"/>
      <c r="C915" s="11"/>
      <c r="D915" s="11"/>
      <c r="E915" s="11"/>
    </row>
    <row r="916" spans="1:5" ht="12.75" customHeight="1">
      <c r="A916" s="4" t="s">
        <v>1991</v>
      </c>
      <c r="B916" s="12"/>
      <c r="C916" s="12"/>
      <c r="D916" s="12"/>
      <c r="E916" s="12"/>
    </row>
    <row r="917" spans="1:5" ht="12.75" customHeight="1">
      <c r="A917" s="3" t="s">
        <v>1992</v>
      </c>
      <c r="B917" s="11">
        <f>+'DCA-Anexo I-C'!B918+'DCA-Anexo I-C'!B919+'DCA-Anexo I-C'!B920+'DCA-Anexo I-C'!B921</f>
        <v>0</v>
      </c>
      <c r="C917" s="11">
        <f>+'DCA-Anexo I-C'!C918+'DCA-Anexo I-C'!C919+'DCA-Anexo I-C'!C920+'DCA-Anexo I-C'!C921</f>
        <v>0</v>
      </c>
      <c r="D917" s="11">
        <f>+'DCA-Anexo I-C'!D918+'DCA-Anexo I-C'!D919+'DCA-Anexo I-C'!D920+'DCA-Anexo I-C'!D921</f>
        <v>0</v>
      </c>
      <c r="E917" s="11">
        <f>+'DCA-Anexo I-C'!E918+'DCA-Anexo I-C'!E919+'DCA-Anexo I-C'!E920+'DCA-Anexo I-C'!E921</f>
        <v>0</v>
      </c>
    </row>
    <row r="918" spans="1:5" ht="12.75" customHeight="1">
      <c r="A918" s="4" t="s">
        <v>1993</v>
      </c>
      <c r="B918" s="12"/>
      <c r="C918" s="12"/>
      <c r="D918" s="12"/>
      <c r="E918" s="12"/>
    </row>
    <row r="919" spans="1:5" ht="12.75" customHeight="1">
      <c r="A919" s="3" t="s">
        <v>1994</v>
      </c>
      <c r="B919" s="11"/>
      <c r="C919" s="11"/>
      <c r="D919" s="11"/>
      <c r="E919" s="11"/>
    </row>
    <row r="920" spans="1:5" ht="12.75" customHeight="1">
      <c r="A920" s="4" t="s">
        <v>1995</v>
      </c>
      <c r="B920" s="12"/>
      <c r="C920" s="12"/>
      <c r="D920" s="12"/>
      <c r="E920" s="12"/>
    </row>
    <row r="921" spans="1:5" ht="12.75" customHeight="1">
      <c r="A921" s="3" t="s">
        <v>1996</v>
      </c>
      <c r="B921" s="11"/>
      <c r="C921" s="11"/>
      <c r="D921" s="11"/>
      <c r="E921" s="11"/>
    </row>
    <row r="922" spans="1:5" ht="25.5" customHeight="1">
      <c r="A922" s="4" t="s">
        <v>1997</v>
      </c>
      <c r="B922" s="12">
        <f>+'DCA-Anexo I-C'!B923+'DCA-Anexo I-C'!B929+'DCA-Anexo I-C'!B934+'DCA-Anexo I-C'!B935+'DCA-Anexo I-C'!B936+'DCA-Anexo I-C'!B941</f>
        <v>0</v>
      </c>
      <c r="C922" s="12">
        <f>+'DCA-Anexo I-C'!C923+'DCA-Anexo I-C'!C929+'DCA-Anexo I-C'!C934+'DCA-Anexo I-C'!C935+'DCA-Anexo I-C'!C936+'DCA-Anexo I-C'!C941</f>
        <v>0</v>
      </c>
      <c r="D922" s="12">
        <f>+'DCA-Anexo I-C'!D923+'DCA-Anexo I-C'!D929+'DCA-Anexo I-C'!D934+'DCA-Anexo I-C'!D935+'DCA-Anexo I-C'!D936+'DCA-Anexo I-C'!D941</f>
        <v>0</v>
      </c>
      <c r="E922" s="12">
        <f>+'DCA-Anexo I-C'!E923+'DCA-Anexo I-C'!E929+'DCA-Anexo I-C'!E934+'DCA-Anexo I-C'!E935+'DCA-Anexo I-C'!E936+'DCA-Anexo I-C'!E941</f>
        <v>0</v>
      </c>
    </row>
    <row r="923" spans="1:5" ht="12.75" customHeight="1">
      <c r="A923" s="3" t="s">
        <v>1998</v>
      </c>
      <c r="B923" s="11">
        <f>+'DCA-Anexo I-C'!B924+'DCA-Anexo I-C'!B925+'DCA-Anexo I-C'!B926+'DCA-Anexo I-C'!B927+'DCA-Anexo I-C'!B928</f>
        <v>0</v>
      </c>
      <c r="C923" s="11">
        <f>+'DCA-Anexo I-C'!C924+'DCA-Anexo I-C'!C925+'DCA-Anexo I-C'!C926+'DCA-Anexo I-C'!C927+'DCA-Anexo I-C'!C928</f>
        <v>0</v>
      </c>
      <c r="D923" s="11">
        <f>+'DCA-Anexo I-C'!D924+'DCA-Anexo I-C'!D925+'DCA-Anexo I-C'!D926+'DCA-Anexo I-C'!D927+'DCA-Anexo I-C'!D928</f>
        <v>0</v>
      </c>
      <c r="E923" s="11">
        <f>+'DCA-Anexo I-C'!E924+'DCA-Anexo I-C'!E925+'DCA-Anexo I-C'!E926+'DCA-Anexo I-C'!E927+'DCA-Anexo I-C'!E928</f>
        <v>0</v>
      </c>
    </row>
    <row r="924" spans="1:5" ht="25.5" customHeight="1">
      <c r="A924" s="4" t="s">
        <v>1999</v>
      </c>
      <c r="B924" s="12"/>
      <c r="C924" s="12"/>
      <c r="D924" s="12"/>
      <c r="E924" s="12"/>
    </row>
    <row r="925" spans="1:5" ht="25.5" customHeight="1">
      <c r="A925" s="3" t="s">
        <v>2000</v>
      </c>
      <c r="B925" s="11"/>
      <c r="C925" s="11"/>
      <c r="D925" s="11"/>
      <c r="E925" s="11"/>
    </row>
    <row r="926" spans="1:5" ht="25.5" customHeight="1">
      <c r="A926" s="4" t="s">
        <v>2001</v>
      </c>
      <c r="B926" s="12"/>
      <c r="C926" s="12"/>
      <c r="D926" s="12"/>
      <c r="E926" s="12"/>
    </row>
    <row r="927" spans="1:5" ht="25.5" customHeight="1">
      <c r="A927" s="3" t="s">
        <v>2002</v>
      </c>
      <c r="B927" s="11"/>
      <c r="C927" s="11"/>
      <c r="D927" s="11"/>
      <c r="E927" s="11"/>
    </row>
    <row r="928" spans="1:5" ht="25.5" customHeight="1">
      <c r="A928" s="4" t="s">
        <v>2003</v>
      </c>
      <c r="B928" s="12"/>
      <c r="C928" s="12"/>
      <c r="D928" s="12"/>
      <c r="E928" s="12"/>
    </row>
    <row r="929" spans="1:5" ht="12.75" customHeight="1">
      <c r="A929" s="3" t="s">
        <v>2004</v>
      </c>
      <c r="B929" s="11">
        <f>+'DCA-Anexo I-C'!B930+'DCA-Anexo I-C'!B931+'DCA-Anexo I-C'!B932+'DCA-Anexo I-C'!B933</f>
        <v>0</v>
      </c>
      <c r="C929" s="11">
        <f>+'DCA-Anexo I-C'!C930+'DCA-Anexo I-C'!C931+'DCA-Anexo I-C'!C932+'DCA-Anexo I-C'!C933</f>
        <v>0</v>
      </c>
      <c r="D929" s="11">
        <f>+'DCA-Anexo I-C'!D930+'DCA-Anexo I-C'!D931+'DCA-Anexo I-C'!D932+'DCA-Anexo I-C'!D933</f>
        <v>0</v>
      </c>
      <c r="E929" s="11">
        <f>+'DCA-Anexo I-C'!E930+'DCA-Anexo I-C'!E931+'DCA-Anexo I-C'!E932+'DCA-Anexo I-C'!E933</f>
        <v>0</v>
      </c>
    </row>
    <row r="930" spans="1:5" ht="25.5" customHeight="1">
      <c r="A930" s="4" t="s">
        <v>2005</v>
      </c>
      <c r="B930" s="12"/>
      <c r="C930" s="12"/>
      <c r="D930" s="12"/>
      <c r="E930" s="12"/>
    </row>
    <row r="931" spans="1:5" ht="25.5" customHeight="1">
      <c r="A931" s="3" t="s">
        <v>2006</v>
      </c>
      <c r="B931" s="11"/>
      <c r="C931" s="11"/>
      <c r="D931" s="11"/>
      <c r="E931" s="11"/>
    </row>
    <row r="932" spans="1:5" ht="25.5" customHeight="1">
      <c r="A932" s="4" t="s">
        <v>2007</v>
      </c>
      <c r="B932" s="12"/>
      <c r="C932" s="12"/>
      <c r="D932" s="12"/>
      <c r="E932" s="12"/>
    </row>
    <row r="933" spans="1:5" ht="25.5" customHeight="1">
      <c r="A933" s="3" t="s">
        <v>2008</v>
      </c>
      <c r="B933" s="11"/>
      <c r="C933" s="11"/>
      <c r="D933" s="11"/>
      <c r="E933" s="11"/>
    </row>
    <row r="934" spans="1:5" ht="12.75" customHeight="1">
      <c r="A934" s="4" t="s">
        <v>2009</v>
      </c>
      <c r="B934" s="12"/>
      <c r="C934" s="12"/>
      <c r="D934" s="12"/>
      <c r="E934" s="12"/>
    </row>
    <row r="935" spans="1:5" ht="25.5" customHeight="1">
      <c r="A935" s="3" t="s">
        <v>2010</v>
      </c>
      <c r="B935" s="11"/>
      <c r="C935" s="11"/>
      <c r="D935" s="11"/>
      <c r="E935" s="11"/>
    </row>
    <row r="936" spans="1:5" ht="12.75" customHeight="1">
      <c r="A936" s="4" t="s">
        <v>2011</v>
      </c>
      <c r="B936" s="12">
        <f>+'DCA-Anexo I-C'!B937+'DCA-Anexo I-C'!B938+'DCA-Anexo I-C'!B939+'DCA-Anexo I-C'!B940</f>
        <v>0</v>
      </c>
      <c r="C936" s="12">
        <f>+'DCA-Anexo I-C'!C937+'DCA-Anexo I-C'!C938+'DCA-Anexo I-C'!C939+'DCA-Anexo I-C'!C940</f>
        <v>0</v>
      </c>
      <c r="D936" s="12">
        <f>+'DCA-Anexo I-C'!D937+'DCA-Anexo I-C'!D938+'DCA-Anexo I-C'!D939+'DCA-Anexo I-C'!D940</f>
        <v>0</v>
      </c>
      <c r="E936" s="12">
        <f>+'DCA-Anexo I-C'!E937+'DCA-Anexo I-C'!E938+'DCA-Anexo I-C'!E939+'DCA-Anexo I-C'!E940</f>
        <v>0</v>
      </c>
    </row>
    <row r="937" spans="1:5" ht="25.5" customHeight="1">
      <c r="A937" s="3" t="s">
        <v>2012</v>
      </c>
      <c r="B937" s="11"/>
      <c r="C937" s="11"/>
      <c r="D937" s="11"/>
      <c r="E937" s="11"/>
    </row>
    <row r="938" spans="1:5" ht="12.75" customHeight="1">
      <c r="A938" s="4" t="s">
        <v>2013</v>
      </c>
      <c r="B938" s="12"/>
      <c r="C938" s="12"/>
      <c r="D938" s="12"/>
      <c r="E938" s="12"/>
    </row>
    <row r="939" spans="1:5" ht="25.5" customHeight="1">
      <c r="A939" s="3" t="s">
        <v>2014</v>
      </c>
      <c r="B939" s="11"/>
      <c r="C939" s="11"/>
      <c r="D939" s="11"/>
      <c r="E939" s="11"/>
    </row>
    <row r="940" spans="1:5" ht="25.5" customHeight="1">
      <c r="A940" s="4" t="s">
        <v>2015</v>
      </c>
      <c r="B940" s="12"/>
      <c r="C940" s="12"/>
      <c r="D940" s="12"/>
      <c r="E940" s="12"/>
    </row>
    <row r="941" spans="1:5" ht="12.75" customHeight="1">
      <c r="A941" s="3" t="s">
        <v>2016</v>
      </c>
      <c r="B941" s="11"/>
      <c r="C941" s="11"/>
      <c r="D941" s="11"/>
      <c r="E941" s="11"/>
    </row>
    <row r="942" spans="1:5" ht="12.75" customHeight="1">
      <c r="A942" s="4" t="s">
        <v>2017</v>
      </c>
      <c r="B942" s="12">
        <f>+'DCA-Anexo I-C'!B943+'DCA-Anexo I-C'!B949+'DCA-Anexo I-C'!B952+'DCA-Anexo I-C'!B955+'DCA-Anexo I-C'!B958+'DCA-Anexo I-C'!B962+'DCA-Anexo I-C'!B968</f>
        <v>0</v>
      </c>
      <c r="C942" s="12">
        <f>+'DCA-Anexo I-C'!C943+'DCA-Anexo I-C'!C949+'DCA-Anexo I-C'!C952+'DCA-Anexo I-C'!C955+'DCA-Anexo I-C'!C958+'DCA-Anexo I-C'!C962+'DCA-Anexo I-C'!C968</f>
        <v>0</v>
      </c>
      <c r="D942" s="12">
        <f>+'DCA-Anexo I-C'!D943+'DCA-Anexo I-C'!D949+'DCA-Anexo I-C'!D952+'DCA-Anexo I-C'!D955+'DCA-Anexo I-C'!D958+'DCA-Anexo I-C'!D962+'DCA-Anexo I-C'!D968</f>
        <v>0</v>
      </c>
      <c r="E942" s="12">
        <f>+'DCA-Anexo I-C'!E943+'DCA-Anexo I-C'!E949+'DCA-Anexo I-C'!E952+'DCA-Anexo I-C'!E955+'DCA-Anexo I-C'!E958+'DCA-Anexo I-C'!E962+'DCA-Anexo I-C'!E968</f>
        <v>0</v>
      </c>
    </row>
    <row r="943" spans="1:5" ht="12.75" customHeight="1">
      <c r="A943" s="3" t="s">
        <v>2018</v>
      </c>
      <c r="B943" s="11">
        <f>+'DCA-Anexo I-C'!B944+'DCA-Anexo I-C'!B945+'DCA-Anexo I-C'!B946+'DCA-Anexo I-C'!B947+'DCA-Anexo I-C'!B948</f>
        <v>0</v>
      </c>
      <c r="C943" s="11">
        <f>+'DCA-Anexo I-C'!C944+'DCA-Anexo I-C'!C945+'DCA-Anexo I-C'!C946+'DCA-Anexo I-C'!C947+'DCA-Anexo I-C'!C948</f>
        <v>0</v>
      </c>
      <c r="D943" s="11">
        <f>+'DCA-Anexo I-C'!D944+'DCA-Anexo I-C'!D945+'DCA-Anexo I-C'!D946+'DCA-Anexo I-C'!D947+'DCA-Anexo I-C'!D948</f>
        <v>0</v>
      </c>
      <c r="E943" s="11">
        <f>+'DCA-Anexo I-C'!E944+'DCA-Anexo I-C'!E945+'DCA-Anexo I-C'!E946+'DCA-Anexo I-C'!E947+'DCA-Anexo I-C'!E948</f>
        <v>0</v>
      </c>
    </row>
    <row r="944" spans="1:5" ht="25.5" customHeight="1">
      <c r="A944" s="4" t="s">
        <v>2019</v>
      </c>
      <c r="B944" s="12"/>
      <c r="C944" s="12"/>
      <c r="D944" s="12"/>
      <c r="E944" s="12"/>
    </row>
    <row r="945" spans="1:5" ht="25.5" customHeight="1">
      <c r="A945" s="3" t="s">
        <v>2020</v>
      </c>
      <c r="B945" s="11"/>
      <c r="C945" s="11"/>
      <c r="D945" s="11"/>
      <c r="E945" s="11"/>
    </row>
    <row r="946" spans="1:5" ht="25.5" customHeight="1">
      <c r="A946" s="4" t="s">
        <v>2021</v>
      </c>
      <c r="B946" s="12"/>
      <c r="C946" s="12"/>
      <c r="D946" s="12"/>
      <c r="E946" s="12"/>
    </row>
    <row r="947" spans="1:5" ht="25.5" customHeight="1">
      <c r="A947" s="3" t="s">
        <v>2022</v>
      </c>
      <c r="B947" s="11"/>
      <c r="C947" s="11"/>
      <c r="D947" s="11"/>
      <c r="E947" s="11"/>
    </row>
    <row r="948" spans="1:5" ht="25.5" customHeight="1">
      <c r="A948" s="4" t="s">
        <v>2023</v>
      </c>
      <c r="B948" s="12"/>
      <c r="C948" s="12"/>
      <c r="D948" s="12"/>
      <c r="E948" s="12"/>
    </row>
    <row r="949" spans="1:5" ht="12.75" customHeight="1">
      <c r="A949" s="3" t="s">
        <v>2024</v>
      </c>
      <c r="B949" s="11">
        <f>+'DCA-Anexo I-C'!B950+'DCA-Anexo I-C'!B951</f>
        <v>0</v>
      </c>
      <c r="C949" s="11">
        <f>+'DCA-Anexo I-C'!C950+'DCA-Anexo I-C'!C951</f>
        <v>0</v>
      </c>
      <c r="D949" s="11">
        <f>+'DCA-Anexo I-C'!D950+'DCA-Anexo I-C'!D951</f>
        <v>0</v>
      </c>
      <c r="E949" s="11">
        <f>+'DCA-Anexo I-C'!E950+'DCA-Anexo I-C'!E951</f>
        <v>0</v>
      </c>
    </row>
    <row r="950" spans="1:5" ht="25.5" customHeight="1">
      <c r="A950" s="4" t="s">
        <v>2025</v>
      </c>
      <c r="B950" s="12"/>
      <c r="C950" s="12"/>
      <c r="D950" s="12"/>
      <c r="E950" s="12"/>
    </row>
    <row r="951" spans="1:5" ht="25.5" customHeight="1">
      <c r="A951" s="3" t="s">
        <v>2026</v>
      </c>
      <c r="B951" s="11"/>
      <c r="C951" s="11"/>
      <c r="D951" s="11"/>
      <c r="E951" s="11"/>
    </row>
    <row r="952" spans="1:5" ht="12.75" customHeight="1">
      <c r="A952" s="4" t="s">
        <v>2027</v>
      </c>
      <c r="B952" s="12">
        <f>+'DCA-Anexo I-C'!B953+'DCA-Anexo I-C'!B954</f>
        <v>0</v>
      </c>
      <c r="C952" s="12">
        <f>+'DCA-Anexo I-C'!C953+'DCA-Anexo I-C'!C954</f>
        <v>0</v>
      </c>
      <c r="D952" s="12">
        <f>+'DCA-Anexo I-C'!D953+'DCA-Anexo I-C'!D954</f>
        <v>0</v>
      </c>
      <c r="E952" s="12">
        <f>+'DCA-Anexo I-C'!E953+'DCA-Anexo I-C'!E954</f>
        <v>0</v>
      </c>
    </row>
    <row r="953" spans="1:5" ht="25.5" customHeight="1">
      <c r="A953" s="3" t="s">
        <v>2028</v>
      </c>
      <c r="B953" s="11"/>
      <c r="C953" s="11"/>
      <c r="D953" s="11"/>
      <c r="E953" s="11"/>
    </row>
    <row r="954" spans="1:5" ht="25.5" customHeight="1">
      <c r="A954" s="4" t="s">
        <v>2029</v>
      </c>
      <c r="B954" s="12"/>
      <c r="C954" s="12"/>
      <c r="D954" s="12"/>
      <c r="E954" s="12"/>
    </row>
    <row r="955" spans="1:5" ht="12.75" customHeight="1">
      <c r="A955" s="3" t="s">
        <v>2030</v>
      </c>
      <c r="B955" s="11">
        <f>+'DCA-Anexo I-C'!B956+'DCA-Anexo I-C'!B957</f>
        <v>0</v>
      </c>
      <c r="C955" s="11">
        <f>+'DCA-Anexo I-C'!C956+'DCA-Anexo I-C'!C957</f>
        <v>0</v>
      </c>
      <c r="D955" s="11">
        <f>+'DCA-Anexo I-C'!D956+'DCA-Anexo I-C'!D957</f>
        <v>0</v>
      </c>
      <c r="E955" s="11">
        <f>+'DCA-Anexo I-C'!E956+'DCA-Anexo I-C'!E957</f>
        <v>0</v>
      </c>
    </row>
    <row r="956" spans="1:5" ht="12.75" customHeight="1">
      <c r="A956" s="4" t="s">
        <v>2031</v>
      </c>
      <c r="B956" s="12"/>
      <c r="C956" s="12"/>
      <c r="D956" s="12"/>
      <c r="E956" s="12"/>
    </row>
    <row r="957" spans="1:5" ht="25.5" customHeight="1">
      <c r="A957" s="3" t="s">
        <v>2032</v>
      </c>
      <c r="B957" s="11"/>
      <c r="C957" s="11"/>
      <c r="D957" s="11"/>
      <c r="E957" s="11"/>
    </row>
    <row r="958" spans="1:5" ht="12.75" customHeight="1">
      <c r="A958" s="4" t="s">
        <v>2033</v>
      </c>
      <c r="B958" s="12">
        <f>+'DCA-Anexo I-C'!B959+'DCA-Anexo I-C'!B960+'DCA-Anexo I-C'!B961</f>
        <v>0</v>
      </c>
      <c r="C958" s="12">
        <f>+'DCA-Anexo I-C'!C959+'DCA-Anexo I-C'!C960+'DCA-Anexo I-C'!C961</f>
        <v>0</v>
      </c>
      <c r="D958" s="12">
        <f>+'DCA-Anexo I-C'!D959+'DCA-Anexo I-C'!D960+'DCA-Anexo I-C'!D961</f>
        <v>0</v>
      </c>
      <c r="E958" s="12">
        <f>+'DCA-Anexo I-C'!E959+'DCA-Anexo I-C'!E960+'DCA-Anexo I-C'!E961</f>
        <v>0</v>
      </c>
    </row>
    <row r="959" spans="1:5" ht="12.75" customHeight="1">
      <c r="A959" s="3" t="s">
        <v>2034</v>
      </c>
      <c r="B959" s="11"/>
      <c r="C959" s="11"/>
      <c r="D959" s="11"/>
      <c r="E959" s="11"/>
    </row>
    <row r="960" spans="1:5" ht="12.75" customHeight="1">
      <c r="A960" s="4" t="s">
        <v>2035</v>
      </c>
      <c r="B960" s="12"/>
      <c r="C960" s="12"/>
      <c r="D960" s="12"/>
      <c r="E960" s="12"/>
    </row>
    <row r="961" spans="1:5" ht="25.5" customHeight="1">
      <c r="A961" s="3" t="s">
        <v>2036</v>
      </c>
      <c r="B961" s="11"/>
      <c r="C961" s="11"/>
      <c r="D961" s="11"/>
      <c r="E961" s="11"/>
    </row>
    <row r="962" spans="1:5" ht="12.75" customHeight="1">
      <c r="A962" s="4" t="s">
        <v>2037</v>
      </c>
      <c r="B962" s="12">
        <f>+'DCA-Anexo I-C'!B963+'DCA-Anexo I-C'!B964+'DCA-Anexo I-C'!B965+'DCA-Anexo I-C'!B966+'DCA-Anexo I-C'!B967</f>
        <v>0</v>
      </c>
      <c r="C962" s="12">
        <f>+'DCA-Anexo I-C'!C963+'DCA-Anexo I-C'!C964+'DCA-Anexo I-C'!C965+'DCA-Anexo I-C'!C966+'DCA-Anexo I-C'!C967</f>
        <v>0</v>
      </c>
      <c r="D962" s="12">
        <f>+'DCA-Anexo I-C'!D963+'DCA-Anexo I-C'!D964+'DCA-Anexo I-C'!D965+'DCA-Anexo I-C'!D966+'DCA-Anexo I-C'!D967</f>
        <v>0</v>
      </c>
      <c r="E962" s="12">
        <f>+'DCA-Anexo I-C'!E963+'DCA-Anexo I-C'!E964+'DCA-Anexo I-C'!E965+'DCA-Anexo I-C'!E966+'DCA-Anexo I-C'!E967</f>
        <v>0</v>
      </c>
    </row>
    <row r="963" spans="1:5" ht="12.75" customHeight="1">
      <c r="A963" s="3" t="s">
        <v>2038</v>
      </c>
      <c r="B963" s="11"/>
      <c r="C963" s="11"/>
      <c r="D963" s="11"/>
      <c r="E963" s="11"/>
    </row>
    <row r="964" spans="1:5" ht="25.5" customHeight="1">
      <c r="A964" s="4" t="s">
        <v>2039</v>
      </c>
      <c r="B964" s="12"/>
      <c r="C964" s="12"/>
      <c r="D964" s="12"/>
      <c r="E964" s="12"/>
    </row>
    <row r="965" spans="1:5" ht="12.75" customHeight="1">
      <c r="A965" s="3" t="s">
        <v>2040</v>
      </c>
      <c r="B965" s="11"/>
      <c r="C965" s="11"/>
      <c r="D965" s="11"/>
      <c r="E965" s="11"/>
    </row>
    <row r="966" spans="1:5" ht="12.75" customHeight="1">
      <c r="A966" s="4" t="s">
        <v>2041</v>
      </c>
      <c r="B966" s="12"/>
      <c r="C966" s="12"/>
      <c r="D966" s="12"/>
      <c r="E966" s="12"/>
    </row>
    <row r="967" spans="1:5" ht="12.75" customHeight="1">
      <c r="A967" s="3" t="s">
        <v>2042</v>
      </c>
      <c r="B967" s="11"/>
      <c r="C967" s="11"/>
      <c r="D967" s="11"/>
      <c r="E967" s="11"/>
    </row>
    <row r="968" spans="1:5" ht="12.75" customHeight="1">
      <c r="A968" s="4" t="s">
        <v>2043</v>
      </c>
      <c r="B968" s="12">
        <f>+'DCA-Anexo I-C'!B969+'DCA-Anexo I-C'!B970</f>
        <v>0</v>
      </c>
      <c r="C968" s="12">
        <f>+'DCA-Anexo I-C'!C969+'DCA-Anexo I-C'!C970</f>
        <v>0</v>
      </c>
      <c r="D968" s="12">
        <f>+'DCA-Anexo I-C'!D969+'DCA-Anexo I-C'!D970</f>
        <v>0</v>
      </c>
      <c r="E968" s="12">
        <f>+'DCA-Anexo I-C'!E969+'DCA-Anexo I-C'!E970</f>
        <v>0</v>
      </c>
    </row>
    <row r="969" spans="1:5" ht="12.75" customHeight="1">
      <c r="A969" s="3" t="s">
        <v>2044</v>
      </c>
      <c r="B969" s="11"/>
      <c r="C969" s="11"/>
      <c r="D969" s="11"/>
      <c r="E969" s="11"/>
    </row>
    <row r="970" spans="1:5" ht="25.5" customHeight="1">
      <c r="A970" s="4" t="s">
        <v>2045</v>
      </c>
      <c r="B970" s="12"/>
      <c r="C970" s="12"/>
      <c r="D970" s="12"/>
      <c r="E970" s="12"/>
    </row>
    <row r="971" spans="1:5" ht="12.75" customHeight="1">
      <c r="A971" s="3" t="s">
        <v>2046</v>
      </c>
      <c r="B971" s="11">
        <f>+'DCA-Anexo I-C'!B972</f>
        <v>0</v>
      </c>
      <c r="C971" s="11">
        <f>+'DCA-Anexo I-C'!C972</f>
        <v>0</v>
      </c>
      <c r="D971" s="11">
        <f>+'DCA-Anexo I-C'!D972</f>
        <v>0</v>
      </c>
      <c r="E971" s="11">
        <f>+'DCA-Anexo I-C'!E972</f>
        <v>0</v>
      </c>
    </row>
    <row r="972" spans="1:5" ht="12.75" customHeight="1">
      <c r="A972" s="4" t="s">
        <v>2047</v>
      </c>
      <c r="B972" s="12">
        <f>+'DCA-Anexo I-C'!B973+'DCA-Anexo I-C'!B974+'DCA-Anexo I-C'!B975+'DCA-Anexo I-C'!B976</f>
        <v>0</v>
      </c>
      <c r="C972" s="12">
        <f>+'DCA-Anexo I-C'!C973+'DCA-Anexo I-C'!C974+'DCA-Anexo I-C'!C975+'DCA-Anexo I-C'!C976</f>
        <v>0</v>
      </c>
      <c r="D972" s="12">
        <f>+'DCA-Anexo I-C'!D973+'DCA-Anexo I-C'!D974+'DCA-Anexo I-C'!D975+'DCA-Anexo I-C'!D976</f>
        <v>0</v>
      </c>
      <c r="E972" s="12">
        <f>+'DCA-Anexo I-C'!E973+'DCA-Anexo I-C'!E974+'DCA-Anexo I-C'!E975+'DCA-Anexo I-C'!E976</f>
        <v>0</v>
      </c>
    </row>
    <row r="973" spans="1:5" ht="25.5" customHeight="1">
      <c r="A973" s="3" t="s">
        <v>2048</v>
      </c>
      <c r="B973" s="11"/>
      <c r="C973" s="11"/>
      <c r="D973" s="11"/>
      <c r="E973" s="11"/>
    </row>
    <row r="974" spans="1:5" ht="25.5" customHeight="1">
      <c r="A974" s="4" t="s">
        <v>2049</v>
      </c>
      <c r="B974" s="12"/>
      <c r="C974" s="12"/>
      <c r="D974" s="12"/>
      <c r="E974" s="12"/>
    </row>
    <row r="975" spans="1:5" ht="25.5" customHeight="1">
      <c r="A975" s="3" t="s">
        <v>2050</v>
      </c>
      <c r="B975" s="11"/>
      <c r="C975" s="11"/>
      <c r="D975" s="11"/>
      <c r="E975" s="11"/>
    </row>
    <row r="976" spans="1:5" ht="25.5" customHeight="1">
      <c r="A976" s="4" t="s">
        <v>2051</v>
      </c>
      <c r="B976" s="12"/>
      <c r="C976" s="12"/>
      <c r="D976" s="12"/>
      <c r="E976" s="12"/>
    </row>
    <row r="977" spans="1:5" ht="12.75" customHeight="1">
      <c r="A977" s="3" t="s">
        <v>2052</v>
      </c>
      <c r="B977" s="11">
        <f>+'DCA-Anexo I-C'!B978</f>
        <v>0</v>
      </c>
      <c r="C977" s="11">
        <f>+'DCA-Anexo I-C'!C978</f>
        <v>0</v>
      </c>
      <c r="D977" s="11">
        <f>+'DCA-Anexo I-C'!D978</f>
        <v>0</v>
      </c>
      <c r="E977" s="11">
        <f>+'DCA-Anexo I-C'!E978</f>
        <v>0</v>
      </c>
    </row>
    <row r="978" spans="1:5" ht="12.75" customHeight="1">
      <c r="A978" s="4" t="s">
        <v>2053</v>
      </c>
      <c r="B978" s="12">
        <f>+'DCA-Anexo I-C'!B979</f>
        <v>0</v>
      </c>
      <c r="C978" s="12">
        <f>+'DCA-Anexo I-C'!C979</f>
        <v>0</v>
      </c>
      <c r="D978" s="12">
        <f>+'DCA-Anexo I-C'!D979</f>
        <v>0</v>
      </c>
      <c r="E978" s="12">
        <f>+'DCA-Anexo I-C'!E979</f>
        <v>0</v>
      </c>
    </row>
    <row r="979" spans="1:5" ht="12.75" customHeight="1">
      <c r="A979" s="3" t="s">
        <v>2054</v>
      </c>
      <c r="B979" s="11"/>
      <c r="C979" s="11"/>
      <c r="D979" s="11"/>
      <c r="E979" s="11"/>
    </row>
    <row r="980" spans="1:5" ht="12.75" customHeight="1">
      <c r="A980" s="4" t="s">
        <v>2055</v>
      </c>
      <c r="B980" s="12"/>
      <c r="C980" s="12"/>
      <c r="D980" s="12"/>
      <c r="E980" s="12"/>
    </row>
    <row r="981" spans="1:5" ht="12.75" customHeight="1">
      <c r="A981" s="3" t="s">
        <v>2056</v>
      </c>
      <c r="B981" s="11"/>
      <c r="C981" s="11"/>
      <c r="D981" s="11"/>
      <c r="E981" s="11"/>
    </row>
    <row r="982" spans="1:5" ht="12.75" customHeight="1">
      <c r="A982" s="4" t="s">
        <v>2057</v>
      </c>
      <c r="B982" s="12"/>
      <c r="C982" s="12"/>
      <c r="D982" s="12"/>
      <c r="E982" s="12"/>
    </row>
    <row r="983" spans="1:5" ht="12.75" customHeight="1">
      <c r="A983" s="3" t="s">
        <v>2058</v>
      </c>
      <c r="B983" s="11">
        <f>+'DCA-Anexo I-C'!B984+'DCA-Anexo I-C'!B992+'DCA-Anexo I-C'!B998+'DCA-Anexo I-C'!B1009+'DCA-Anexo I-C'!B1014</f>
        <v>205151.4</v>
      </c>
      <c r="C983" s="11">
        <f>+'DCA-Anexo I-C'!C984+'DCA-Anexo I-C'!C992+'DCA-Anexo I-C'!C998+'DCA-Anexo I-C'!C1009+'DCA-Anexo I-C'!C1014</f>
        <v>0</v>
      </c>
      <c r="D983" s="11">
        <f>+'DCA-Anexo I-C'!D984+'DCA-Anexo I-C'!D992+'DCA-Anexo I-C'!D998+'DCA-Anexo I-C'!D1009+'DCA-Anexo I-C'!D1014</f>
        <v>0</v>
      </c>
      <c r="E983" s="11">
        <f>+'DCA-Anexo I-C'!E984+'DCA-Anexo I-C'!E992+'DCA-Anexo I-C'!E998+'DCA-Anexo I-C'!E1009+'DCA-Anexo I-C'!E1014</f>
        <v>0</v>
      </c>
    </row>
    <row r="984" spans="1:5" ht="12.75" customHeight="1">
      <c r="A984" s="4" t="s">
        <v>2059</v>
      </c>
      <c r="B984" s="12">
        <f>+'DCA-Anexo I-C'!B985</f>
        <v>0</v>
      </c>
      <c r="C984" s="12">
        <f>+'DCA-Anexo I-C'!C985</f>
        <v>0</v>
      </c>
      <c r="D984" s="12">
        <f>+'DCA-Anexo I-C'!D985</f>
        <v>0</v>
      </c>
      <c r="E984" s="12">
        <f>+'DCA-Anexo I-C'!E985</f>
        <v>0</v>
      </c>
    </row>
    <row r="985" spans="1:5" ht="12.75" customHeight="1">
      <c r="A985" s="3" t="s">
        <v>2060</v>
      </c>
      <c r="B985" s="11">
        <f>+'DCA-Anexo I-C'!B986+'DCA-Anexo I-C'!B987+'DCA-Anexo I-C'!B988+'DCA-Anexo I-C'!B989+'DCA-Anexo I-C'!B990+'DCA-Anexo I-C'!B991</f>
        <v>0</v>
      </c>
      <c r="C985" s="11">
        <f>+'DCA-Anexo I-C'!C986+'DCA-Anexo I-C'!C987+'DCA-Anexo I-C'!C988+'DCA-Anexo I-C'!C989+'DCA-Anexo I-C'!C990+'DCA-Anexo I-C'!C991</f>
        <v>0</v>
      </c>
      <c r="D985" s="11">
        <f>+'DCA-Anexo I-C'!D986+'DCA-Anexo I-C'!D987+'DCA-Anexo I-C'!D988+'DCA-Anexo I-C'!D989+'DCA-Anexo I-C'!D990+'DCA-Anexo I-C'!D991</f>
        <v>0</v>
      </c>
      <c r="E985" s="11">
        <f>+'DCA-Anexo I-C'!E986+'DCA-Anexo I-C'!E987+'DCA-Anexo I-C'!E988+'DCA-Anexo I-C'!E989+'DCA-Anexo I-C'!E990+'DCA-Anexo I-C'!E991</f>
        <v>0</v>
      </c>
    </row>
    <row r="986" spans="1:5" ht="25.5" customHeight="1">
      <c r="A986" s="4" t="s">
        <v>2061</v>
      </c>
      <c r="B986" s="12"/>
      <c r="C986" s="12"/>
      <c r="D986" s="12"/>
      <c r="E986" s="12"/>
    </row>
    <row r="987" spans="1:5" ht="12.75" customHeight="1">
      <c r="A987" s="3" t="s">
        <v>2062</v>
      </c>
      <c r="B987" s="11"/>
      <c r="C987" s="11"/>
      <c r="D987" s="11"/>
      <c r="E987" s="11"/>
    </row>
    <row r="988" spans="1:5" ht="12.75" customHeight="1">
      <c r="A988" s="4" t="s">
        <v>2063</v>
      </c>
      <c r="B988" s="12"/>
      <c r="C988" s="12"/>
      <c r="D988" s="12"/>
      <c r="E988" s="12"/>
    </row>
    <row r="989" spans="1:5" ht="12.75" customHeight="1">
      <c r="A989" s="3" t="s">
        <v>2064</v>
      </c>
      <c r="B989" s="11"/>
      <c r="C989" s="11"/>
      <c r="D989" s="11"/>
      <c r="E989" s="11"/>
    </row>
    <row r="990" spans="1:5" ht="25.5" customHeight="1">
      <c r="A990" s="4" t="s">
        <v>2065</v>
      </c>
      <c r="B990" s="12"/>
      <c r="C990" s="12"/>
      <c r="D990" s="12"/>
      <c r="E990" s="12"/>
    </row>
    <row r="991" spans="1:5" ht="12.75" customHeight="1">
      <c r="A991" s="3" t="s">
        <v>2066</v>
      </c>
      <c r="B991" s="11"/>
      <c r="C991" s="11"/>
      <c r="D991" s="11"/>
      <c r="E991" s="11"/>
    </row>
    <row r="992" spans="1:5" ht="25.5" customHeight="1">
      <c r="A992" s="4" t="s">
        <v>2067</v>
      </c>
      <c r="B992" s="12">
        <f>+'DCA-Anexo I-C'!B993</f>
        <v>0</v>
      </c>
      <c r="C992" s="12">
        <f>+'DCA-Anexo I-C'!C993</f>
        <v>0</v>
      </c>
      <c r="D992" s="12">
        <f>+'DCA-Anexo I-C'!D993</f>
        <v>0</v>
      </c>
      <c r="E992" s="12">
        <f>+'DCA-Anexo I-C'!E993</f>
        <v>0</v>
      </c>
    </row>
    <row r="993" spans="1:5" ht="25.5" customHeight="1">
      <c r="A993" s="3" t="s">
        <v>2068</v>
      </c>
      <c r="B993" s="11">
        <f>+'DCA-Anexo I-C'!B994+'DCA-Anexo I-C'!B995+'DCA-Anexo I-C'!B996+'DCA-Anexo I-C'!B997</f>
        <v>0</v>
      </c>
      <c r="C993" s="11">
        <f>+'DCA-Anexo I-C'!C994+'DCA-Anexo I-C'!C995+'DCA-Anexo I-C'!C996+'DCA-Anexo I-C'!C997</f>
        <v>0</v>
      </c>
      <c r="D993" s="11">
        <f>+'DCA-Anexo I-C'!D994+'DCA-Anexo I-C'!D995+'DCA-Anexo I-C'!D996+'DCA-Anexo I-C'!D997</f>
        <v>0</v>
      </c>
      <c r="E993" s="11">
        <f>+'DCA-Anexo I-C'!E994+'DCA-Anexo I-C'!E995+'DCA-Anexo I-C'!E996+'DCA-Anexo I-C'!E997</f>
        <v>0</v>
      </c>
    </row>
    <row r="994" spans="1:5" ht="12.75" customHeight="1">
      <c r="A994" s="4" t="s">
        <v>2069</v>
      </c>
      <c r="B994" s="12"/>
      <c r="C994" s="12"/>
      <c r="D994" s="12"/>
      <c r="E994" s="12"/>
    </row>
    <row r="995" spans="1:5" ht="12.75" customHeight="1">
      <c r="A995" s="3" t="s">
        <v>2070</v>
      </c>
      <c r="B995" s="11"/>
      <c r="C995" s="11"/>
      <c r="D995" s="11"/>
      <c r="E995" s="11"/>
    </row>
    <row r="996" spans="1:5" ht="12.75" customHeight="1">
      <c r="A996" s="4" t="s">
        <v>2071</v>
      </c>
      <c r="B996" s="12"/>
      <c r="C996" s="12"/>
      <c r="D996" s="12"/>
      <c r="E996" s="12"/>
    </row>
    <row r="997" spans="1:5" ht="12.75" customHeight="1">
      <c r="A997" s="3" t="s">
        <v>2072</v>
      </c>
      <c r="B997" s="11"/>
      <c r="C997" s="11"/>
      <c r="D997" s="11"/>
      <c r="E997" s="11"/>
    </row>
    <row r="998" spans="1:5" ht="12.75" customHeight="1">
      <c r="A998" s="4" t="s">
        <v>2073</v>
      </c>
      <c r="B998" s="12">
        <f>+'DCA-Anexo I-C'!B999+'DCA-Anexo I-C'!B1006</f>
        <v>0</v>
      </c>
      <c r="C998" s="12">
        <f>+'DCA-Anexo I-C'!C999+'DCA-Anexo I-C'!C1006</f>
        <v>0</v>
      </c>
      <c r="D998" s="12">
        <f>+'DCA-Anexo I-C'!D999+'DCA-Anexo I-C'!D1006</f>
        <v>0</v>
      </c>
      <c r="E998" s="12">
        <f>+'DCA-Anexo I-C'!E999+'DCA-Anexo I-C'!E1006</f>
        <v>0</v>
      </c>
    </row>
    <row r="999" spans="1:5" ht="12.75" customHeight="1">
      <c r="A999" s="3" t="s">
        <v>2074</v>
      </c>
      <c r="B999" s="11">
        <f>+'DCA-Anexo I-C'!B1000+'DCA-Anexo I-C'!B1001+'DCA-Anexo I-C'!B1002+'DCA-Anexo I-C'!B1003+'DCA-Anexo I-C'!B1004+'DCA-Anexo I-C'!B1005</f>
        <v>0</v>
      </c>
      <c r="C999" s="11">
        <f>+'DCA-Anexo I-C'!C1000+'DCA-Anexo I-C'!C1001+'DCA-Anexo I-C'!C1002+'DCA-Anexo I-C'!C1003+'DCA-Anexo I-C'!C1004+'DCA-Anexo I-C'!C1005</f>
        <v>0</v>
      </c>
      <c r="D999" s="11">
        <f>+'DCA-Anexo I-C'!D1000+'DCA-Anexo I-C'!D1001+'DCA-Anexo I-C'!D1002+'DCA-Anexo I-C'!D1003+'DCA-Anexo I-C'!D1004+'DCA-Anexo I-C'!D1005</f>
        <v>0</v>
      </c>
      <c r="E999" s="11">
        <f>+'DCA-Anexo I-C'!E1000+'DCA-Anexo I-C'!E1001+'DCA-Anexo I-C'!E1002+'DCA-Anexo I-C'!E1003+'DCA-Anexo I-C'!E1004+'DCA-Anexo I-C'!E1005</f>
        <v>0</v>
      </c>
    </row>
    <row r="1000" spans="1:5" ht="25.5" customHeight="1">
      <c r="A1000" s="4" t="s">
        <v>2075</v>
      </c>
      <c r="B1000" s="12"/>
      <c r="C1000" s="12"/>
      <c r="D1000" s="12"/>
      <c r="E1000" s="12"/>
    </row>
    <row r="1001" spans="1:5" ht="12.75" customHeight="1">
      <c r="A1001" s="3" t="s">
        <v>2076</v>
      </c>
      <c r="B1001" s="11"/>
      <c r="C1001" s="11"/>
      <c r="D1001" s="11"/>
      <c r="E1001" s="11"/>
    </row>
    <row r="1002" spans="1:5" ht="12.75" customHeight="1">
      <c r="A1002" s="4" t="s">
        <v>2077</v>
      </c>
      <c r="B1002" s="12"/>
      <c r="C1002" s="12"/>
      <c r="D1002" s="12"/>
      <c r="E1002" s="12"/>
    </row>
    <row r="1003" spans="1:5" ht="12.75" customHeight="1">
      <c r="A1003" s="3" t="s">
        <v>2078</v>
      </c>
      <c r="B1003" s="11"/>
      <c r="C1003" s="11"/>
      <c r="D1003" s="11"/>
      <c r="E1003" s="11"/>
    </row>
    <row r="1004" spans="1:5" ht="12.75" customHeight="1">
      <c r="A1004" s="4" t="s">
        <v>2079</v>
      </c>
      <c r="B1004" s="12"/>
      <c r="C1004" s="12"/>
      <c r="D1004" s="12"/>
      <c r="E1004" s="12"/>
    </row>
    <row r="1005" spans="1:5" ht="12.75" customHeight="1">
      <c r="A1005" s="3" t="s">
        <v>2080</v>
      </c>
      <c r="B1005" s="11"/>
      <c r="C1005" s="11"/>
      <c r="D1005" s="11"/>
      <c r="E1005" s="11"/>
    </row>
    <row r="1006" spans="1:5" ht="25.5" customHeight="1">
      <c r="A1006" s="4" t="s">
        <v>2081</v>
      </c>
      <c r="B1006" s="12">
        <f>+'DCA-Anexo I-C'!B1007+'DCA-Anexo I-C'!B1008</f>
        <v>0</v>
      </c>
      <c r="C1006" s="12">
        <f>+'DCA-Anexo I-C'!C1007+'DCA-Anexo I-C'!C1008</f>
        <v>0</v>
      </c>
      <c r="D1006" s="12">
        <f>+'DCA-Anexo I-C'!D1007+'DCA-Anexo I-C'!D1008</f>
        <v>0</v>
      </c>
      <c r="E1006" s="12">
        <f>+'DCA-Anexo I-C'!E1007+'DCA-Anexo I-C'!E1008</f>
        <v>0</v>
      </c>
    </row>
    <row r="1007" spans="1:5" ht="25.5" customHeight="1">
      <c r="A1007" s="3" t="s">
        <v>2082</v>
      </c>
      <c r="B1007" s="11"/>
      <c r="C1007" s="11"/>
      <c r="D1007" s="11"/>
      <c r="E1007" s="11"/>
    </row>
    <row r="1008" spans="1:5" ht="25.5" customHeight="1">
      <c r="A1008" s="4" t="s">
        <v>2083</v>
      </c>
      <c r="B1008" s="12"/>
      <c r="C1008" s="12"/>
      <c r="D1008" s="12"/>
      <c r="E1008" s="12"/>
    </row>
    <row r="1009" spans="1:5" ht="12.75" customHeight="1">
      <c r="A1009" s="3" t="s">
        <v>2084</v>
      </c>
      <c r="B1009" s="11">
        <f>+'DCA-Anexo I-C'!B1010</f>
        <v>0</v>
      </c>
      <c r="C1009" s="11">
        <f>+'DCA-Anexo I-C'!C1010</f>
        <v>0</v>
      </c>
      <c r="D1009" s="11">
        <f>+'DCA-Anexo I-C'!D1010</f>
        <v>0</v>
      </c>
      <c r="E1009" s="11">
        <f>+'DCA-Anexo I-C'!E1010</f>
        <v>0</v>
      </c>
    </row>
    <row r="1010" spans="1:5" ht="12.75" customHeight="1">
      <c r="A1010" s="4" t="s">
        <v>2085</v>
      </c>
      <c r="B1010" s="12">
        <f>+'DCA-Anexo I-C'!B1011+'DCA-Anexo I-C'!B1012+'DCA-Anexo I-C'!B1013</f>
        <v>0</v>
      </c>
      <c r="C1010" s="12">
        <f>+'DCA-Anexo I-C'!C1011+'DCA-Anexo I-C'!C1012+'DCA-Anexo I-C'!C1013</f>
        <v>0</v>
      </c>
      <c r="D1010" s="12">
        <f>+'DCA-Anexo I-C'!D1011+'DCA-Anexo I-C'!D1012+'DCA-Anexo I-C'!D1013</f>
        <v>0</v>
      </c>
      <c r="E1010" s="12">
        <f>+'DCA-Anexo I-C'!E1011+'DCA-Anexo I-C'!E1012+'DCA-Anexo I-C'!E1013</f>
        <v>0</v>
      </c>
    </row>
    <row r="1011" spans="1:5" ht="12.75" customHeight="1">
      <c r="A1011" s="3" t="s">
        <v>2086</v>
      </c>
      <c r="B1011" s="11"/>
      <c r="C1011" s="11"/>
      <c r="D1011" s="11"/>
      <c r="E1011" s="11"/>
    </row>
    <row r="1012" spans="1:5" ht="12.75" customHeight="1">
      <c r="A1012" s="4" t="s">
        <v>2087</v>
      </c>
      <c r="B1012" s="12"/>
      <c r="C1012" s="12"/>
      <c r="D1012" s="12"/>
      <c r="E1012" s="12"/>
    </row>
    <row r="1013" spans="1:5" ht="25.5" customHeight="1">
      <c r="A1013" s="3" t="s">
        <v>2088</v>
      </c>
      <c r="B1013" s="11"/>
      <c r="C1013" s="11"/>
      <c r="D1013" s="11"/>
      <c r="E1013" s="11"/>
    </row>
    <row r="1014" spans="1:5" ht="12.75" customHeight="1">
      <c r="A1014" s="4" t="s">
        <v>2089</v>
      </c>
      <c r="B1014" s="12">
        <v>205151.4</v>
      </c>
      <c r="C1014" s="12"/>
      <c r="D1014" s="12"/>
      <c r="E1014" s="12"/>
    </row>
    <row r="1015" spans="1:5" ht="12.75" customHeight="1">
      <c r="A1015" s="3" t="s">
        <v>2090</v>
      </c>
      <c r="B1015" s="11">
        <f>+'DCA-Anexo I-C'!B1016+'DCA-Anexo I-C'!B1017+'DCA-Anexo I-C'!B1018+'DCA-Anexo I-C'!B1019+'DCA-Anexo I-C'!B1020+'DCA-Anexo I-C'!B1021+'DCA-Anexo I-C'!B1022</f>
        <v>0</v>
      </c>
      <c r="C1015" s="11">
        <f>+'DCA-Anexo I-C'!C1016+'DCA-Anexo I-C'!C1017+'DCA-Anexo I-C'!C1018+'DCA-Anexo I-C'!C1019+'DCA-Anexo I-C'!C1020+'DCA-Anexo I-C'!C1021+'DCA-Anexo I-C'!C1022</f>
        <v>0</v>
      </c>
      <c r="D1015" s="11">
        <f>+'DCA-Anexo I-C'!D1016+'DCA-Anexo I-C'!D1017+'DCA-Anexo I-C'!D1018+'DCA-Anexo I-C'!D1019+'DCA-Anexo I-C'!D1020+'DCA-Anexo I-C'!D1021+'DCA-Anexo I-C'!D1022</f>
        <v>0</v>
      </c>
      <c r="E1015" s="11">
        <f>+'DCA-Anexo I-C'!E1016+'DCA-Anexo I-C'!E1017+'DCA-Anexo I-C'!E1018+'DCA-Anexo I-C'!E1019+'DCA-Anexo I-C'!E1020+'DCA-Anexo I-C'!E1021+'DCA-Anexo I-C'!E1022</f>
        <v>0</v>
      </c>
    </row>
    <row r="1016" spans="1:5" ht="12.75" customHeight="1">
      <c r="A1016" s="4" t="s">
        <v>2091</v>
      </c>
      <c r="B1016" s="12"/>
      <c r="C1016" s="12"/>
      <c r="D1016" s="12"/>
      <c r="E1016" s="12"/>
    </row>
    <row r="1017" spans="1:5" ht="25.5" customHeight="1">
      <c r="A1017" s="3" t="s">
        <v>2092</v>
      </c>
      <c r="B1017" s="11"/>
      <c r="C1017" s="11"/>
      <c r="D1017" s="11"/>
      <c r="E1017" s="11"/>
    </row>
    <row r="1018" spans="1:5" ht="12.75" customHeight="1">
      <c r="A1018" s="4" t="s">
        <v>2093</v>
      </c>
      <c r="B1018" s="12"/>
      <c r="C1018" s="12"/>
      <c r="D1018" s="12"/>
      <c r="E1018" s="12"/>
    </row>
    <row r="1019" spans="1:5" ht="12.75" customHeight="1">
      <c r="A1019" s="3" t="s">
        <v>2094</v>
      </c>
      <c r="B1019" s="11"/>
      <c r="C1019" s="11"/>
      <c r="D1019" s="11"/>
      <c r="E1019" s="11"/>
    </row>
    <row r="1020" spans="1:5" ht="12.75" customHeight="1">
      <c r="A1020" s="4" t="s">
        <v>2095</v>
      </c>
      <c r="B1020" s="12"/>
      <c r="C1020" s="12"/>
      <c r="D1020" s="12"/>
      <c r="E1020" s="12"/>
    </row>
    <row r="1021" spans="1:5" ht="12.75" customHeight="1">
      <c r="A1021" s="3" t="s">
        <v>2096</v>
      </c>
      <c r="B1021" s="11"/>
      <c r="C1021" s="11"/>
      <c r="D1021" s="11"/>
      <c r="E1021" s="11"/>
    </row>
    <row r="1022" spans="1:5" ht="12.75" customHeight="1">
      <c r="A1022" s="4" t="s">
        <v>2097</v>
      </c>
      <c r="B1022" s="12"/>
      <c r="C1022" s="12"/>
      <c r="D1022" s="12"/>
      <c r="E1022" s="12"/>
    </row>
    <row r="1023" spans="1:5" ht="12.75" customHeight="1">
      <c r="A1023" s="3" t="s">
        <v>2098</v>
      </c>
      <c r="B1023" s="11">
        <f>+'DCA-Anexo I-C'!B1024+'DCA-Anexo I-C'!B1025+'DCA-Anexo I-C'!B1026+'DCA-Anexo I-C'!B1027+'DCA-Anexo I-C'!B1033</f>
        <v>0</v>
      </c>
      <c r="C1023" s="11">
        <f>+'DCA-Anexo I-C'!C1024+'DCA-Anexo I-C'!C1025+'DCA-Anexo I-C'!C1026+'DCA-Anexo I-C'!C1027+'DCA-Anexo I-C'!C1033</f>
        <v>0</v>
      </c>
      <c r="D1023" s="11">
        <f>+'DCA-Anexo I-C'!D1024+'DCA-Anexo I-C'!D1025+'DCA-Anexo I-C'!D1026+'DCA-Anexo I-C'!D1027+'DCA-Anexo I-C'!D1033</f>
        <v>0</v>
      </c>
      <c r="E1023" s="11">
        <f>+'DCA-Anexo I-C'!E1024+'DCA-Anexo I-C'!E1025+'DCA-Anexo I-C'!E1026+'DCA-Anexo I-C'!E1027+'DCA-Anexo I-C'!E1033</f>
        <v>0</v>
      </c>
    </row>
    <row r="1024" spans="1:5" ht="12.75" customHeight="1">
      <c r="A1024" s="4" t="s">
        <v>2099</v>
      </c>
      <c r="B1024" s="12"/>
      <c r="C1024" s="12"/>
      <c r="D1024" s="12"/>
      <c r="E1024" s="12"/>
    </row>
    <row r="1025" spans="1:5" ht="12.75" customHeight="1">
      <c r="A1025" s="3" t="s">
        <v>2100</v>
      </c>
      <c r="B1025" s="11"/>
      <c r="C1025" s="11"/>
      <c r="D1025" s="11"/>
      <c r="E1025" s="11"/>
    </row>
    <row r="1026" spans="1:5" ht="25.5" customHeight="1">
      <c r="A1026" s="4" t="s">
        <v>2101</v>
      </c>
      <c r="B1026" s="12"/>
      <c r="C1026" s="12"/>
      <c r="D1026" s="12"/>
      <c r="E1026" s="12"/>
    </row>
    <row r="1027" spans="1:5" ht="12.75" customHeight="1">
      <c r="A1027" s="3" t="s">
        <v>2102</v>
      </c>
      <c r="B1027" s="11">
        <f>+'DCA-Anexo I-C'!B1028+'DCA-Anexo I-C'!B1029+'DCA-Anexo I-C'!B1030+'DCA-Anexo I-C'!B1031+'DCA-Anexo I-C'!B1032</f>
        <v>0</v>
      </c>
      <c r="C1027" s="11">
        <f>+'DCA-Anexo I-C'!C1028+'DCA-Anexo I-C'!C1029+'DCA-Anexo I-C'!C1030+'DCA-Anexo I-C'!C1031+'DCA-Anexo I-C'!C1032</f>
        <v>0</v>
      </c>
      <c r="D1027" s="11">
        <f>+'DCA-Anexo I-C'!D1028+'DCA-Anexo I-C'!D1029+'DCA-Anexo I-C'!D1030+'DCA-Anexo I-C'!D1031+'DCA-Anexo I-C'!D1032</f>
        <v>0</v>
      </c>
      <c r="E1027" s="11">
        <f>+'DCA-Anexo I-C'!E1028+'DCA-Anexo I-C'!E1029+'DCA-Anexo I-C'!E1030+'DCA-Anexo I-C'!E1031+'DCA-Anexo I-C'!E1032</f>
        <v>0</v>
      </c>
    </row>
    <row r="1028" spans="1:5" ht="12.75" customHeight="1">
      <c r="A1028" s="4" t="s">
        <v>2103</v>
      </c>
      <c r="B1028" s="12"/>
      <c r="C1028" s="12"/>
      <c r="D1028" s="12"/>
      <c r="E1028" s="12"/>
    </row>
    <row r="1029" spans="1:5" ht="12.75" customHeight="1">
      <c r="A1029" s="3" t="s">
        <v>2104</v>
      </c>
      <c r="B1029" s="11"/>
      <c r="C1029" s="11"/>
      <c r="D1029" s="11"/>
      <c r="E1029" s="11"/>
    </row>
    <row r="1030" spans="1:5" ht="25.5" customHeight="1">
      <c r="A1030" s="4" t="s">
        <v>2105</v>
      </c>
      <c r="B1030" s="12"/>
      <c r="C1030" s="12"/>
      <c r="D1030" s="12"/>
      <c r="E1030" s="12"/>
    </row>
    <row r="1031" spans="1:5" ht="12.75" customHeight="1">
      <c r="A1031" s="3" t="s">
        <v>2106</v>
      </c>
      <c r="B1031" s="11"/>
      <c r="C1031" s="11"/>
      <c r="D1031" s="11"/>
      <c r="E1031" s="11"/>
    </row>
    <row r="1032" spans="1:5" ht="12.75" customHeight="1">
      <c r="A1032" s="4" t="s">
        <v>2107</v>
      </c>
      <c r="B1032" s="12"/>
      <c r="C1032" s="12"/>
      <c r="D1032" s="12"/>
      <c r="E1032" s="12"/>
    </row>
    <row r="1033" spans="1:5" ht="12.75" customHeight="1">
      <c r="A1033" s="3" t="s">
        <v>2108</v>
      </c>
      <c r="B1033" s="11">
        <f>+'DCA-Anexo I-C'!B1034</f>
        <v>0</v>
      </c>
      <c r="C1033" s="11">
        <f>+'DCA-Anexo I-C'!C1034</f>
        <v>0</v>
      </c>
      <c r="D1033" s="11">
        <f>+'DCA-Anexo I-C'!D1034</f>
        <v>0</v>
      </c>
      <c r="E1033" s="11">
        <f>+'DCA-Anexo I-C'!E1034</f>
        <v>0</v>
      </c>
    </row>
    <row r="1034" spans="1:5" ht="12.75" customHeight="1">
      <c r="A1034" s="4" t="s">
        <v>2109</v>
      </c>
      <c r="B1034" s="12">
        <f>+'DCA-Anexo I-C'!B1035+'DCA-Anexo I-C'!B1036+'DCA-Anexo I-C'!B1037+'DCA-Anexo I-C'!B1038+'DCA-Anexo I-C'!B1039+'DCA-Anexo I-C'!B1040+'DCA-Anexo I-C'!B1041+'DCA-Anexo I-C'!B1042+'DCA-Anexo I-C'!B1043+'DCA-Anexo I-C'!B1044+'DCA-Anexo I-C'!B1045+'DCA-Anexo I-C'!B1046+'DCA-Anexo I-C'!B1047+'DCA-Anexo I-C'!B1048+'DCA-Anexo I-C'!B1049+'DCA-Anexo I-C'!B1050+'DCA-Anexo I-C'!B1051+'DCA-Anexo I-C'!B1052+'DCA-Anexo I-C'!B1053+'DCA-Anexo I-C'!B1054+'DCA-Anexo I-C'!B1055+'DCA-Anexo I-C'!B1056</f>
        <v>0</v>
      </c>
      <c r="C1034" s="12">
        <f>+'DCA-Anexo I-C'!C1035+'DCA-Anexo I-C'!C1036+'DCA-Anexo I-C'!C1037+'DCA-Anexo I-C'!C1038+'DCA-Anexo I-C'!C1039+'DCA-Anexo I-C'!C1040+'DCA-Anexo I-C'!C1041+'DCA-Anexo I-C'!C1042+'DCA-Anexo I-C'!C1043+'DCA-Anexo I-C'!C1044+'DCA-Anexo I-C'!C1045+'DCA-Anexo I-C'!C1046+'DCA-Anexo I-C'!C1047+'DCA-Anexo I-C'!C1048+'DCA-Anexo I-C'!C1049+'DCA-Anexo I-C'!C1050+'DCA-Anexo I-C'!C1051+'DCA-Anexo I-C'!C1052+'DCA-Anexo I-C'!C1053+'DCA-Anexo I-C'!C1054+'DCA-Anexo I-C'!C1055+'DCA-Anexo I-C'!C1056</f>
        <v>0</v>
      </c>
      <c r="D1034" s="12">
        <f>+'DCA-Anexo I-C'!D1035+'DCA-Anexo I-C'!D1036+'DCA-Anexo I-C'!D1037+'DCA-Anexo I-C'!D1038+'DCA-Anexo I-C'!D1039+'DCA-Anexo I-C'!D1040+'DCA-Anexo I-C'!D1041+'DCA-Anexo I-C'!D1042+'DCA-Anexo I-C'!D1043+'DCA-Anexo I-C'!D1044+'DCA-Anexo I-C'!D1045+'DCA-Anexo I-C'!D1046+'DCA-Anexo I-C'!D1047+'DCA-Anexo I-C'!D1048+'DCA-Anexo I-C'!D1049+'DCA-Anexo I-C'!D1050+'DCA-Anexo I-C'!D1051+'DCA-Anexo I-C'!D1052+'DCA-Anexo I-C'!D1053+'DCA-Anexo I-C'!D1054+'DCA-Anexo I-C'!D1055+'DCA-Anexo I-C'!D1056</f>
        <v>0</v>
      </c>
      <c r="E1034" s="12">
        <f>+'DCA-Anexo I-C'!E1035+'DCA-Anexo I-C'!E1036+'DCA-Anexo I-C'!E1037+'DCA-Anexo I-C'!E1038+'DCA-Anexo I-C'!E1039+'DCA-Anexo I-C'!E1040+'DCA-Anexo I-C'!E1041+'DCA-Anexo I-C'!E1042+'DCA-Anexo I-C'!E1043+'DCA-Anexo I-C'!E1044+'DCA-Anexo I-C'!E1045+'DCA-Anexo I-C'!E1046+'DCA-Anexo I-C'!E1047+'DCA-Anexo I-C'!E1048+'DCA-Anexo I-C'!E1049+'DCA-Anexo I-C'!E1050+'DCA-Anexo I-C'!E1051+'DCA-Anexo I-C'!E1052+'DCA-Anexo I-C'!E1053+'DCA-Anexo I-C'!E1054+'DCA-Anexo I-C'!E1055+'DCA-Anexo I-C'!E1056</f>
        <v>0</v>
      </c>
    </row>
    <row r="1035" spans="1:5" ht="38.25" customHeight="1">
      <c r="A1035" s="3" t="s">
        <v>2110</v>
      </c>
      <c r="B1035" s="11"/>
      <c r="C1035" s="11"/>
      <c r="D1035" s="11"/>
      <c r="E1035" s="11"/>
    </row>
    <row r="1036" spans="1:5" ht="12.75" customHeight="1">
      <c r="A1036" s="4" t="s">
        <v>2111</v>
      </c>
      <c r="B1036" s="12"/>
      <c r="C1036" s="12"/>
      <c r="D1036" s="12"/>
      <c r="E1036" s="12"/>
    </row>
    <row r="1037" spans="1:5" ht="25.5" customHeight="1">
      <c r="A1037" s="3" t="s">
        <v>2112</v>
      </c>
      <c r="B1037" s="11"/>
      <c r="C1037" s="11"/>
      <c r="D1037" s="11"/>
      <c r="E1037" s="11"/>
    </row>
    <row r="1038" spans="1:5" ht="12.75" customHeight="1">
      <c r="A1038" s="4" t="s">
        <v>2113</v>
      </c>
      <c r="B1038" s="12"/>
      <c r="C1038" s="12"/>
      <c r="D1038" s="12"/>
      <c r="E1038" s="12"/>
    </row>
    <row r="1039" spans="1:5" ht="12.75" customHeight="1">
      <c r="A1039" s="3" t="s">
        <v>2114</v>
      </c>
      <c r="B1039" s="11"/>
      <c r="C1039" s="11"/>
      <c r="D1039" s="11"/>
      <c r="E1039" s="11"/>
    </row>
    <row r="1040" spans="1:5" ht="12.75" customHeight="1">
      <c r="A1040" s="4" t="s">
        <v>2115</v>
      </c>
      <c r="B1040" s="12"/>
      <c r="C1040" s="12"/>
      <c r="D1040" s="12"/>
      <c r="E1040" s="12"/>
    </row>
    <row r="1041" spans="1:5" ht="12.75" customHeight="1">
      <c r="A1041" s="3" t="s">
        <v>2116</v>
      </c>
      <c r="B1041" s="11"/>
      <c r="C1041" s="11"/>
      <c r="D1041" s="11"/>
      <c r="E1041" s="11"/>
    </row>
    <row r="1042" spans="1:5" ht="25.5" customHeight="1">
      <c r="A1042" s="4" t="s">
        <v>2117</v>
      </c>
      <c r="B1042" s="12"/>
      <c r="C1042" s="12"/>
      <c r="D1042" s="12"/>
      <c r="E1042" s="12"/>
    </row>
    <row r="1043" spans="1:5" ht="12.75" customHeight="1">
      <c r="A1043" s="3" t="s">
        <v>2118</v>
      </c>
      <c r="B1043" s="11"/>
      <c r="C1043" s="11"/>
      <c r="D1043" s="11"/>
      <c r="E1043" s="11"/>
    </row>
    <row r="1044" spans="1:5" ht="12.75" customHeight="1">
      <c r="A1044" s="4" t="s">
        <v>2119</v>
      </c>
      <c r="B1044" s="12"/>
      <c r="C1044" s="12"/>
      <c r="D1044" s="12"/>
      <c r="E1044" s="12"/>
    </row>
    <row r="1045" spans="1:5" ht="12.75" customHeight="1">
      <c r="A1045" s="3" t="s">
        <v>2120</v>
      </c>
      <c r="B1045" s="11"/>
      <c r="C1045" s="11"/>
      <c r="D1045" s="11"/>
      <c r="E1045" s="11"/>
    </row>
    <row r="1046" spans="1:5" ht="25.5" customHeight="1">
      <c r="A1046" s="4" t="s">
        <v>2121</v>
      </c>
      <c r="B1046" s="12"/>
      <c r="C1046" s="12"/>
      <c r="D1046" s="12"/>
      <c r="E1046" s="12"/>
    </row>
    <row r="1047" spans="1:5" ht="25.5" customHeight="1">
      <c r="A1047" s="3" t="s">
        <v>2122</v>
      </c>
      <c r="B1047" s="11"/>
      <c r="C1047" s="11"/>
      <c r="D1047" s="11"/>
      <c r="E1047" s="11"/>
    </row>
    <row r="1048" spans="1:5" ht="25.5" customHeight="1">
      <c r="A1048" s="4" t="s">
        <v>2123</v>
      </c>
      <c r="B1048" s="12"/>
      <c r="C1048" s="12"/>
      <c r="D1048" s="12"/>
      <c r="E1048" s="12"/>
    </row>
    <row r="1049" spans="1:5" ht="12.75" customHeight="1">
      <c r="A1049" s="3" t="s">
        <v>2124</v>
      </c>
      <c r="B1049" s="11"/>
      <c r="C1049" s="11"/>
      <c r="D1049" s="11"/>
      <c r="E1049" s="11"/>
    </row>
    <row r="1050" spans="1:5" ht="25.5" customHeight="1">
      <c r="A1050" s="4" t="s">
        <v>2125</v>
      </c>
      <c r="B1050" s="12"/>
      <c r="C1050" s="12"/>
      <c r="D1050" s="12"/>
      <c r="E1050" s="12"/>
    </row>
    <row r="1051" spans="1:5" ht="25.5" customHeight="1">
      <c r="A1051" s="3" t="s">
        <v>2126</v>
      </c>
      <c r="B1051" s="11"/>
      <c r="C1051" s="11"/>
      <c r="D1051" s="11"/>
      <c r="E1051" s="11"/>
    </row>
    <row r="1052" spans="1:5" ht="12.75" customHeight="1">
      <c r="A1052" s="4" t="s">
        <v>2127</v>
      </c>
      <c r="B1052" s="12"/>
      <c r="C1052" s="12"/>
      <c r="D1052" s="12"/>
      <c r="E1052" s="12"/>
    </row>
    <row r="1053" spans="1:5" ht="38.25" customHeight="1">
      <c r="A1053" s="3" t="s">
        <v>2128</v>
      </c>
      <c r="B1053" s="11"/>
      <c r="C1053" s="11"/>
      <c r="D1053" s="11"/>
      <c r="E1053" s="11"/>
    </row>
    <row r="1054" spans="1:5" ht="25.5" customHeight="1">
      <c r="A1054" s="4" t="s">
        <v>2129</v>
      </c>
      <c r="B1054" s="12"/>
      <c r="C1054" s="12"/>
      <c r="D1054" s="12"/>
      <c r="E1054" s="12"/>
    </row>
    <row r="1055" spans="1:5" ht="25.5" customHeight="1">
      <c r="A1055" s="3" t="s">
        <v>2130</v>
      </c>
      <c r="B1055" s="11"/>
      <c r="C1055" s="11"/>
      <c r="D1055" s="11"/>
      <c r="E1055" s="11"/>
    </row>
    <row r="1056" spans="1:5" ht="12.75" customHeight="1">
      <c r="A1056" s="4" t="s">
        <v>2131</v>
      </c>
      <c r="B1056" s="12">
        <f>+'DCA-Anexo I-C'!B1057+'DCA-Anexo I-C'!B1058+'DCA-Anexo I-C'!B1059</f>
        <v>0</v>
      </c>
      <c r="C1056" s="12">
        <f>+'DCA-Anexo I-C'!C1057+'DCA-Anexo I-C'!C1058+'DCA-Anexo I-C'!C1059</f>
        <v>0</v>
      </c>
      <c r="D1056" s="12">
        <f>+'DCA-Anexo I-C'!D1057+'DCA-Anexo I-C'!D1058+'DCA-Anexo I-C'!D1059</f>
        <v>0</v>
      </c>
      <c r="E1056" s="12">
        <f>+'DCA-Anexo I-C'!E1057+'DCA-Anexo I-C'!E1058+'DCA-Anexo I-C'!E1059</f>
        <v>0</v>
      </c>
    </row>
    <row r="1057" spans="1:5" ht="12.75" customHeight="1">
      <c r="A1057" s="3" t="s">
        <v>2132</v>
      </c>
      <c r="B1057" s="11"/>
      <c r="C1057" s="11"/>
      <c r="D1057" s="11"/>
      <c r="E1057" s="11"/>
    </row>
    <row r="1058" spans="1:5" ht="25.5" customHeight="1">
      <c r="A1058" s="4" t="s">
        <v>2133</v>
      </c>
      <c r="B1058" s="12"/>
      <c r="C1058" s="12"/>
      <c r="D1058" s="12"/>
      <c r="E1058" s="12"/>
    </row>
    <row r="1059" spans="1:5" ht="25.5" customHeight="1">
      <c r="A1059" s="3" t="s">
        <v>2134</v>
      </c>
      <c r="B1059" s="11"/>
      <c r="C1059" s="11"/>
      <c r="D1059" s="11"/>
      <c r="E1059" s="11"/>
    </row>
    <row r="1060" spans="1:5" ht="12.75" customHeight="1">
      <c r="A1060" s="4" t="s">
        <v>2135</v>
      </c>
      <c r="B1060" s="12">
        <f>+'DCA-Anexo I-C'!B1061+'DCA-Anexo I-C'!B1064+'DCA-Anexo I-C'!B1068+'DCA-Anexo I-C'!B1069+'DCA-Anexo I-C'!B1077</f>
        <v>0</v>
      </c>
      <c r="C1060" s="12">
        <f>+'DCA-Anexo I-C'!C1061+'DCA-Anexo I-C'!C1064+'DCA-Anexo I-C'!C1068+'DCA-Anexo I-C'!C1069+'DCA-Anexo I-C'!C1077</f>
        <v>0</v>
      </c>
      <c r="D1060" s="12">
        <f>+'DCA-Anexo I-C'!D1061+'DCA-Anexo I-C'!D1064+'DCA-Anexo I-C'!D1068+'DCA-Anexo I-C'!D1069+'DCA-Anexo I-C'!D1077</f>
        <v>0</v>
      </c>
      <c r="E1060" s="12">
        <f>+'DCA-Anexo I-C'!E1061+'DCA-Anexo I-C'!E1064+'DCA-Anexo I-C'!E1068+'DCA-Anexo I-C'!E1069+'DCA-Anexo I-C'!E1077</f>
        <v>0</v>
      </c>
    </row>
    <row r="1061" spans="1:5" ht="12.75" customHeight="1">
      <c r="A1061" s="3" t="s">
        <v>2136</v>
      </c>
      <c r="B1061" s="11">
        <f>+'DCA-Anexo I-C'!B1062+'DCA-Anexo I-C'!B1063</f>
        <v>0</v>
      </c>
      <c r="C1061" s="11">
        <f>+'DCA-Anexo I-C'!C1062+'DCA-Anexo I-C'!C1063</f>
        <v>0</v>
      </c>
      <c r="D1061" s="11">
        <f>+'DCA-Anexo I-C'!D1062+'DCA-Anexo I-C'!D1063</f>
        <v>0</v>
      </c>
      <c r="E1061" s="11">
        <f>+'DCA-Anexo I-C'!E1062+'DCA-Anexo I-C'!E1063</f>
        <v>0</v>
      </c>
    </row>
    <row r="1062" spans="1:5" ht="12.75" customHeight="1">
      <c r="A1062" s="4" t="s">
        <v>2137</v>
      </c>
      <c r="B1062" s="12"/>
      <c r="C1062" s="12"/>
      <c r="D1062" s="12"/>
      <c r="E1062" s="12"/>
    </row>
    <row r="1063" spans="1:5" ht="12.75" customHeight="1">
      <c r="A1063" s="3" t="s">
        <v>2138</v>
      </c>
      <c r="B1063" s="11"/>
      <c r="C1063" s="11"/>
      <c r="D1063" s="11"/>
      <c r="E1063" s="11"/>
    </row>
    <row r="1064" spans="1:5" ht="12.75" customHeight="1">
      <c r="A1064" s="4" t="s">
        <v>2139</v>
      </c>
      <c r="B1064" s="12">
        <f>+'DCA-Anexo I-C'!B1065+'DCA-Anexo I-C'!B1066+'DCA-Anexo I-C'!B1067</f>
        <v>0</v>
      </c>
      <c r="C1064" s="12">
        <f>+'DCA-Anexo I-C'!C1065+'DCA-Anexo I-C'!C1066+'DCA-Anexo I-C'!C1067</f>
        <v>0</v>
      </c>
      <c r="D1064" s="12">
        <f>+'DCA-Anexo I-C'!D1065+'DCA-Anexo I-C'!D1066+'DCA-Anexo I-C'!D1067</f>
        <v>0</v>
      </c>
      <c r="E1064" s="12">
        <f>+'DCA-Anexo I-C'!E1065+'DCA-Anexo I-C'!E1066+'DCA-Anexo I-C'!E1067</f>
        <v>0</v>
      </c>
    </row>
    <row r="1065" spans="1:5" ht="12.75" customHeight="1">
      <c r="A1065" s="3" t="s">
        <v>2140</v>
      </c>
      <c r="B1065" s="11"/>
      <c r="C1065" s="11"/>
      <c r="D1065" s="11"/>
      <c r="E1065" s="11"/>
    </row>
    <row r="1066" spans="1:5" ht="12.75" customHeight="1">
      <c r="A1066" s="4" t="s">
        <v>2141</v>
      </c>
      <c r="B1066" s="12"/>
      <c r="C1066" s="12"/>
      <c r="D1066" s="12"/>
      <c r="E1066" s="12"/>
    </row>
    <row r="1067" spans="1:5" ht="12.75" customHeight="1">
      <c r="A1067" s="3" t="s">
        <v>2142</v>
      </c>
      <c r="B1067" s="11"/>
      <c r="C1067" s="11"/>
      <c r="D1067" s="11"/>
      <c r="E1067" s="11"/>
    </row>
    <row r="1068" spans="1:5" ht="12.75" customHeight="1">
      <c r="A1068" s="4" t="s">
        <v>2143</v>
      </c>
      <c r="B1068" s="12"/>
      <c r="C1068" s="12"/>
      <c r="D1068" s="12"/>
      <c r="E1068" s="12"/>
    </row>
    <row r="1069" spans="1:5" ht="12.75" customHeight="1">
      <c r="A1069" s="3" t="s">
        <v>2144</v>
      </c>
      <c r="B1069" s="11">
        <f>+'DCA-Anexo I-C'!B1070+'DCA-Anexo I-C'!B1071+'DCA-Anexo I-C'!B1072+'DCA-Anexo I-C'!B1073+'DCA-Anexo I-C'!B1074+'DCA-Anexo I-C'!B1075+'DCA-Anexo I-C'!B1076</f>
        <v>0</v>
      </c>
      <c r="C1069" s="11">
        <f>+'DCA-Anexo I-C'!C1070+'DCA-Anexo I-C'!C1071+'DCA-Anexo I-C'!C1072+'DCA-Anexo I-C'!C1073+'DCA-Anexo I-C'!C1074+'DCA-Anexo I-C'!C1075+'DCA-Anexo I-C'!C1076</f>
        <v>0</v>
      </c>
      <c r="D1069" s="11">
        <f>+'DCA-Anexo I-C'!D1070+'DCA-Anexo I-C'!D1071+'DCA-Anexo I-C'!D1072+'DCA-Anexo I-C'!D1073+'DCA-Anexo I-C'!D1074+'DCA-Anexo I-C'!D1075+'DCA-Anexo I-C'!D1076</f>
        <v>0</v>
      </c>
      <c r="E1069" s="11">
        <f>+'DCA-Anexo I-C'!E1070+'DCA-Anexo I-C'!E1071+'DCA-Anexo I-C'!E1072+'DCA-Anexo I-C'!E1073+'DCA-Anexo I-C'!E1074+'DCA-Anexo I-C'!E1075+'DCA-Anexo I-C'!E1076</f>
        <v>0</v>
      </c>
    </row>
    <row r="1070" spans="1:5" ht="12.75" customHeight="1">
      <c r="A1070" s="4" t="s">
        <v>2145</v>
      </c>
      <c r="B1070" s="12"/>
      <c r="C1070" s="12"/>
      <c r="D1070" s="12"/>
      <c r="E1070" s="12"/>
    </row>
    <row r="1071" spans="1:5" ht="25.5" customHeight="1">
      <c r="A1071" s="3" t="s">
        <v>2146</v>
      </c>
      <c r="B1071" s="11"/>
      <c r="C1071" s="11"/>
      <c r="D1071" s="11"/>
      <c r="E1071" s="11"/>
    </row>
    <row r="1072" spans="1:5" ht="12.75" customHeight="1">
      <c r="A1072" s="4" t="s">
        <v>2147</v>
      </c>
      <c r="B1072" s="12"/>
      <c r="C1072" s="12"/>
      <c r="D1072" s="12"/>
      <c r="E1072" s="12"/>
    </row>
    <row r="1073" spans="1:5" ht="12.75" customHeight="1">
      <c r="A1073" s="3" t="s">
        <v>2148</v>
      </c>
      <c r="B1073" s="11"/>
      <c r="C1073" s="11"/>
      <c r="D1073" s="11"/>
      <c r="E1073" s="11"/>
    </row>
    <row r="1074" spans="1:5" ht="12.75" customHeight="1">
      <c r="A1074" s="4" t="s">
        <v>2149</v>
      </c>
      <c r="B1074" s="12"/>
      <c r="C1074" s="12"/>
      <c r="D1074" s="12"/>
      <c r="E1074" s="12"/>
    </row>
    <row r="1075" spans="1:5" ht="12.75" customHeight="1">
      <c r="A1075" s="3" t="s">
        <v>2150</v>
      </c>
      <c r="B1075" s="11"/>
      <c r="C1075" s="11"/>
      <c r="D1075" s="11"/>
      <c r="E1075" s="11"/>
    </row>
    <row r="1076" spans="1:5" ht="12.75" customHeight="1">
      <c r="A1076" s="4" t="s">
        <v>2151</v>
      </c>
      <c r="B1076" s="12"/>
      <c r="C1076" s="12"/>
      <c r="D1076" s="12"/>
      <c r="E1076" s="12"/>
    </row>
    <row r="1077" spans="1:5" ht="12.75" customHeight="1">
      <c r="A1077" s="3" t="s">
        <v>2152</v>
      </c>
      <c r="B1077" s="11"/>
      <c r="C1077" s="11"/>
      <c r="D1077" s="11"/>
      <c r="E1077" s="11"/>
    </row>
    <row r="1078" spans="1:5" ht="12.75" customHeight="1">
      <c r="A1078" s="4" t="s">
        <v>2153</v>
      </c>
      <c r="B1078" s="12">
        <f>+'DCA-Anexo I-C'!B20+'DCA-Anexo I-C'!B842</f>
        <v>151178858.79000002</v>
      </c>
      <c r="C1078" s="12">
        <f>+'DCA-Anexo I-C'!C20+'DCA-Anexo I-C'!C842</f>
        <v>0</v>
      </c>
      <c r="D1078" s="12">
        <f>+'DCA-Anexo I-C'!D20+'DCA-Anexo I-C'!D842</f>
        <v>15193653.369999999</v>
      </c>
      <c r="E1078" s="12">
        <f>+'DCA-Anexo I-C'!E20+'DCA-Anexo I-C'!E842</f>
        <v>0</v>
      </c>
    </row>
    <row r="1081" spans="1:5" ht="12.75" customHeight="1">
      <c r="A1081" s="7" t="s">
        <v>1087</v>
      </c>
    </row>
    <row r="1082" spans="1:5" ht="12.75" customHeight="1">
      <c r="A1082" s="7" t="s">
        <v>2154</v>
      </c>
    </row>
    <row r="1083" spans="1:5" ht="12.75" customHeight="1">
      <c r="A1083" s="7" t="s">
        <v>12</v>
      </c>
    </row>
    <row r="1084" spans="1:5" ht="30" customHeight="1">
      <c r="A1084" s="21" t="s">
        <v>2155</v>
      </c>
      <c r="B1084" s="21" t="s">
        <v>14</v>
      </c>
    </row>
    <row r="1085" spans="1:5" ht="30" customHeight="1">
      <c r="A1085" s="22"/>
      <c r="B1085" s="21" t="s">
        <v>15</v>
      </c>
    </row>
    <row r="1086" spans="1:5" ht="12.75" customHeight="1">
      <c r="A1086" s="3" t="s">
        <v>2155</v>
      </c>
      <c r="B1086" s="5"/>
    </row>
    <row r="1087" spans="1:5" ht="300" customHeight="1">
      <c r="A1087" s="4" t="s">
        <v>2156</v>
      </c>
      <c r="B1087" s="13"/>
    </row>
  </sheetData>
  <sheetProtection password="9C88" sheet="1" objects="1" scenarios="1"/>
  <mergeCells count="9">
    <mergeCell ref="A1084:A1085"/>
    <mergeCell ref="B1084"/>
    <mergeCell ref="B1085"/>
    <mergeCell ref="A17:A18"/>
    <mergeCell ref="B17:E17"/>
    <mergeCell ref="B18"/>
    <mergeCell ref="C18"/>
    <mergeCell ref="D18"/>
    <mergeCell ref="E18"/>
  </mergeCells>
  <pageMargins left="0.78740157499999996" right="0.78740157499999996" top="0.984251969" bottom="0.984251969" header="0.5" footer="0.5"/>
  <pageSetup orientation="portrait" horizontalDpi="300" verticalDpi="300"/>
  <headerFooter alignWithMargins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10214-766E-4F3C-AC29-5BBACB80CF07}">
  <dimension ref="A1:F389"/>
  <sheetViews>
    <sheetView showGridLines="0" topLeftCell="A12" workbookViewId="0">
      <pane xSplit="1" topLeftCell="B1" activePane="topRight" state="frozen"/>
      <selection pane="topRight" activeCell="B20" sqref="B20"/>
    </sheetView>
  </sheetViews>
  <sheetFormatPr defaultRowHeight="13.2"/>
  <cols>
    <col min="1" max="1" width="72.44140625" customWidth="1"/>
    <col min="2" max="2" width="24.109375" customWidth="1"/>
    <col min="3" max="3" width="22.44140625" customWidth="1"/>
    <col min="4" max="4" width="21" customWidth="1"/>
    <col min="5" max="6" width="40" customWidth="1"/>
  </cols>
  <sheetData>
    <row r="1" spans="1:5" ht="74.099999999999994" customHeight="1">
      <c r="A1" s="8"/>
    </row>
    <row r="2" spans="1:5">
      <c r="A2" s="15" t="s">
        <v>0</v>
      </c>
    </row>
    <row r="3" spans="1:5" ht="20.100000000000001" customHeight="1">
      <c r="A3" s="1" t="s">
        <v>1</v>
      </c>
    </row>
    <row r="4" spans="1:5" ht="20.100000000000001" customHeight="1">
      <c r="A4" s="1" t="s">
        <v>2</v>
      </c>
    </row>
    <row r="5" spans="1:5" ht="20.100000000000001" customHeight="1">
      <c r="A5" s="1" t="s">
        <v>3</v>
      </c>
      <c r="E5" s="10"/>
    </row>
    <row r="7" spans="1:5">
      <c r="A7" s="2" t="s">
        <v>4</v>
      </c>
    </row>
    <row r="8" spans="1:5">
      <c r="A8" s="2" t="s">
        <v>5</v>
      </c>
    </row>
    <row r="9" spans="1:5">
      <c r="A9" s="2" t="s">
        <v>6</v>
      </c>
    </row>
    <row r="10" spans="1:5">
      <c r="A10" s="2" t="s">
        <v>7</v>
      </c>
    </row>
    <row r="11" spans="1:5">
      <c r="A11" s="2" t="s">
        <v>8</v>
      </c>
    </row>
    <row r="12" spans="1:5">
      <c r="A12" s="2" t="s">
        <v>9</v>
      </c>
    </row>
    <row r="14" spans="1:5" ht="12.75" customHeight="1">
      <c r="A14" s="7" t="s">
        <v>2157</v>
      </c>
    </row>
    <row r="15" spans="1:5" ht="12.75" customHeight="1">
      <c r="A15" s="7" t="s">
        <v>2158</v>
      </c>
    </row>
    <row r="16" spans="1:5" ht="12.75" customHeight="1">
      <c r="A16" s="7" t="s">
        <v>12</v>
      </c>
    </row>
    <row r="17" spans="1:6" ht="30" customHeight="1">
      <c r="A17" s="21" t="s">
        <v>2159</v>
      </c>
      <c r="B17" s="21" t="s">
        <v>2160</v>
      </c>
      <c r="C17" s="21"/>
      <c r="D17" s="21"/>
      <c r="E17" s="21"/>
      <c r="F17" s="21"/>
    </row>
    <row r="18" spans="1:6" ht="30" customHeight="1">
      <c r="A18" s="22"/>
      <c r="B18" s="21" t="s">
        <v>2161</v>
      </c>
      <c r="C18" s="21" t="s">
        <v>2162</v>
      </c>
      <c r="D18" s="21" t="s">
        <v>2163</v>
      </c>
      <c r="E18" s="21" t="s">
        <v>2164</v>
      </c>
      <c r="F18" s="21" t="s">
        <v>2165</v>
      </c>
    </row>
    <row r="19" spans="1:6" ht="12.75" customHeight="1">
      <c r="A19" s="3" t="s">
        <v>2159</v>
      </c>
      <c r="B19" s="5"/>
      <c r="C19" s="5"/>
      <c r="D19" s="5"/>
      <c r="E19" s="5"/>
      <c r="F19" s="5"/>
    </row>
    <row r="20" spans="1:6" ht="12.75" customHeight="1">
      <c r="A20" s="4" t="s">
        <v>2166</v>
      </c>
      <c r="B20" s="12">
        <f>+'DCA-Anexo I-D'!B21+'DCA-Anexo I-D'!B235</f>
        <v>145272093</v>
      </c>
      <c r="C20" s="12">
        <f>+'DCA-Anexo I-D'!C21+'DCA-Anexo I-D'!C235</f>
        <v>145272093</v>
      </c>
      <c r="D20" s="12">
        <f>+'DCA-Anexo I-D'!D21+'DCA-Anexo I-D'!D235</f>
        <v>136323755.67999998</v>
      </c>
      <c r="E20" s="12">
        <f>+'DCA-Anexo I-D'!E21+'DCA-Anexo I-D'!E235</f>
        <v>0</v>
      </c>
      <c r="F20" s="12">
        <f>+'DCA-Anexo I-D'!F21+'DCA-Anexo I-D'!F235</f>
        <v>8948337.3200000022</v>
      </c>
    </row>
    <row r="21" spans="1:6" ht="12.75" customHeight="1">
      <c r="A21" s="3" t="s">
        <v>2167</v>
      </c>
      <c r="B21" s="11">
        <f>+'DCA-Anexo I-D'!B22+'DCA-Anexo I-D'!B145+'DCA-Anexo I-D'!B103</f>
        <v>134829314.69</v>
      </c>
      <c r="C21" s="11">
        <f>+'DCA-Anexo I-D'!C22+'DCA-Anexo I-D'!C145+'DCA-Anexo I-D'!C103</f>
        <v>134829314.69</v>
      </c>
      <c r="D21" s="11">
        <f>+'DCA-Anexo I-D'!D22+'DCA-Anexo I-D'!D145+'DCA-Anexo I-D'!D103</f>
        <v>125900379.35999998</v>
      </c>
      <c r="E21" s="11">
        <f>+'DCA-Anexo I-D'!E22+'DCA-Anexo I-D'!E145+'DCA-Anexo I-D'!E103</f>
        <v>0</v>
      </c>
      <c r="F21" s="11">
        <f>+'DCA-Anexo I-D'!F22+'DCA-Anexo I-D'!F145+'DCA-Anexo I-D'!F103</f>
        <v>8928935.3300000019</v>
      </c>
    </row>
    <row r="22" spans="1:6" ht="12.75" customHeight="1">
      <c r="A22" s="4" t="s">
        <v>2168</v>
      </c>
      <c r="B22" s="12">
        <f>+'DCA-Anexo I-D'!B34+'DCA-Anexo I-D'!B45+'DCA-Anexo I-D'!B36+'DCA-Anexo I-D'!B46+'DCA-Anexo I-D'!B37+'DCA-Anexo I-D'!B26+'DCA-Anexo I-D'!B100+'DCA-Anexo I-D'!B98+'DCA-Anexo I-D'!B31+'DCA-Anexo I-D'!B23+'DCA-Anexo I-D'!B102+'DCA-Anexo I-D'!B24+'DCA-Anexo I-D'!B75+'DCA-Anexo I-D'!B32+'DCA-Anexo I-D'!B99+'DCA-Anexo I-D'!B44+'DCA-Anexo I-D'!B25+'DCA-Anexo I-D'!B27+'DCA-Anexo I-D'!B101+'DCA-Anexo I-D'!B28+'DCA-Anexo I-D'!B40+'DCA-Anexo I-D'!B38+'DCA-Anexo I-D'!B35+'DCA-Anexo I-D'!B39+'DCA-Anexo I-D'!B30+'DCA-Anexo I-D'!B33+'DCA-Anexo I-D'!B43+'DCA-Anexo I-D'!B29+'DCA-Anexo I-D'!B42+'DCA-Anexo I-D'!B41+'DCA-Anexo I-D'!B97</f>
        <v>59121161.68</v>
      </c>
      <c r="C22" s="12">
        <f>+'DCA-Anexo I-D'!C34+'DCA-Anexo I-D'!C45+'DCA-Anexo I-D'!C36+'DCA-Anexo I-D'!C46+'DCA-Anexo I-D'!C37+'DCA-Anexo I-D'!C26+'DCA-Anexo I-D'!C100+'DCA-Anexo I-D'!C98+'DCA-Anexo I-D'!C31+'DCA-Anexo I-D'!C23+'DCA-Anexo I-D'!C102+'DCA-Anexo I-D'!C24+'DCA-Anexo I-D'!C75+'DCA-Anexo I-D'!C32+'DCA-Anexo I-D'!C99+'DCA-Anexo I-D'!C44+'DCA-Anexo I-D'!C25+'DCA-Anexo I-D'!C27+'DCA-Anexo I-D'!C101+'DCA-Anexo I-D'!C28+'DCA-Anexo I-D'!C40+'DCA-Anexo I-D'!C38+'DCA-Anexo I-D'!C35+'DCA-Anexo I-D'!C39+'DCA-Anexo I-D'!C30+'DCA-Anexo I-D'!C33+'DCA-Anexo I-D'!C43+'DCA-Anexo I-D'!C29+'DCA-Anexo I-D'!C42+'DCA-Anexo I-D'!C41+'DCA-Anexo I-D'!C97</f>
        <v>59121161.68</v>
      </c>
      <c r="D22" s="12">
        <f>+'DCA-Anexo I-D'!D34+'DCA-Anexo I-D'!D45+'DCA-Anexo I-D'!D36+'DCA-Anexo I-D'!D46+'DCA-Anexo I-D'!D37+'DCA-Anexo I-D'!D26+'DCA-Anexo I-D'!D100+'DCA-Anexo I-D'!D98+'DCA-Anexo I-D'!D31+'DCA-Anexo I-D'!D23+'DCA-Anexo I-D'!D102+'DCA-Anexo I-D'!D24+'DCA-Anexo I-D'!D75+'DCA-Anexo I-D'!D32+'DCA-Anexo I-D'!D99+'DCA-Anexo I-D'!D44+'DCA-Anexo I-D'!D25+'DCA-Anexo I-D'!D27+'DCA-Anexo I-D'!D101+'DCA-Anexo I-D'!D28+'DCA-Anexo I-D'!D40+'DCA-Anexo I-D'!D38+'DCA-Anexo I-D'!D35+'DCA-Anexo I-D'!D39+'DCA-Anexo I-D'!D30+'DCA-Anexo I-D'!D33+'DCA-Anexo I-D'!D43+'DCA-Anexo I-D'!D29+'DCA-Anexo I-D'!D42+'DCA-Anexo I-D'!D41+'DCA-Anexo I-D'!D97</f>
        <v>58738355.369999997</v>
      </c>
      <c r="E22" s="12">
        <f>+'DCA-Anexo I-D'!E34+'DCA-Anexo I-D'!E45+'DCA-Anexo I-D'!E36+'DCA-Anexo I-D'!E46+'DCA-Anexo I-D'!E37+'DCA-Anexo I-D'!E26+'DCA-Anexo I-D'!E100+'DCA-Anexo I-D'!E98+'DCA-Anexo I-D'!E31+'DCA-Anexo I-D'!E23+'DCA-Anexo I-D'!E102+'DCA-Anexo I-D'!E24+'DCA-Anexo I-D'!E75+'DCA-Anexo I-D'!E32+'DCA-Anexo I-D'!E99+'DCA-Anexo I-D'!E44+'DCA-Anexo I-D'!E25+'DCA-Anexo I-D'!E27+'DCA-Anexo I-D'!E101+'DCA-Anexo I-D'!E28+'DCA-Anexo I-D'!E40+'DCA-Anexo I-D'!E38+'DCA-Anexo I-D'!E35+'DCA-Anexo I-D'!E39+'DCA-Anexo I-D'!E30+'DCA-Anexo I-D'!E33+'DCA-Anexo I-D'!E43+'DCA-Anexo I-D'!E29+'DCA-Anexo I-D'!E42+'DCA-Anexo I-D'!E41+'DCA-Anexo I-D'!E97</f>
        <v>0</v>
      </c>
      <c r="F22" s="12">
        <f>+'DCA-Anexo I-D'!F34+'DCA-Anexo I-D'!F45+'DCA-Anexo I-D'!F36+'DCA-Anexo I-D'!F46+'DCA-Anexo I-D'!F37+'DCA-Anexo I-D'!F26+'DCA-Anexo I-D'!F100+'DCA-Anexo I-D'!F98+'DCA-Anexo I-D'!F31+'DCA-Anexo I-D'!F23+'DCA-Anexo I-D'!F102+'DCA-Anexo I-D'!F24+'DCA-Anexo I-D'!F75+'DCA-Anexo I-D'!F32+'DCA-Anexo I-D'!F99+'DCA-Anexo I-D'!F44+'DCA-Anexo I-D'!F25+'DCA-Anexo I-D'!F27+'DCA-Anexo I-D'!F101+'DCA-Anexo I-D'!F28+'DCA-Anexo I-D'!F40+'DCA-Anexo I-D'!F38+'DCA-Anexo I-D'!F35+'DCA-Anexo I-D'!F39+'DCA-Anexo I-D'!F30+'DCA-Anexo I-D'!F33+'DCA-Anexo I-D'!F43+'DCA-Anexo I-D'!F29+'DCA-Anexo I-D'!F42+'DCA-Anexo I-D'!F41+'DCA-Anexo I-D'!F97</f>
        <v>382806.31</v>
      </c>
    </row>
    <row r="23" spans="1:6" ht="12.75" customHeight="1">
      <c r="A23" s="3" t="s">
        <v>2169</v>
      </c>
      <c r="B23" s="11"/>
      <c r="C23" s="11"/>
      <c r="D23" s="11"/>
      <c r="E23" s="11"/>
      <c r="F23" s="11"/>
    </row>
    <row r="24" spans="1:6" ht="12.75" customHeight="1">
      <c r="A24" s="4" t="s">
        <v>2170</v>
      </c>
      <c r="B24" s="12"/>
      <c r="C24" s="12"/>
      <c r="D24" s="12"/>
      <c r="E24" s="12"/>
      <c r="F24" s="12"/>
    </row>
    <row r="25" spans="1:6" ht="12.75" customHeight="1">
      <c r="A25" s="3" t="s">
        <v>2171</v>
      </c>
      <c r="B25" s="11"/>
      <c r="C25" s="11"/>
      <c r="D25" s="11"/>
      <c r="E25" s="11"/>
      <c r="F25" s="11"/>
    </row>
    <row r="26" spans="1:6" ht="25.5" customHeight="1">
      <c r="A26" s="4" t="s">
        <v>2172</v>
      </c>
      <c r="B26" s="12"/>
      <c r="C26" s="12"/>
      <c r="D26" s="12"/>
      <c r="E26" s="12"/>
      <c r="F26" s="12"/>
    </row>
    <row r="27" spans="1:6" ht="25.5" customHeight="1">
      <c r="A27" s="3" t="s">
        <v>2173</v>
      </c>
      <c r="B27" s="11"/>
      <c r="C27" s="11"/>
      <c r="D27" s="11"/>
      <c r="E27" s="11"/>
      <c r="F27" s="11"/>
    </row>
    <row r="28" spans="1:6" ht="38.25" customHeight="1">
      <c r="A28" s="4" t="s">
        <v>2174</v>
      </c>
      <c r="B28" s="12"/>
      <c r="C28" s="12"/>
      <c r="D28" s="12"/>
      <c r="E28" s="12"/>
      <c r="F28" s="12"/>
    </row>
    <row r="29" spans="1:6" ht="51" customHeight="1">
      <c r="A29" s="3" t="s">
        <v>2175</v>
      </c>
      <c r="B29" s="11"/>
      <c r="C29" s="11"/>
      <c r="D29" s="11"/>
      <c r="E29" s="11"/>
      <c r="F29" s="11"/>
    </row>
    <row r="30" spans="1:6" ht="12.75" customHeight="1">
      <c r="A30" s="4" t="s">
        <v>2176</v>
      </c>
      <c r="B30" s="12"/>
      <c r="C30" s="12"/>
      <c r="D30" s="12"/>
      <c r="E30" s="12"/>
      <c r="F30" s="12"/>
    </row>
    <row r="31" spans="1:6" ht="12.75" customHeight="1">
      <c r="A31" s="3" t="s">
        <v>2177</v>
      </c>
      <c r="B31" s="11"/>
      <c r="C31" s="11"/>
      <c r="D31" s="11"/>
      <c r="E31" s="11"/>
      <c r="F31" s="11"/>
    </row>
    <row r="32" spans="1:6" ht="12.75" customHeight="1">
      <c r="A32" s="4" t="s">
        <v>2178</v>
      </c>
      <c r="B32" s="12"/>
      <c r="C32" s="12"/>
      <c r="D32" s="12"/>
      <c r="E32" s="12"/>
      <c r="F32" s="12"/>
    </row>
    <row r="33" spans="1:6" ht="38.25" customHeight="1">
      <c r="A33" s="3" t="s">
        <v>2179</v>
      </c>
      <c r="B33" s="11"/>
      <c r="C33" s="11"/>
      <c r="D33" s="11"/>
      <c r="E33" s="11"/>
      <c r="F33" s="11"/>
    </row>
    <row r="34" spans="1:6" ht="38.25" customHeight="1">
      <c r="A34" s="4" t="s">
        <v>2180</v>
      </c>
      <c r="B34" s="12"/>
      <c r="C34" s="12"/>
      <c r="D34" s="12"/>
      <c r="E34" s="12"/>
      <c r="F34" s="12"/>
    </row>
    <row r="35" spans="1:6" ht="25.5" customHeight="1">
      <c r="A35" s="3" t="s">
        <v>2181</v>
      </c>
      <c r="B35" s="11"/>
      <c r="C35" s="11"/>
      <c r="D35" s="11"/>
      <c r="E35" s="11"/>
      <c r="F35" s="11"/>
    </row>
    <row r="36" spans="1:6" ht="25.5" customHeight="1">
      <c r="A36" s="4" t="s">
        <v>2182</v>
      </c>
      <c r="B36" s="12"/>
      <c r="C36" s="12"/>
      <c r="D36" s="12"/>
      <c r="E36" s="12"/>
      <c r="F36" s="12"/>
    </row>
    <row r="37" spans="1:6" ht="12.75" customHeight="1">
      <c r="A37" s="3" t="s">
        <v>2183</v>
      </c>
      <c r="B37" s="11"/>
      <c r="C37" s="11"/>
      <c r="D37" s="11"/>
      <c r="E37" s="11"/>
      <c r="F37" s="11"/>
    </row>
    <row r="38" spans="1:6" ht="12.75" customHeight="1">
      <c r="A38" s="4" t="s">
        <v>2184</v>
      </c>
      <c r="B38" s="12"/>
      <c r="C38" s="12"/>
      <c r="D38" s="12"/>
      <c r="E38" s="12"/>
      <c r="F38" s="12"/>
    </row>
    <row r="39" spans="1:6" ht="25.5" customHeight="1">
      <c r="A39" s="3" t="s">
        <v>2185</v>
      </c>
      <c r="B39" s="11"/>
      <c r="C39" s="11"/>
      <c r="D39" s="11"/>
      <c r="E39" s="11"/>
      <c r="F39" s="11"/>
    </row>
    <row r="40" spans="1:6" ht="12.75" customHeight="1">
      <c r="A40" s="4" t="s">
        <v>2186</v>
      </c>
      <c r="B40" s="12"/>
      <c r="C40" s="12"/>
      <c r="D40" s="12"/>
      <c r="E40" s="12"/>
      <c r="F40" s="12"/>
    </row>
    <row r="41" spans="1:6" ht="38.25" customHeight="1">
      <c r="A41" s="3" t="s">
        <v>2187</v>
      </c>
      <c r="B41" s="11"/>
      <c r="C41" s="11"/>
      <c r="D41" s="11"/>
      <c r="E41" s="11"/>
      <c r="F41" s="11"/>
    </row>
    <row r="42" spans="1:6" ht="38.25" customHeight="1">
      <c r="A42" s="4" t="s">
        <v>2188</v>
      </c>
      <c r="B42" s="12"/>
      <c r="C42" s="12"/>
      <c r="D42" s="12"/>
      <c r="E42" s="12"/>
      <c r="F42" s="12"/>
    </row>
    <row r="43" spans="1:6" ht="38.25" customHeight="1">
      <c r="A43" s="3" t="s">
        <v>2189</v>
      </c>
      <c r="B43" s="11"/>
      <c r="C43" s="11"/>
      <c r="D43" s="11"/>
      <c r="E43" s="11"/>
      <c r="F43" s="11"/>
    </row>
    <row r="44" spans="1:6" ht="38.25" customHeight="1">
      <c r="A44" s="4" t="s">
        <v>2190</v>
      </c>
      <c r="B44" s="12"/>
      <c r="C44" s="12"/>
      <c r="D44" s="12"/>
      <c r="E44" s="12"/>
      <c r="F44" s="12"/>
    </row>
    <row r="45" spans="1:6" ht="12.75" customHeight="1">
      <c r="A45" s="3" t="s">
        <v>2191</v>
      </c>
      <c r="B45" s="11"/>
      <c r="C45" s="11"/>
      <c r="D45" s="11"/>
      <c r="E45" s="11"/>
      <c r="F45" s="11"/>
    </row>
    <row r="46" spans="1:6" ht="12.75" customHeight="1">
      <c r="A46" s="4" t="s">
        <v>2192</v>
      </c>
      <c r="B46" s="12">
        <f>+'DCA-Anexo I-D'!B47+'DCA-Anexo I-D'!B48+'DCA-Anexo I-D'!B49+'DCA-Anexo I-D'!B50+'DCA-Anexo I-D'!B51+'DCA-Anexo I-D'!B52+'DCA-Anexo I-D'!B53+'DCA-Anexo I-D'!B66+'DCA-Anexo I-D'!B67+'DCA-Anexo I-D'!B68+'DCA-Anexo I-D'!B69+'DCA-Anexo I-D'!B70+'DCA-Anexo I-D'!B71+'DCA-Anexo I-D'!B72+'DCA-Anexo I-D'!B73+'DCA-Anexo I-D'!B74+'DCA-Anexo I-D'!B54</f>
        <v>59121161.68</v>
      </c>
      <c r="C46" s="12">
        <f>+'DCA-Anexo I-D'!C47+'DCA-Anexo I-D'!C48+'DCA-Anexo I-D'!C49+'DCA-Anexo I-D'!C50+'DCA-Anexo I-D'!C51+'DCA-Anexo I-D'!C52+'DCA-Anexo I-D'!C53+'DCA-Anexo I-D'!C66+'DCA-Anexo I-D'!C67+'DCA-Anexo I-D'!C68+'DCA-Anexo I-D'!C69+'DCA-Anexo I-D'!C70+'DCA-Anexo I-D'!C71+'DCA-Anexo I-D'!C72+'DCA-Anexo I-D'!C73+'DCA-Anexo I-D'!C74+'DCA-Anexo I-D'!C54</f>
        <v>59121161.68</v>
      </c>
      <c r="D46" s="12">
        <f>+'DCA-Anexo I-D'!D47+'DCA-Anexo I-D'!D48+'DCA-Anexo I-D'!D49+'DCA-Anexo I-D'!D50+'DCA-Anexo I-D'!D51+'DCA-Anexo I-D'!D52+'DCA-Anexo I-D'!D53+'DCA-Anexo I-D'!D66+'DCA-Anexo I-D'!D67+'DCA-Anexo I-D'!D68+'DCA-Anexo I-D'!D69+'DCA-Anexo I-D'!D70+'DCA-Anexo I-D'!D71+'DCA-Anexo I-D'!D72+'DCA-Anexo I-D'!D73+'DCA-Anexo I-D'!D74+'DCA-Anexo I-D'!D54</f>
        <v>58738355.369999997</v>
      </c>
      <c r="E46" s="12">
        <f>+'DCA-Anexo I-D'!E47+'DCA-Anexo I-D'!E48+'DCA-Anexo I-D'!E49+'DCA-Anexo I-D'!E50+'DCA-Anexo I-D'!E51+'DCA-Anexo I-D'!E52+'DCA-Anexo I-D'!E53+'DCA-Anexo I-D'!E66+'DCA-Anexo I-D'!E67+'DCA-Anexo I-D'!E68+'DCA-Anexo I-D'!E69+'DCA-Anexo I-D'!E70+'DCA-Anexo I-D'!E71+'DCA-Anexo I-D'!E72+'DCA-Anexo I-D'!E73+'DCA-Anexo I-D'!E74+'DCA-Anexo I-D'!E54</f>
        <v>0</v>
      </c>
      <c r="F46" s="12">
        <f>+'DCA-Anexo I-D'!F47+'DCA-Anexo I-D'!F48+'DCA-Anexo I-D'!F49+'DCA-Anexo I-D'!F50+'DCA-Anexo I-D'!F51+'DCA-Anexo I-D'!F52+'DCA-Anexo I-D'!F53+'DCA-Anexo I-D'!F66+'DCA-Anexo I-D'!F67+'DCA-Anexo I-D'!F68+'DCA-Anexo I-D'!F69+'DCA-Anexo I-D'!F70+'DCA-Anexo I-D'!F71+'DCA-Anexo I-D'!F72+'DCA-Anexo I-D'!F73+'DCA-Anexo I-D'!F74+'DCA-Anexo I-D'!F54</f>
        <v>382806.31</v>
      </c>
    </row>
    <row r="47" spans="1:6" ht="25.5" customHeight="1">
      <c r="A47" s="3" t="s">
        <v>2193</v>
      </c>
      <c r="B47" s="11"/>
      <c r="C47" s="11"/>
      <c r="D47" s="11"/>
      <c r="E47" s="11"/>
      <c r="F47" s="11"/>
    </row>
    <row r="48" spans="1:6" ht="12.75" customHeight="1">
      <c r="A48" s="4" t="s">
        <v>2194</v>
      </c>
      <c r="B48" s="12"/>
      <c r="C48" s="12"/>
      <c r="D48" s="12"/>
      <c r="E48" s="12"/>
      <c r="F48" s="12"/>
    </row>
    <row r="49" spans="1:6" ht="12.75" customHeight="1">
      <c r="A49" s="3" t="s">
        <v>2195</v>
      </c>
      <c r="B49" s="11">
        <v>4552017.6500000004</v>
      </c>
      <c r="C49" s="11">
        <v>4552017.6500000004</v>
      </c>
      <c r="D49" s="11">
        <v>4552017.6500000004</v>
      </c>
      <c r="E49" s="11"/>
      <c r="F49" s="11"/>
    </row>
    <row r="50" spans="1:6" ht="12.75" customHeight="1">
      <c r="A50" s="4" t="s">
        <v>2196</v>
      </c>
      <c r="B50" s="12"/>
      <c r="C50" s="12"/>
      <c r="D50" s="12"/>
      <c r="E50" s="12"/>
      <c r="F50" s="12"/>
    </row>
    <row r="51" spans="1:6" ht="12.75" customHeight="1">
      <c r="A51" s="3" t="s">
        <v>2197</v>
      </c>
      <c r="B51" s="11"/>
      <c r="C51" s="11"/>
      <c r="D51" s="11"/>
      <c r="E51" s="11"/>
      <c r="F51" s="11"/>
    </row>
    <row r="52" spans="1:6" ht="12.75" customHeight="1">
      <c r="A52" s="4" t="s">
        <v>2198</v>
      </c>
      <c r="B52" s="12">
        <v>48680902.310000002</v>
      </c>
      <c r="C52" s="12">
        <v>48680902.310000002</v>
      </c>
      <c r="D52" s="12">
        <v>48680902.310000002</v>
      </c>
      <c r="E52" s="12"/>
      <c r="F52" s="12"/>
    </row>
    <row r="53" spans="1:6" ht="12.75" customHeight="1">
      <c r="A53" s="3" t="s">
        <v>2199</v>
      </c>
      <c r="B53" s="11"/>
      <c r="C53" s="11"/>
      <c r="D53" s="11"/>
      <c r="E53" s="11"/>
      <c r="F53" s="11"/>
    </row>
    <row r="54" spans="1:6" ht="12.75" customHeight="1">
      <c r="A54" s="4" t="s">
        <v>2200</v>
      </c>
      <c r="B54" s="12">
        <f>+'DCA-Anexo I-D'!B65+'DCA-Anexo I-D'!B58+'DCA-Anexo I-D'!B59+'DCA-Anexo I-D'!B55+'DCA-Anexo I-D'!B56+'DCA-Anexo I-D'!B57+'DCA-Anexo I-D'!B60+'DCA-Anexo I-D'!B61+'DCA-Anexo I-D'!B62+'DCA-Anexo I-D'!B63+'DCA-Anexo I-D'!B64</f>
        <v>5842845.25</v>
      </c>
      <c r="C54" s="12">
        <f>+'DCA-Anexo I-D'!C65+'DCA-Anexo I-D'!C58+'DCA-Anexo I-D'!C59+'DCA-Anexo I-D'!C55+'DCA-Anexo I-D'!C56+'DCA-Anexo I-D'!C57+'DCA-Anexo I-D'!C60+'DCA-Anexo I-D'!C61+'DCA-Anexo I-D'!C62+'DCA-Anexo I-D'!C63+'DCA-Anexo I-D'!C64</f>
        <v>5842845.25</v>
      </c>
      <c r="D54" s="12">
        <f>+'DCA-Anexo I-D'!D65+'DCA-Anexo I-D'!D58+'DCA-Anexo I-D'!D59+'DCA-Anexo I-D'!D55+'DCA-Anexo I-D'!D56+'DCA-Anexo I-D'!D57+'DCA-Anexo I-D'!D60+'DCA-Anexo I-D'!D61+'DCA-Anexo I-D'!D62+'DCA-Anexo I-D'!D63+'DCA-Anexo I-D'!D64</f>
        <v>5460038.9400000004</v>
      </c>
      <c r="E54" s="12">
        <f>+'DCA-Anexo I-D'!E65+'DCA-Anexo I-D'!E58+'DCA-Anexo I-D'!E59+'DCA-Anexo I-D'!E55+'DCA-Anexo I-D'!E56+'DCA-Anexo I-D'!E57+'DCA-Anexo I-D'!E60+'DCA-Anexo I-D'!E61+'DCA-Anexo I-D'!E62+'DCA-Anexo I-D'!E63+'DCA-Anexo I-D'!E64</f>
        <v>0</v>
      </c>
      <c r="F54" s="12">
        <f>+'DCA-Anexo I-D'!F65+'DCA-Anexo I-D'!F58+'DCA-Anexo I-D'!F59+'DCA-Anexo I-D'!F55+'DCA-Anexo I-D'!F56+'DCA-Anexo I-D'!F57+'DCA-Anexo I-D'!F60+'DCA-Anexo I-D'!F61+'DCA-Anexo I-D'!F62+'DCA-Anexo I-D'!F63+'DCA-Anexo I-D'!F64</f>
        <v>382806.31</v>
      </c>
    </row>
    <row r="55" spans="1:6" ht="12.75" customHeight="1">
      <c r="A55" s="3" t="s">
        <v>2201</v>
      </c>
      <c r="B55" s="11"/>
      <c r="C55" s="11"/>
      <c r="D55" s="11"/>
      <c r="E55" s="11"/>
      <c r="F55" s="11"/>
    </row>
    <row r="56" spans="1:6" ht="12.75" customHeight="1">
      <c r="A56" s="4" t="s">
        <v>2202</v>
      </c>
      <c r="B56" s="12">
        <v>5842845.25</v>
      </c>
      <c r="C56" s="12">
        <v>5842845.25</v>
      </c>
      <c r="D56" s="12">
        <v>5460038.9400000004</v>
      </c>
      <c r="E56" s="12"/>
      <c r="F56" s="12">
        <v>382806.31</v>
      </c>
    </row>
    <row r="57" spans="1:6" ht="12.75" customHeight="1">
      <c r="A57" s="3" t="s">
        <v>2203</v>
      </c>
      <c r="B57" s="11"/>
      <c r="C57" s="11"/>
      <c r="D57" s="11"/>
      <c r="E57" s="11"/>
      <c r="F57" s="11"/>
    </row>
    <row r="58" spans="1:6" ht="12.75" customHeight="1">
      <c r="A58" s="4" t="s">
        <v>2204</v>
      </c>
      <c r="B58" s="12"/>
      <c r="C58" s="12"/>
      <c r="D58" s="12"/>
      <c r="E58" s="12"/>
      <c r="F58" s="12"/>
    </row>
    <row r="59" spans="1:6" ht="12.75" customHeight="1">
      <c r="A59" s="3" t="s">
        <v>2205</v>
      </c>
      <c r="B59" s="11"/>
      <c r="C59" s="11"/>
      <c r="D59" s="11"/>
      <c r="E59" s="11"/>
      <c r="F59" s="11"/>
    </row>
    <row r="60" spans="1:6" ht="12.75" customHeight="1">
      <c r="A60" s="4" t="s">
        <v>2206</v>
      </c>
      <c r="B60" s="12"/>
      <c r="C60" s="12"/>
      <c r="D60" s="12"/>
      <c r="E60" s="12"/>
      <c r="F60" s="12"/>
    </row>
    <row r="61" spans="1:6" ht="12.75" customHeight="1">
      <c r="A61" s="3" t="s">
        <v>2207</v>
      </c>
      <c r="B61" s="11"/>
      <c r="C61" s="11"/>
      <c r="D61" s="11"/>
      <c r="E61" s="11"/>
      <c r="F61" s="11"/>
    </row>
    <row r="62" spans="1:6" ht="12.75" customHeight="1">
      <c r="A62" s="4" t="s">
        <v>2208</v>
      </c>
      <c r="B62" s="12"/>
      <c r="C62" s="12"/>
      <c r="D62" s="12"/>
      <c r="E62" s="12"/>
      <c r="F62" s="12"/>
    </row>
    <row r="63" spans="1:6" ht="12.75" customHeight="1">
      <c r="A63" s="3" t="s">
        <v>2209</v>
      </c>
      <c r="B63" s="11"/>
      <c r="C63" s="11"/>
      <c r="D63" s="11"/>
      <c r="E63" s="11"/>
      <c r="F63" s="11"/>
    </row>
    <row r="64" spans="1:6" ht="12.75" customHeight="1">
      <c r="A64" s="4" t="s">
        <v>2210</v>
      </c>
      <c r="B64" s="12"/>
      <c r="C64" s="12"/>
      <c r="D64" s="12"/>
      <c r="E64" s="12"/>
      <c r="F64" s="12"/>
    </row>
    <row r="65" spans="1:6" ht="12.75" customHeight="1">
      <c r="A65" s="3" t="s">
        <v>2211</v>
      </c>
      <c r="B65" s="11"/>
      <c r="C65" s="11"/>
      <c r="D65" s="11"/>
      <c r="E65" s="11"/>
      <c r="F65" s="11"/>
    </row>
    <row r="66" spans="1:6" ht="12.75" customHeight="1">
      <c r="A66" s="4" t="s">
        <v>2212</v>
      </c>
      <c r="B66" s="12"/>
      <c r="C66" s="12"/>
      <c r="D66" s="12"/>
      <c r="E66" s="12"/>
      <c r="F66" s="12"/>
    </row>
    <row r="67" spans="1:6" ht="12.75" customHeight="1">
      <c r="A67" s="3" t="s">
        <v>2213</v>
      </c>
      <c r="B67" s="11"/>
      <c r="C67" s="11"/>
      <c r="D67" s="11"/>
      <c r="E67" s="11"/>
      <c r="F67" s="11"/>
    </row>
    <row r="68" spans="1:6" ht="12.75" customHeight="1">
      <c r="A68" s="4" t="s">
        <v>2214</v>
      </c>
      <c r="B68" s="12"/>
      <c r="C68" s="12"/>
      <c r="D68" s="12"/>
      <c r="E68" s="12"/>
      <c r="F68" s="12"/>
    </row>
    <row r="69" spans="1:6" ht="12.75" customHeight="1">
      <c r="A69" s="3" t="s">
        <v>2215</v>
      </c>
      <c r="B69" s="11"/>
      <c r="C69" s="11"/>
      <c r="D69" s="11"/>
      <c r="E69" s="11"/>
      <c r="F69" s="11"/>
    </row>
    <row r="70" spans="1:6" ht="12.75" customHeight="1">
      <c r="A70" s="4" t="s">
        <v>2216</v>
      </c>
      <c r="B70" s="12">
        <v>11840.4</v>
      </c>
      <c r="C70" s="12">
        <v>11840.4</v>
      </c>
      <c r="D70" s="12">
        <v>11840.4</v>
      </c>
      <c r="E70" s="12"/>
      <c r="F70" s="12"/>
    </row>
    <row r="71" spans="1:6" ht="12.75" customHeight="1">
      <c r="A71" s="3" t="s">
        <v>2217</v>
      </c>
      <c r="B71" s="11">
        <v>13551.08</v>
      </c>
      <c r="C71" s="11">
        <v>13551.08</v>
      </c>
      <c r="D71" s="11">
        <v>13551.08</v>
      </c>
      <c r="E71" s="11"/>
      <c r="F71" s="11"/>
    </row>
    <row r="72" spans="1:6" ht="12.75" customHeight="1">
      <c r="A72" s="4" t="s">
        <v>2218</v>
      </c>
      <c r="B72" s="12">
        <v>20004.990000000002</v>
      </c>
      <c r="C72" s="12">
        <v>20004.990000000002</v>
      </c>
      <c r="D72" s="12">
        <v>20004.990000000002</v>
      </c>
      <c r="E72" s="12"/>
      <c r="F72" s="12"/>
    </row>
    <row r="73" spans="1:6" ht="12.75" customHeight="1">
      <c r="A73" s="3" t="s">
        <v>2219</v>
      </c>
      <c r="B73" s="11"/>
      <c r="C73" s="11"/>
      <c r="D73" s="11"/>
      <c r="E73" s="11"/>
      <c r="F73" s="11"/>
    </row>
    <row r="74" spans="1:6" ht="12.75" customHeight="1">
      <c r="A74" s="4" t="s">
        <v>2220</v>
      </c>
      <c r="B74" s="12"/>
      <c r="C74" s="12"/>
      <c r="D74" s="12"/>
      <c r="E74" s="12"/>
      <c r="F74" s="12"/>
    </row>
    <row r="75" spans="1:6" ht="38.25" customHeight="1">
      <c r="A75" s="3" t="s">
        <v>2221</v>
      </c>
      <c r="B75" s="11">
        <f>+'DCA-Anexo I-D'!B94+'DCA-Anexo I-D'!B76+'DCA-Anexo I-D'!B92+'DCA-Anexo I-D'!B95+'DCA-Anexo I-D'!B93+'DCA-Anexo I-D'!B78+'DCA-Anexo I-D'!B96+'DCA-Anexo I-D'!B77+'DCA-Anexo I-D'!B91</f>
        <v>0</v>
      </c>
      <c r="C75" s="11">
        <f>+'DCA-Anexo I-D'!C94+'DCA-Anexo I-D'!C76+'DCA-Anexo I-D'!C92+'DCA-Anexo I-D'!C95+'DCA-Anexo I-D'!C93+'DCA-Anexo I-D'!C78+'DCA-Anexo I-D'!C96+'DCA-Anexo I-D'!C77+'DCA-Anexo I-D'!C91</f>
        <v>0</v>
      </c>
      <c r="D75" s="11">
        <f>+'DCA-Anexo I-D'!D94+'DCA-Anexo I-D'!D76+'DCA-Anexo I-D'!D92+'DCA-Anexo I-D'!D95+'DCA-Anexo I-D'!D93+'DCA-Anexo I-D'!D78+'DCA-Anexo I-D'!D96+'DCA-Anexo I-D'!D77+'DCA-Anexo I-D'!D91</f>
        <v>0</v>
      </c>
      <c r="E75" s="11">
        <f>+'DCA-Anexo I-D'!E94+'DCA-Anexo I-D'!E76+'DCA-Anexo I-D'!E92+'DCA-Anexo I-D'!E95+'DCA-Anexo I-D'!E93+'DCA-Anexo I-D'!E78+'DCA-Anexo I-D'!E96+'DCA-Anexo I-D'!E77+'DCA-Anexo I-D'!E91</f>
        <v>0</v>
      </c>
      <c r="F75" s="11">
        <f>+'DCA-Anexo I-D'!F94+'DCA-Anexo I-D'!F76+'DCA-Anexo I-D'!F92+'DCA-Anexo I-D'!F95+'DCA-Anexo I-D'!F93+'DCA-Anexo I-D'!F78+'DCA-Anexo I-D'!F96+'DCA-Anexo I-D'!F77+'DCA-Anexo I-D'!F91</f>
        <v>0</v>
      </c>
    </row>
    <row r="76" spans="1:6" ht="12.75" customHeight="1">
      <c r="A76" s="4" t="s">
        <v>2222</v>
      </c>
      <c r="B76" s="12"/>
      <c r="C76" s="12"/>
      <c r="D76" s="12"/>
      <c r="E76" s="12"/>
      <c r="F76" s="12"/>
    </row>
    <row r="77" spans="1:6" ht="12.75" customHeight="1">
      <c r="A77" s="3" t="s">
        <v>2223</v>
      </c>
      <c r="B77" s="11"/>
      <c r="C77" s="11"/>
      <c r="D77" s="11"/>
      <c r="E77" s="11"/>
      <c r="F77" s="11"/>
    </row>
    <row r="78" spans="1:6" ht="12.75" customHeight="1">
      <c r="A78" s="4" t="s">
        <v>2224</v>
      </c>
      <c r="B78" s="12">
        <f>+'DCA-Anexo I-D'!B79+'DCA-Anexo I-D'!B80+'DCA-Anexo I-D'!B81+'DCA-Anexo I-D'!B82+'DCA-Anexo I-D'!B83+'DCA-Anexo I-D'!B84+'DCA-Anexo I-D'!B85+'DCA-Anexo I-D'!B86+'DCA-Anexo I-D'!B87+'DCA-Anexo I-D'!B88+'DCA-Anexo I-D'!B89+'DCA-Anexo I-D'!B90</f>
        <v>0</v>
      </c>
      <c r="C78" s="12">
        <f>+'DCA-Anexo I-D'!C79+'DCA-Anexo I-D'!C80+'DCA-Anexo I-D'!C81+'DCA-Anexo I-D'!C82+'DCA-Anexo I-D'!C83+'DCA-Anexo I-D'!C84+'DCA-Anexo I-D'!C85+'DCA-Anexo I-D'!C86+'DCA-Anexo I-D'!C87+'DCA-Anexo I-D'!C88+'DCA-Anexo I-D'!C89+'DCA-Anexo I-D'!C90</f>
        <v>0</v>
      </c>
      <c r="D78" s="12">
        <f>+'DCA-Anexo I-D'!D79+'DCA-Anexo I-D'!D80+'DCA-Anexo I-D'!D81+'DCA-Anexo I-D'!D82+'DCA-Anexo I-D'!D83+'DCA-Anexo I-D'!D84+'DCA-Anexo I-D'!D85+'DCA-Anexo I-D'!D86+'DCA-Anexo I-D'!D87+'DCA-Anexo I-D'!D88+'DCA-Anexo I-D'!D89+'DCA-Anexo I-D'!D90</f>
        <v>0</v>
      </c>
      <c r="E78" s="12">
        <f>+'DCA-Anexo I-D'!E79+'DCA-Anexo I-D'!E80+'DCA-Anexo I-D'!E81+'DCA-Anexo I-D'!E82+'DCA-Anexo I-D'!E83+'DCA-Anexo I-D'!E84+'DCA-Anexo I-D'!E85+'DCA-Anexo I-D'!E86+'DCA-Anexo I-D'!E87+'DCA-Anexo I-D'!E88+'DCA-Anexo I-D'!E89+'DCA-Anexo I-D'!E90</f>
        <v>0</v>
      </c>
      <c r="F78" s="12">
        <f>+'DCA-Anexo I-D'!F79+'DCA-Anexo I-D'!F80+'DCA-Anexo I-D'!F81+'DCA-Anexo I-D'!F82+'DCA-Anexo I-D'!F83+'DCA-Anexo I-D'!F84+'DCA-Anexo I-D'!F85+'DCA-Anexo I-D'!F86+'DCA-Anexo I-D'!F87+'DCA-Anexo I-D'!F88+'DCA-Anexo I-D'!F89+'DCA-Anexo I-D'!F90</f>
        <v>0</v>
      </c>
    </row>
    <row r="79" spans="1:6" ht="12.75" customHeight="1">
      <c r="A79" s="3" t="s">
        <v>2225</v>
      </c>
      <c r="B79" s="11"/>
      <c r="C79" s="11"/>
      <c r="D79" s="11"/>
      <c r="E79" s="11"/>
      <c r="F79" s="11"/>
    </row>
    <row r="80" spans="1:6" ht="12.75" customHeight="1">
      <c r="A80" s="4" t="s">
        <v>2226</v>
      </c>
      <c r="B80" s="12"/>
      <c r="C80" s="12"/>
      <c r="D80" s="12"/>
      <c r="E80" s="12"/>
      <c r="F80" s="12"/>
    </row>
    <row r="81" spans="1:6" ht="25.5" customHeight="1">
      <c r="A81" s="3" t="s">
        <v>2227</v>
      </c>
      <c r="B81" s="11"/>
      <c r="C81" s="11"/>
      <c r="D81" s="11"/>
      <c r="E81" s="11"/>
      <c r="F81" s="11"/>
    </row>
    <row r="82" spans="1:6" ht="12.75" customHeight="1">
      <c r="A82" s="4" t="s">
        <v>2228</v>
      </c>
      <c r="B82" s="12"/>
      <c r="C82" s="12"/>
      <c r="D82" s="12"/>
      <c r="E82" s="12"/>
      <c r="F82" s="12"/>
    </row>
    <row r="83" spans="1:6" ht="25.5" customHeight="1">
      <c r="A83" s="3" t="s">
        <v>2229</v>
      </c>
      <c r="B83" s="11"/>
      <c r="C83" s="11"/>
      <c r="D83" s="11"/>
      <c r="E83" s="11"/>
      <c r="F83" s="11"/>
    </row>
    <row r="84" spans="1:6" ht="25.5" customHeight="1">
      <c r="A84" s="4" t="s">
        <v>2230</v>
      </c>
      <c r="B84" s="12"/>
      <c r="C84" s="12"/>
      <c r="D84" s="12"/>
      <c r="E84" s="12"/>
      <c r="F84" s="12"/>
    </row>
    <row r="85" spans="1:6" ht="25.5" customHeight="1">
      <c r="A85" s="3" t="s">
        <v>2231</v>
      </c>
      <c r="B85" s="11"/>
      <c r="C85" s="11"/>
      <c r="D85" s="11"/>
      <c r="E85" s="11"/>
      <c r="F85" s="11"/>
    </row>
    <row r="86" spans="1:6" ht="25.5" customHeight="1">
      <c r="A86" s="4" t="s">
        <v>2232</v>
      </c>
      <c r="B86" s="12"/>
      <c r="C86" s="12"/>
      <c r="D86" s="12"/>
      <c r="E86" s="12"/>
      <c r="F86" s="12"/>
    </row>
    <row r="87" spans="1:6" ht="25.5" customHeight="1">
      <c r="A87" s="3" t="s">
        <v>2233</v>
      </c>
      <c r="B87" s="11"/>
      <c r="C87" s="11"/>
      <c r="D87" s="11"/>
      <c r="E87" s="11"/>
      <c r="F87" s="11"/>
    </row>
    <row r="88" spans="1:6" ht="25.5" customHeight="1">
      <c r="A88" s="4" t="s">
        <v>2234</v>
      </c>
      <c r="B88" s="12"/>
      <c r="C88" s="12"/>
      <c r="D88" s="12"/>
      <c r="E88" s="12"/>
      <c r="F88" s="12"/>
    </row>
    <row r="89" spans="1:6" ht="25.5" customHeight="1">
      <c r="A89" s="3" t="s">
        <v>2235</v>
      </c>
      <c r="B89" s="11"/>
      <c r="C89" s="11"/>
      <c r="D89" s="11"/>
      <c r="E89" s="11"/>
      <c r="F89" s="11"/>
    </row>
    <row r="90" spans="1:6" ht="12.75" customHeight="1">
      <c r="A90" s="4" t="s">
        <v>2236</v>
      </c>
      <c r="B90" s="12"/>
      <c r="C90" s="12"/>
      <c r="D90" s="12"/>
      <c r="E90" s="12"/>
      <c r="F90" s="12"/>
    </row>
    <row r="91" spans="1:6" ht="12.75" customHeight="1">
      <c r="A91" s="3" t="s">
        <v>2237</v>
      </c>
      <c r="B91" s="11"/>
      <c r="C91" s="11"/>
      <c r="D91" s="11"/>
      <c r="E91" s="11"/>
      <c r="F91" s="11"/>
    </row>
    <row r="92" spans="1:6" ht="12.75" customHeight="1">
      <c r="A92" s="4" t="s">
        <v>2238</v>
      </c>
      <c r="B92" s="12"/>
      <c r="C92" s="12"/>
      <c r="D92" s="12"/>
      <c r="E92" s="12"/>
      <c r="F92" s="12"/>
    </row>
    <row r="93" spans="1:6" ht="12.75" customHeight="1">
      <c r="A93" s="3" t="s">
        <v>2239</v>
      </c>
      <c r="B93" s="11"/>
      <c r="C93" s="11"/>
      <c r="D93" s="11"/>
      <c r="E93" s="11"/>
      <c r="F93" s="11"/>
    </row>
    <row r="94" spans="1:6" ht="12.75" customHeight="1">
      <c r="A94" s="4" t="s">
        <v>2240</v>
      </c>
      <c r="B94" s="12"/>
      <c r="C94" s="12"/>
      <c r="D94" s="12"/>
      <c r="E94" s="12"/>
      <c r="F94" s="12"/>
    </row>
    <row r="95" spans="1:6" ht="12.75" customHeight="1">
      <c r="A95" s="3" t="s">
        <v>2241</v>
      </c>
      <c r="B95" s="11"/>
      <c r="C95" s="11"/>
      <c r="D95" s="11"/>
      <c r="E95" s="11"/>
      <c r="F95" s="11"/>
    </row>
    <row r="96" spans="1:6" ht="12.75" customHeight="1">
      <c r="A96" s="4" t="s">
        <v>2242</v>
      </c>
      <c r="B96" s="12"/>
      <c r="C96" s="12"/>
      <c r="D96" s="12"/>
      <c r="E96" s="12"/>
      <c r="F96" s="12"/>
    </row>
    <row r="97" spans="1:6" ht="25.5" customHeight="1">
      <c r="A97" s="3" t="s">
        <v>2243</v>
      </c>
      <c r="B97" s="11"/>
      <c r="C97" s="11"/>
      <c r="D97" s="11"/>
      <c r="E97" s="11"/>
      <c r="F97" s="11"/>
    </row>
    <row r="98" spans="1:6" ht="38.25" customHeight="1">
      <c r="A98" s="4" t="s">
        <v>2244</v>
      </c>
      <c r="B98" s="12"/>
      <c r="C98" s="12"/>
      <c r="D98" s="12"/>
      <c r="E98" s="12"/>
      <c r="F98" s="12"/>
    </row>
    <row r="99" spans="1:6" ht="38.25" customHeight="1">
      <c r="A99" s="3" t="s">
        <v>2245</v>
      </c>
      <c r="B99" s="11"/>
      <c r="C99" s="11"/>
      <c r="D99" s="11"/>
      <c r="E99" s="11"/>
      <c r="F99" s="11"/>
    </row>
    <row r="100" spans="1:6" ht="25.5" customHeight="1">
      <c r="A100" s="4" t="s">
        <v>2246</v>
      </c>
      <c r="B100" s="12"/>
      <c r="C100" s="12"/>
      <c r="D100" s="12"/>
      <c r="E100" s="12"/>
      <c r="F100" s="12"/>
    </row>
    <row r="101" spans="1:6" ht="25.5" customHeight="1">
      <c r="A101" s="3" t="s">
        <v>2247</v>
      </c>
      <c r="B101" s="11"/>
      <c r="C101" s="11"/>
      <c r="D101" s="11"/>
      <c r="E101" s="11"/>
      <c r="F101" s="11"/>
    </row>
    <row r="102" spans="1:6" ht="12.75" customHeight="1">
      <c r="A102" s="4" t="s">
        <v>2248</v>
      </c>
      <c r="B102" s="12"/>
      <c r="C102" s="12"/>
      <c r="D102" s="12"/>
      <c r="E102" s="12"/>
      <c r="F102" s="12"/>
    </row>
    <row r="103" spans="1:6" ht="12.75" customHeight="1">
      <c r="A103" s="3" t="s">
        <v>2249</v>
      </c>
      <c r="B103" s="11">
        <f>+'DCA-Anexo I-D'!B104+'DCA-Anexo I-D'!B105+'DCA-Anexo I-D'!B106+'DCA-Anexo I-D'!B107+'DCA-Anexo I-D'!B108+'DCA-Anexo I-D'!B109+'DCA-Anexo I-D'!B110+'DCA-Anexo I-D'!B111+'DCA-Anexo I-D'!B112+'DCA-Anexo I-D'!B113+'DCA-Anexo I-D'!B114+'DCA-Anexo I-D'!B115+'DCA-Anexo I-D'!B116+'DCA-Anexo I-D'!B117+'DCA-Anexo I-D'!B118+'DCA-Anexo I-D'!B119+'DCA-Anexo I-D'!B121+'DCA-Anexo I-D'!B124+'DCA-Anexo I-D'!B125+'DCA-Anexo I-D'!B126+'DCA-Anexo I-D'!B138+'DCA-Anexo I-D'!B140+'DCA-Anexo I-D'!B141+'DCA-Anexo I-D'!B127+'DCA-Anexo I-D'!B142+'DCA-Anexo I-D'!B143+'DCA-Anexo I-D'!B144+'DCA-Anexo I-D'!B120+'DCA-Anexo I-D'!B122+'DCA-Anexo I-D'!B123+'DCA-Anexo I-D'!B139</f>
        <v>0</v>
      </c>
      <c r="C103" s="11">
        <f>+'DCA-Anexo I-D'!C104+'DCA-Anexo I-D'!C105+'DCA-Anexo I-D'!C106+'DCA-Anexo I-D'!C107+'DCA-Anexo I-D'!C108+'DCA-Anexo I-D'!C109+'DCA-Anexo I-D'!C110+'DCA-Anexo I-D'!C111+'DCA-Anexo I-D'!C112+'DCA-Anexo I-D'!C113+'DCA-Anexo I-D'!C114+'DCA-Anexo I-D'!C115+'DCA-Anexo I-D'!C116+'DCA-Anexo I-D'!C117+'DCA-Anexo I-D'!C118+'DCA-Anexo I-D'!C119+'DCA-Anexo I-D'!C121+'DCA-Anexo I-D'!C124+'DCA-Anexo I-D'!C125+'DCA-Anexo I-D'!C126+'DCA-Anexo I-D'!C138+'DCA-Anexo I-D'!C140+'DCA-Anexo I-D'!C141+'DCA-Anexo I-D'!C127+'DCA-Anexo I-D'!C142+'DCA-Anexo I-D'!C143+'DCA-Anexo I-D'!C144+'DCA-Anexo I-D'!C120+'DCA-Anexo I-D'!C122+'DCA-Anexo I-D'!C123+'DCA-Anexo I-D'!C139</f>
        <v>0</v>
      </c>
      <c r="D103" s="11">
        <f>+'DCA-Anexo I-D'!D104+'DCA-Anexo I-D'!D105+'DCA-Anexo I-D'!D106+'DCA-Anexo I-D'!D107+'DCA-Anexo I-D'!D108+'DCA-Anexo I-D'!D109+'DCA-Anexo I-D'!D110+'DCA-Anexo I-D'!D111+'DCA-Anexo I-D'!D112+'DCA-Anexo I-D'!D113+'DCA-Anexo I-D'!D114+'DCA-Anexo I-D'!D115+'DCA-Anexo I-D'!D116+'DCA-Anexo I-D'!D117+'DCA-Anexo I-D'!D118+'DCA-Anexo I-D'!D119+'DCA-Anexo I-D'!D121+'DCA-Anexo I-D'!D124+'DCA-Anexo I-D'!D125+'DCA-Anexo I-D'!D126+'DCA-Anexo I-D'!D138+'DCA-Anexo I-D'!D140+'DCA-Anexo I-D'!D141+'DCA-Anexo I-D'!D127+'DCA-Anexo I-D'!D142+'DCA-Anexo I-D'!D143+'DCA-Anexo I-D'!D144+'DCA-Anexo I-D'!D120+'DCA-Anexo I-D'!D122+'DCA-Anexo I-D'!D123+'DCA-Anexo I-D'!D139</f>
        <v>0</v>
      </c>
      <c r="E103" s="11">
        <f>+'DCA-Anexo I-D'!E104+'DCA-Anexo I-D'!E105+'DCA-Anexo I-D'!E106+'DCA-Anexo I-D'!E107+'DCA-Anexo I-D'!E108+'DCA-Anexo I-D'!E109+'DCA-Anexo I-D'!E110+'DCA-Anexo I-D'!E111+'DCA-Anexo I-D'!E112+'DCA-Anexo I-D'!E113+'DCA-Anexo I-D'!E114+'DCA-Anexo I-D'!E115+'DCA-Anexo I-D'!E116+'DCA-Anexo I-D'!E117+'DCA-Anexo I-D'!E118+'DCA-Anexo I-D'!E119+'DCA-Anexo I-D'!E121+'DCA-Anexo I-D'!E124+'DCA-Anexo I-D'!E125+'DCA-Anexo I-D'!E126+'DCA-Anexo I-D'!E138+'DCA-Anexo I-D'!E140+'DCA-Anexo I-D'!E141+'DCA-Anexo I-D'!E127+'DCA-Anexo I-D'!E142+'DCA-Anexo I-D'!E143+'DCA-Anexo I-D'!E144+'DCA-Anexo I-D'!E120+'DCA-Anexo I-D'!E122+'DCA-Anexo I-D'!E123+'DCA-Anexo I-D'!E139</f>
        <v>0</v>
      </c>
      <c r="F103" s="11">
        <f>+'DCA-Anexo I-D'!F104+'DCA-Anexo I-D'!F105+'DCA-Anexo I-D'!F106+'DCA-Anexo I-D'!F107+'DCA-Anexo I-D'!F108+'DCA-Anexo I-D'!F109+'DCA-Anexo I-D'!F110+'DCA-Anexo I-D'!F111+'DCA-Anexo I-D'!F112+'DCA-Anexo I-D'!F113+'DCA-Anexo I-D'!F114+'DCA-Anexo I-D'!F115+'DCA-Anexo I-D'!F116+'DCA-Anexo I-D'!F117+'DCA-Anexo I-D'!F118+'DCA-Anexo I-D'!F119+'DCA-Anexo I-D'!F121+'DCA-Anexo I-D'!F124+'DCA-Anexo I-D'!F125+'DCA-Anexo I-D'!F126+'DCA-Anexo I-D'!F138+'DCA-Anexo I-D'!F140+'DCA-Anexo I-D'!F141+'DCA-Anexo I-D'!F127+'DCA-Anexo I-D'!F142+'DCA-Anexo I-D'!F143+'DCA-Anexo I-D'!F144+'DCA-Anexo I-D'!F120+'DCA-Anexo I-D'!F122+'DCA-Anexo I-D'!F123+'DCA-Anexo I-D'!F139</f>
        <v>0</v>
      </c>
    </row>
    <row r="104" spans="1:6" ht="12.75" customHeight="1">
      <c r="A104" s="4" t="s">
        <v>2250</v>
      </c>
      <c r="B104" s="12"/>
      <c r="C104" s="12"/>
      <c r="D104" s="12"/>
      <c r="E104" s="12"/>
      <c r="F104" s="12"/>
    </row>
    <row r="105" spans="1:6" ht="12.75" customHeight="1">
      <c r="A105" s="3" t="s">
        <v>2251</v>
      </c>
      <c r="B105" s="11"/>
      <c r="C105" s="11"/>
      <c r="D105" s="11"/>
      <c r="E105" s="11"/>
      <c r="F105" s="11"/>
    </row>
    <row r="106" spans="1:6" ht="12.75" customHeight="1">
      <c r="A106" s="4" t="s">
        <v>2252</v>
      </c>
      <c r="B106" s="12"/>
      <c r="C106" s="12"/>
      <c r="D106" s="12"/>
      <c r="E106" s="12"/>
      <c r="F106" s="12"/>
    </row>
    <row r="107" spans="1:6" ht="25.5" customHeight="1">
      <c r="A107" s="3" t="s">
        <v>2253</v>
      </c>
      <c r="B107" s="11"/>
      <c r="C107" s="11"/>
      <c r="D107" s="11"/>
      <c r="E107" s="11"/>
      <c r="F107" s="11"/>
    </row>
    <row r="108" spans="1:6" ht="25.5" customHeight="1">
      <c r="A108" s="4" t="s">
        <v>2254</v>
      </c>
      <c r="B108" s="12"/>
      <c r="C108" s="12"/>
      <c r="D108" s="12"/>
      <c r="E108" s="12"/>
      <c r="F108" s="12"/>
    </row>
    <row r="109" spans="1:6" ht="38.25" customHeight="1">
      <c r="A109" s="3" t="s">
        <v>2255</v>
      </c>
      <c r="B109" s="11"/>
      <c r="C109" s="11"/>
      <c r="D109" s="11"/>
      <c r="E109" s="11"/>
      <c r="F109" s="11"/>
    </row>
    <row r="110" spans="1:6" ht="38.25" customHeight="1">
      <c r="A110" s="4" t="s">
        <v>2256</v>
      </c>
      <c r="B110" s="12"/>
      <c r="C110" s="12"/>
      <c r="D110" s="12"/>
      <c r="E110" s="12"/>
      <c r="F110" s="12"/>
    </row>
    <row r="111" spans="1:6" ht="12.75" customHeight="1">
      <c r="A111" s="3" t="s">
        <v>2257</v>
      </c>
      <c r="B111" s="11"/>
      <c r="C111" s="11"/>
      <c r="D111" s="11"/>
      <c r="E111" s="11"/>
      <c r="F111" s="11"/>
    </row>
    <row r="112" spans="1:6" ht="12.75" customHeight="1">
      <c r="A112" s="4" t="s">
        <v>2258</v>
      </c>
      <c r="B112" s="12"/>
      <c r="C112" s="12"/>
      <c r="D112" s="12"/>
      <c r="E112" s="12"/>
      <c r="F112" s="12"/>
    </row>
    <row r="113" spans="1:6" ht="12.75" customHeight="1">
      <c r="A113" s="3" t="s">
        <v>2259</v>
      </c>
      <c r="B113" s="11"/>
      <c r="C113" s="11"/>
      <c r="D113" s="11"/>
      <c r="E113" s="11"/>
      <c r="F113" s="11"/>
    </row>
    <row r="114" spans="1:6" ht="38.25" customHeight="1">
      <c r="A114" s="4" t="s">
        <v>2260</v>
      </c>
      <c r="B114" s="12"/>
      <c r="C114" s="12"/>
      <c r="D114" s="12"/>
      <c r="E114" s="12"/>
      <c r="F114" s="12"/>
    </row>
    <row r="115" spans="1:6" ht="25.5" customHeight="1">
      <c r="A115" s="3" t="s">
        <v>2261</v>
      </c>
      <c r="B115" s="11"/>
      <c r="C115" s="11"/>
      <c r="D115" s="11"/>
      <c r="E115" s="11"/>
      <c r="F115" s="11"/>
    </row>
    <row r="116" spans="1:6" ht="25.5" customHeight="1">
      <c r="A116" s="4" t="s">
        <v>2262</v>
      </c>
      <c r="B116" s="12"/>
      <c r="C116" s="12"/>
      <c r="D116" s="12"/>
      <c r="E116" s="12"/>
      <c r="F116" s="12"/>
    </row>
    <row r="117" spans="1:6" ht="25.5" customHeight="1">
      <c r="A117" s="3" t="s">
        <v>2263</v>
      </c>
      <c r="B117" s="11"/>
      <c r="C117" s="11"/>
      <c r="D117" s="11"/>
      <c r="E117" s="11"/>
      <c r="F117" s="11"/>
    </row>
    <row r="118" spans="1:6" ht="12.75" customHeight="1">
      <c r="A118" s="4" t="s">
        <v>2264</v>
      </c>
      <c r="B118" s="12"/>
      <c r="C118" s="12"/>
      <c r="D118" s="12"/>
      <c r="E118" s="12"/>
      <c r="F118" s="12"/>
    </row>
    <row r="119" spans="1:6" ht="12.75" customHeight="1">
      <c r="A119" s="3" t="s">
        <v>2265</v>
      </c>
      <c r="B119" s="11"/>
      <c r="C119" s="11"/>
      <c r="D119" s="11"/>
      <c r="E119" s="11"/>
      <c r="F119" s="11"/>
    </row>
    <row r="120" spans="1:6" ht="25.5" customHeight="1">
      <c r="A120" s="4" t="s">
        <v>2266</v>
      </c>
      <c r="B120" s="12"/>
      <c r="C120" s="12"/>
      <c r="D120" s="12"/>
      <c r="E120" s="12"/>
      <c r="F120" s="12"/>
    </row>
    <row r="121" spans="1:6" ht="12.75" customHeight="1">
      <c r="A121" s="3" t="s">
        <v>2267</v>
      </c>
      <c r="B121" s="11"/>
      <c r="C121" s="11"/>
      <c r="D121" s="11"/>
      <c r="E121" s="11"/>
      <c r="F121" s="11"/>
    </row>
    <row r="122" spans="1:6" ht="38.25" customHeight="1">
      <c r="A122" s="4" t="s">
        <v>2268</v>
      </c>
      <c r="B122" s="12"/>
      <c r="C122" s="12"/>
      <c r="D122" s="12"/>
      <c r="E122" s="12"/>
      <c r="F122" s="12"/>
    </row>
    <row r="123" spans="1:6" ht="38.25" customHeight="1">
      <c r="A123" s="3" t="s">
        <v>2269</v>
      </c>
      <c r="B123" s="11"/>
      <c r="C123" s="11"/>
      <c r="D123" s="11"/>
      <c r="E123" s="11"/>
      <c r="F123" s="11"/>
    </row>
    <row r="124" spans="1:6" ht="38.25" customHeight="1">
      <c r="A124" s="4" t="s">
        <v>2270</v>
      </c>
      <c r="B124" s="12"/>
      <c r="C124" s="12"/>
      <c r="D124" s="12"/>
      <c r="E124" s="12"/>
      <c r="F124" s="12"/>
    </row>
    <row r="125" spans="1:6" ht="25.5" customHeight="1">
      <c r="A125" s="3" t="s">
        <v>2271</v>
      </c>
      <c r="B125" s="11"/>
      <c r="C125" s="11"/>
      <c r="D125" s="11"/>
      <c r="E125" s="11"/>
      <c r="F125" s="11"/>
    </row>
    <row r="126" spans="1:6" ht="12.75" customHeight="1">
      <c r="A126" s="4" t="s">
        <v>2272</v>
      </c>
      <c r="B126" s="12"/>
      <c r="C126" s="12"/>
      <c r="D126" s="12"/>
      <c r="E126" s="12"/>
      <c r="F126" s="12"/>
    </row>
    <row r="127" spans="1:6" ht="12.75" customHeight="1">
      <c r="A127" s="3" t="s">
        <v>2273</v>
      </c>
      <c r="B127" s="11">
        <f>+'DCA-Anexo I-D'!B134+'DCA-Anexo I-D'!B137+'DCA-Anexo I-D'!B136+'DCA-Anexo I-D'!B132+'DCA-Anexo I-D'!B133+'DCA-Anexo I-D'!B129+'DCA-Anexo I-D'!B135+'DCA-Anexo I-D'!B128+'DCA-Anexo I-D'!B130+'DCA-Anexo I-D'!B131</f>
        <v>0</v>
      </c>
      <c r="C127" s="11">
        <f>+'DCA-Anexo I-D'!C134+'DCA-Anexo I-D'!C137+'DCA-Anexo I-D'!C136+'DCA-Anexo I-D'!C132+'DCA-Anexo I-D'!C133+'DCA-Anexo I-D'!C129+'DCA-Anexo I-D'!C135+'DCA-Anexo I-D'!C128+'DCA-Anexo I-D'!C130+'DCA-Anexo I-D'!C131</f>
        <v>0</v>
      </c>
      <c r="D127" s="11">
        <f>+'DCA-Anexo I-D'!D134+'DCA-Anexo I-D'!D137+'DCA-Anexo I-D'!D136+'DCA-Anexo I-D'!D132+'DCA-Anexo I-D'!D133+'DCA-Anexo I-D'!D129+'DCA-Anexo I-D'!D135+'DCA-Anexo I-D'!D128+'DCA-Anexo I-D'!D130+'DCA-Anexo I-D'!D131</f>
        <v>0</v>
      </c>
      <c r="E127" s="11">
        <f>+'DCA-Anexo I-D'!E134+'DCA-Anexo I-D'!E137+'DCA-Anexo I-D'!E136+'DCA-Anexo I-D'!E132+'DCA-Anexo I-D'!E133+'DCA-Anexo I-D'!E129+'DCA-Anexo I-D'!E135+'DCA-Anexo I-D'!E128+'DCA-Anexo I-D'!E130+'DCA-Anexo I-D'!E131</f>
        <v>0</v>
      </c>
      <c r="F127" s="11">
        <f>+'DCA-Anexo I-D'!F134+'DCA-Anexo I-D'!F137+'DCA-Anexo I-D'!F136+'DCA-Anexo I-D'!F132+'DCA-Anexo I-D'!F133+'DCA-Anexo I-D'!F129+'DCA-Anexo I-D'!F135+'DCA-Anexo I-D'!F128+'DCA-Anexo I-D'!F130+'DCA-Anexo I-D'!F131</f>
        <v>0</v>
      </c>
    </row>
    <row r="128" spans="1:6" ht="12.75" customHeight="1">
      <c r="A128" s="4" t="s">
        <v>2274</v>
      </c>
      <c r="B128" s="12"/>
      <c r="C128" s="12"/>
      <c r="D128" s="12"/>
      <c r="E128" s="12"/>
      <c r="F128" s="12"/>
    </row>
    <row r="129" spans="1:6" ht="12.75" customHeight="1">
      <c r="A129" s="3" t="s">
        <v>2275</v>
      </c>
      <c r="B129" s="11"/>
      <c r="C129" s="11"/>
      <c r="D129" s="11"/>
      <c r="E129" s="11"/>
      <c r="F129" s="11"/>
    </row>
    <row r="130" spans="1:6" ht="12.75" customHeight="1">
      <c r="A130" s="4" t="s">
        <v>2276</v>
      </c>
      <c r="B130" s="12"/>
      <c r="C130" s="12"/>
      <c r="D130" s="12"/>
      <c r="E130" s="12"/>
      <c r="F130" s="12"/>
    </row>
    <row r="131" spans="1:6" ht="12.75" customHeight="1">
      <c r="A131" s="3" t="s">
        <v>2277</v>
      </c>
      <c r="B131" s="11"/>
      <c r="C131" s="11"/>
      <c r="D131" s="11"/>
      <c r="E131" s="11"/>
      <c r="F131" s="11"/>
    </row>
    <row r="132" spans="1:6" ht="25.5" customHeight="1">
      <c r="A132" s="4" t="s">
        <v>2278</v>
      </c>
      <c r="B132" s="12"/>
      <c r="C132" s="12"/>
      <c r="D132" s="12"/>
      <c r="E132" s="12"/>
      <c r="F132" s="12"/>
    </row>
    <row r="133" spans="1:6" ht="12.75" customHeight="1">
      <c r="A133" s="3" t="s">
        <v>2279</v>
      </c>
      <c r="B133" s="11"/>
      <c r="C133" s="11"/>
      <c r="D133" s="11"/>
      <c r="E133" s="11"/>
      <c r="F133" s="11"/>
    </row>
    <row r="134" spans="1:6" ht="12.75" customHeight="1">
      <c r="A134" s="4" t="s">
        <v>2280</v>
      </c>
      <c r="B134" s="12"/>
      <c r="C134" s="12"/>
      <c r="D134" s="12"/>
      <c r="E134" s="12"/>
      <c r="F134" s="12"/>
    </row>
    <row r="135" spans="1:6" ht="12.75" customHeight="1">
      <c r="A135" s="3" t="s">
        <v>2281</v>
      </c>
      <c r="B135" s="11"/>
      <c r="C135" s="11"/>
      <c r="D135" s="11"/>
      <c r="E135" s="11"/>
      <c r="F135" s="11"/>
    </row>
    <row r="136" spans="1:6" ht="12.75" customHeight="1">
      <c r="A136" s="4" t="s">
        <v>2282</v>
      </c>
      <c r="B136" s="12"/>
      <c r="C136" s="12"/>
      <c r="D136" s="12"/>
      <c r="E136" s="12"/>
      <c r="F136" s="12"/>
    </row>
    <row r="137" spans="1:6" ht="12.75" customHeight="1">
      <c r="A137" s="3" t="s">
        <v>2283</v>
      </c>
      <c r="B137" s="11"/>
      <c r="C137" s="11"/>
      <c r="D137" s="11"/>
      <c r="E137" s="11"/>
      <c r="F137" s="11"/>
    </row>
    <row r="138" spans="1:6" ht="25.5" customHeight="1">
      <c r="A138" s="4" t="s">
        <v>2284</v>
      </c>
      <c r="B138" s="12"/>
      <c r="C138" s="12"/>
      <c r="D138" s="12"/>
      <c r="E138" s="12"/>
      <c r="F138" s="12"/>
    </row>
    <row r="139" spans="1:6" ht="25.5" customHeight="1">
      <c r="A139" s="3" t="s">
        <v>2285</v>
      </c>
      <c r="B139" s="11"/>
      <c r="C139" s="11"/>
      <c r="D139" s="11"/>
      <c r="E139" s="11"/>
      <c r="F139" s="11"/>
    </row>
    <row r="140" spans="1:6" ht="38.25" customHeight="1">
      <c r="A140" s="4" t="s">
        <v>2286</v>
      </c>
      <c r="B140" s="12"/>
      <c r="C140" s="12"/>
      <c r="D140" s="12"/>
      <c r="E140" s="12"/>
      <c r="F140" s="12"/>
    </row>
    <row r="141" spans="1:6" ht="38.25" customHeight="1">
      <c r="A141" s="3" t="s">
        <v>2287</v>
      </c>
      <c r="B141" s="11"/>
      <c r="C141" s="11"/>
      <c r="D141" s="11"/>
      <c r="E141" s="11"/>
      <c r="F141" s="11"/>
    </row>
    <row r="142" spans="1:6" ht="25.5" customHeight="1">
      <c r="A142" s="4" t="s">
        <v>2288</v>
      </c>
      <c r="B142" s="12"/>
      <c r="C142" s="12"/>
      <c r="D142" s="12"/>
      <c r="E142" s="12"/>
      <c r="F142" s="12"/>
    </row>
    <row r="143" spans="1:6" ht="25.5" customHeight="1">
      <c r="A143" s="3" t="s">
        <v>2289</v>
      </c>
      <c r="B143" s="11"/>
      <c r="C143" s="11"/>
      <c r="D143" s="11"/>
      <c r="E143" s="11"/>
      <c r="F143" s="11"/>
    </row>
    <row r="144" spans="1:6" ht="12.75" customHeight="1">
      <c r="A144" s="4" t="s">
        <v>2290</v>
      </c>
      <c r="B144" s="12"/>
      <c r="C144" s="12"/>
      <c r="D144" s="12"/>
      <c r="E144" s="12"/>
      <c r="F144" s="12"/>
    </row>
    <row r="145" spans="1:6" ht="12.75" customHeight="1">
      <c r="A145" s="3" t="s">
        <v>2291</v>
      </c>
      <c r="B145" s="11">
        <f>+'DCA-Anexo I-D'!B158+'DCA-Anexo I-D'!B172+'DCA-Anexo I-D'!B175+'DCA-Anexo I-D'!B165+'DCA-Anexo I-D'!B170+'DCA-Anexo I-D'!B168+'DCA-Anexo I-D'!B177+'DCA-Anexo I-D'!B176+'DCA-Anexo I-D'!B167+'DCA-Anexo I-D'!B178+'DCA-Anexo I-D'!B154+'DCA-Anexo I-D'!B179+'DCA-Anexo I-D'!B166+'DCA-Anexo I-D'!B148+'DCA-Anexo I-D'!B146+'DCA-Anexo I-D'!B155+'DCA-Anexo I-D'!B157+'DCA-Anexo I-D'!B169+'DCA-Anexo I-D'!B231+'DCA-Anexo I-D'!B156+'DCA-Anexo I-D'!B173+'DCA-Anexo I-D'!B234+'DCA-Anexo I-D'!B232+'DCA-Anexo I-D'!B147+'DCA-Anexo I-D'!B233+'DCA-Anexo I-D'!B174+'DCA-Anexo I-D'!B230+'DCA-Anexo I-D'!B180+'DCA-Anexo I-D'!B171+'DCA-Anexo I-D'!B228+'DCA-Anexo I-D'!B229</f>
        <v>75708153.00999999</v>
      </c>
      <c r="C145" s="11">
        <f>+'DCA-Anexo I-D'!C158+'DCA-Anexo I-D'!C172+'DCA-Anexo I-D'!C175+'DCA-Anexo I-D'!C165+'DCA-Anexo I-D'!C170+'DCA-Anexo I-D'!C168+'DCA-Anexo I-D'!C177+'DCA-Anexo I-D'!C176+'DCA-Anexo I-D'!C167+'DCA-Anexo I-D'!C178+'DCA-Anexo I-D'!C154+'DCA-Anexo I-D'!C179+'DCA-Anexo I-D'!C166+'DCA-Anexo I-D'!C148+'DCA-Anexo I-D'!C146+'DCA-Anexo I-D'!C155+'DCA-Anexo I-D'!C157+'DCA-Anexo I-D'!C169+'DCA-Anexo I-D'!C231+'DCA-Anexo I-D'!C156+'DCA-Anexo I-D'!C173+'DCA-Anexo I-D'!C234+'DCA-Anexo I-D'!C232+'DCA-Anexo I-D'!C147+'DCA-Anexo I-D'!C233+'DCA-Anexo I-D'!C174+'DCA-Anexo I-D'!C230+'DCA-Anexo I-D'!C180+'DCA-Anexo I-D'!C171+'DCA-Anexo I-D'!C228+'DCA-Anexo I-D'!C229</f>
        <v>75708153.00999999</v>
      </c>
      <c r="D145" s="11">
        <f>+'DCA-Anexo I-D'!D158+'DCA-Anexo I-D'!D172+'DCA-Anexo I-D'!D175+'DCA-Anexo I-D'!D165+'DCA-Anexo I-D'!D170+'DCA-Anexo I-D'!D168+'DCA-Anexo I-D'!D177+'DCA-Anexo I-D'!D176+'DCA-Anexo I-D'!D167+'DCA-Anexo I-D'!D178+'DCA-Anexo I-D'!D154+'DCA-Anexo I-D'!D179+'DCA-Anexo I-D'!D166+'DCA-Anexo I-D'!D148+'DCA-Anexo I-D'!D146+'DCA-Anexo I-D'!D155+'DCA-Anexo I-D'!D157+'DCA-Anexo I-D'!D169+'DCA-Anexo I-D'!D231+'DCA-Anexo I-D'!D156+'DCA-Anexo I-D'!D173+'DCA-Anexo I-D'!D234+'DCA-Anexo I-D'!D232+'DCA-Anexo I-D'!D147+'DCA-Anexo I-D'!D233+'DCA-Anexo I-D'!D174+'DCA-Anexo I-D'!D230+'DCA-Anexo I-D'!D180+'DCA-Anexo I-D'!D171+'DCA-Anexo I-D'!D228+'DCA-Anexo I-D'!D229</f>
        <v>67162023.989999995</v>
      </c>
      <c r="E145" s="11">
        <f>+'DCA-Anexo I-D'!E158+'DCA-Anexo I-D'!E172+'DCA-Anexo I-D'!E175+'DCA-Anexo I-D'!E165+'DCA-Anexo I-D'!E170+'DCA-Anexo I-D'!E168+'DCA-Anexo I-D'!E177+'DCA-Anexo I-D'!E176+'DCA-Anexo I-D'!E167+'DCA-Anexo I-D'!E178+'DCA-Anexo I-D'!E154+'DCA-Anexo I-D'!E179+'DCA-Anexo I-D'!E166+'DCA-Anexo I-D'!E148+'DCA-Anexo I-D'!E146+'DCA-Anexo I-D'!E155+'DCA-Anexo I-D'!E157+'DCA-Anexo I-D'!E169+'DCA-Anexo I-D'!E231+'DCA-Anexo I-D'!E156+'DCA-Anexo I-D'!E173+'DCA-Anexo I-D'!E234+'DCA-Anexo I-D'!E232+'DCA-Anexo I-D'!E147+'DCA-Anexo I-D'!E233+'DCA-Anexo I-D'!E174+'DCA-Anexo I-D'!E230+'DCA-Anexo I-D'!E180+'DCA-Anexo I-D'!E171+'DCA-Anexo I-D'!E228+'DCA-Anexo I-D'!E229</f>
        <v>0</v>
      </c>
      <c r="F145" s="11">
        <f>+'DCA-Anexo I-D'!F158+'DCA-Anexo I-D'!F172+'DCA-Anexo I-D'!F175+'DCA-Anexo I-D'!F165+'DCA-Anexo I-D'!F170+'DCA-Anexo I-D'!F168+'DCA-Anexo I-D'!F177+'DCA-Anexo I-D'!F176+'DCA-Anexo I-D'!F167+'DCA-Anexo I-D'!F178+'DCA-Anexo I-D'!F154+'DCA-Anexo I-D'!F179+'DCA-Anexo I-D'!F166+'DCA-Anexo I-D'!F148+'DCA-Anexo I-D'!F146+'DCA-Anexo I-D'!F155+'DCA-Anexo I-D'!F157+'DCA-Anexo I-D'!F169+'DCA-Anexo I-D'!F231+'DCA-Anexo I-D'!F156+'DCA-Anexo I-D'!F173+'DCA-Anexo I-D'!F234+'DCA-Anexo I-D'!F232+'DCA-Anexo I-D'!F147+'DCA-Anexo I-D'!F233+'DCA-Anexo I-D'!F174+'DCA-Anexo I-D'!F230+'DCA-Anexo I-D'!F180+'DCA-Anexo I-D'!F171+'DCA-Anexo I-D'!F228+'DCA-Anexo I-D'!F229</f>
        <v>8546129.0200000014</v>
      </c>
    </row>
    <row r="146" spans="1:6" ht="12.75" customHeight="1">
      <c r="A146" s="4" t="s">
        <v>2292</v>
      </c>
      <c r="B146" s="12"/>
      <c r="C146" s="12"/>
      <c r="D146" s="12"/>
      <c r="E146" s="12"/>
      <c r="F146" s="12"/>
    </row>
    <row r="147" spans="1:6" ht="12.75" customHeight="1">
      <c r="A147" s="3" t="s">
        <v>2293</v>
      </c>
      <c r="B147" s="11"/>
      <c r="C147" s="11"/>
      <c r="D147" s="11"/>
      <c r="E147" s="11"/>
      <c r="F147" s="11"/>
    </row>
    <row r="148" spans="1:6" ht="12.75" customHeight="1">
      <c r="A148" s="4" t="s">
        <v>2294</v>
      </c>
      <c r="B148" s="12">
        <f>+'DCA-Anexo I-D'!B150+'DCA-Anexo I-D'!B153+'DCA-Anexo I-D'!B149+'DCA-Anexo I-D'!B151+'DCA-Anexo I-D'!B152</f>
        <v>0</v>
      </c>
      <c r="C148" s="12">
        <f>+'DCA-Anexo I-D'!C150+'DCA-Anexo I-D'!C153+'DCA-Anexo I-D'!C149+'DCA-Anexo I-D'!C151+'DCA-Anexo I-D'!C152</f>
        <v>0</v>
      </c>
      <c r="D148" s="12">
        <f>+'DCA-Anexo I-D'!D150+'DCA-Anexo I-D'!D153+'DCA-Anexo I-D'!D149+'DCA-Anexo I-D'!D151+'DCA-Anexo I-D'!D152</f>
        <v>0</v>
      </c>
      <c r="E148" s="12">
        <f>+'DCA-Anexo I-D'!E150+'DCA-Anexo I-D'!E153+'DCA-Anexo I-D'!E149+'DCA-Anexo I-D'!E151+'DCA-Anexo I-D'!E152</f>
        <v>0</v>
      </c>
      <c r="F148" s="12">
        <f>+'DCA-Anexo I-D'!F150+'DCA-Anexo I-D'!F153+'DCA-Anexo I-D'!F149+'DCA-Anexo I-D'!F151+'DCA-Anexo I-D'!F152</f>
        <v>0</v>
      </c>
    </row>
    <row r="149" spans="1:6" ht="12.75" customHeight="1">
      <c r="A149" s="3" t="s">
        <v>2295</v>
      </c>
      <c r="B149" s="11"/>
      <c r="C149" s="11"/>
      <c r="D149" s="11"/>
      <c r="E149" s="11"/>
      <c r="F149" s="11"/>
    </row>
    <row r="150" spans="1:6" ht="12.75" customHeight="1">
      <c r="A150" s="4" t="s">
        <v>2296</v>
      </c>
      <c r="B150" s="12"/>
      <c r="C150" s="12"/>
      <c r="D150" s="12"/>
      <c r="E150" s="12"/>
      <c r="F150" s="12"/>
    </row>
    <row r="151" spans="1:6" ht="12.75" customHeight="1">
      <c r="A151" s="3" t="s">
        <v>2297</v>
      </c>
      <c r="B151" s="11"/>
      <c r="C151" s="11"/>
      <c r="D151" s="11"/>
      <c r="E151" s="11"/>
      <c r="F151" s="11"/>
    </row>
    <row r="152" spans="1:6" ht="12.75" customHeight="1">
      <c r="A152" s="4" t="s">
        <v>2298</v>
      </c>
      <c r="B152" s="12"/>
      <c r="C152" s="12"/>
      <c r="D152" s="12"/>
      <c r="E152" s="12"/>
      <c r="F152" s="12"/>
    </row>
    <row r="153" spans="1:6" ht="12.75" customHeight="1">
      <c r="A153" s="3" t="s">
        <v>2299</v>
      </c>
      <c r="B153" s="11"/>
      <c r="C153" s="11"/>
      <c r="D153" s="11"/>
      <c r="E153" s="11"/>
      <c r="F153" s="11"/>
    </row>
    <row r="154" spans="1:6" ht="25.5" customHeight="1">
      <c r="A154" s="4" t="s">
        <v>2300</v>
      </c>
      <c r="B154" s="12"/>
      <c r="C154" s="12"/>
      <c r="D154" s="12"/>
      <c r="E154" s="12"/>
      <c r="F154" s="12"/>
    </row>
    <row r="155" spans="1:6" ht="25.5" customHeight="1">
      <c r="A155" s="3" t="s">
        <v>2301</v>
      </c>
      <c r="B155" s="11"/>
      <c r="C155" s="11"/>
      <c r="D155" s="11"/>
      <c r="E155" s="11"/>
      <c r="F155" s="11"/>
    </row>
    <row r="156" spans="1:6" ht="38.25" customHeight="1">
      <c r="A156" s="4" t="s">
        <v>2302</v>
      </c>
      <c r="B156" s="12"/>
      <c r="C156" s="12"/>
      <c r="D156" s="12"/>
      <c r="E156" s="12"/>
      <c r="F156" s="12"/>
    </row>
    <row r="157" spans="1:6" ht="38.25" customHeight="1">
      <c r="A157" s="3" t="s">
        <v>2303</v>
      </c>
      <c r="B157" s="11"/>
      <c r="C157" s="11"/>
      <c r="D157" s="11"/>
      <c r="E157" s="11"/>
      <c r="F157" s="11"/>
    </row>
    <row r="158" spans="1:6" ht="12.75" customHeight="1">
      <c r="A158" s="4" t="s">
        <v>2304</v>
      </c>
      <c r="B158" s="12">
        <f>+'DCA-Anexo I-D'!B164+'DCA-Anexo I-D'!B160+'DCA-Anexo I-D'!B159+'DCA-Anexo I-D'!B161+'DCA-Anexo I-D'!B162+'DCA-Anexo I-D'!B163</f>
        <v>0</v>
      </c>
      <c r="C158" s="12">
        <f>+'DCA-Anexo I-D'!C164+'DCA-Anexo I-D'!C160+'DCA-Anexo I-D'!C159+'DCA-Anexo I-D'!C161+'DCA-Anexo I-D'!C162+'DCA-Anexo I-D'!C163</f>
        <v>0</v>
      </c>
      <c r="D158" s="12">
        <f>+'DCA-Anexo I-D'!D164+'DCA-Anexo I-D'!D160+'DCA-Anexo I-D'!D159+'DCA-Anexo I-D'!D161+'DCA-Anexo I-D'!D162+'DCA-Anexo I-D'!D163</f>
        <v>0</v>
      </c>
      <c r="E158" s="12">
        <f>+'DCA-Anexo I-D'!E164+'DCA-Anexo I-D'!E160+'DCA-Anexo I-D'!E159+'DCA-Anexo I-D'!E161+'DCA-Anexo I-D'!E162+'DCA-Anexo I-D'!E163</f>
        <v>0</v>
      </c>
      <c r="F158" s="12">
        <f>+'DCA-Anexo I-D'!F164+'DCA-Anexo I-D'!F160+'DCA-Anexo I-D'!F159+'DCA-Anexo I-D'!F161+'DCA-Anexo I-D'!F162+'DCA-Anexo I-D'!F163</f>
        <v>0</v>
      </c>
    </row>
    <row r="159" spans="1:6" ht="12.75" customHeight="1">
      <c r="A159" s="3" t="s">
        <v>2305</v>
      </c>
      <c r="B159" s="11"/>
      <c r="C159" s="11"/>
      <c r="D159" s="11"/>
      <c r="E159" s="11"/>
      <c r="F159" s="11"/>
    </row>
    <row r="160" spans="1:6" ht="12.75" customHeight="1">
      <c r="A160" s="4" t="s">
        <v>2306</v>
      </c>
      <c r="B160" s="12"/>
      <c r="C160" s="12"/>
      <c r="D160" s="12"/>
      <c r="E160" s="12"/>
      <c r="F160" s="12"/>
    </row>
    <row r="161" spans="1:6" ht="12.75" customHeight="1">
      <c r="A161" s="3" t="s">
        <v>2307</v>
      </c>
      <c r="B161" s="11"/>
      <c r="C161" s="11"/>
      <c r="D161" s="11"/>
      <c r="E161" s="11"/>
      <c r="F161" s="11"/>
    </row>
    <row r="162" spans="1:6" ht="12.75" customHeight="1">
      <c r="A162" s="4" t="s">
        <v>2308</v>
      </c>
      <c r="B162" s="12"/>
      <c r="C162" s="12"/>
      <c r="D162" s="12"/>
      <c r="E162" s="12"/>
      <c r="F162" s="12"/>
    </row>
    <row r="163" spans="1:6" ht="12.75" customHeight="1">
      <c r="A163" s="3" t="s">
        <v>2309</v>
      </c>
      <c r="B163" s="11"/>
      <c r="C163" s="11"/>
      <c r="D163" s="11"/>
      <c r="E163" s="11"/>
      <c r="F163" s="11"/>
    </row>
    <row r="164" spans="1:6" ht="12.75" customHeight="1">
      <c r="A164" s="4" t="s">
        <v>2310</v>
      </c>
      <c r="B164" s="12"/>
      <c r="C164" s="12"/>
      <c r="D164" s="12"/>
      <c r="E164" s="12"/>
      <c r="F164" s="12"/>
    </row>
    <row r="165" spans="1:6" ht="12.75" customHeight="1">
      <c r="A165" s="3" t="s">
        <v>2311</v>
      </c>
      <c r="B165" s="11"/>
      <c r="C165" s="11"/>
      <c r="D165" s="11"/>
      <c r="E165" s="11"/>
      <c r="F165" s="11"/>
    </row>
    <row r="166" spans="1:6" ht="12.75" customHeight="1">
      <c r="A166" s="4" t="s">
        <v>2312</v>
      </c>
      <c r="B166" s="12"/>
      <c r="C166" s="12"/>
      <c r="D166" s="12"/>
      <c r="E166" s="12"/>
      <c r="F166" s="12"/>
    </row>
    <row r="167" spans="1:6" ht="38.25" customHeight="1">
      <c r="A167" s="3" t="s">
        <v>2313</v>
      </c>
      <c r="B167" s="11"/>
      <c r="C167" s="11"/>
      <c r="D167" s="11"/>
      <c r="E167" s="11"/>
      <c r="F167" s="11"/>
    </row>
    <row r="168" spans="1:6" ht="25.5" customHeight="1">
      <c r="A168" s="4" t="s">
        <v>2314</v>
      </c>
      <c r="B168" s="12"/>
      <c r="C168" s="12"/>
      <c r="D168" s="12"/>
      <c r="E168" s="12"/>
      <c r="F168" s="12"/>
    </row>
    <row r="169" spans="1:6" ht="25.5" customHeight="1">
      <c r="A169" s="3" t="s">
        <v>2315</v>
      </c>
      <c r="B169" s="11">
        <v>44429</v>
      </c>
      <c r="C169" s="11">
        <v>44429</v>
      </c>
      <c r="D169" s="11">
        <v>44429</v>
      </c>
      <c r="E169" s="11"/>
      <c r="F169" s="11"/>
    </row>
    <row r="170" spans="1:6" ht="25.5" customHeight="1">
      <c r="A170" s="4" t="s">
        <v>2316</v>
      </c>
      <c r="B170" s="12"/>
      <c r="C170" s="12"/>
      <c r="D170" s="12"/>
      <c r="E170" s="12"/>
      <c r="F170" s="12"/>
    </row>
    <row r="171" spans="1:6" ht="12.75" customHeight="1">
      <c r="A171" s="3" t="s">
        <v>2317</v>
      </c>
      <c r="B171" s="11"/>
      <c r="C171" s="11"/>
      <c r="D171" s="11"/>
      <c r="E171" s="11"/>
      <c r="F171" s="11"/>
    </row>
    <row r="172" spans="1:6" ht="12.75" customHeight="1">
      <c r="A172" s="4" t="s">
        <v>2318</v>
      </c>
      <c r="B172" s="12"/>
      <c r="C172" s="12"/>
      <c r="D172" s="12"/>
      <c r="E172" s="12"/>
      <c r="F172" s="12"/>
    </row>
    <row r="173" spans="1:6" ht="25.5" customHeight="1">
      <c r="A173" s="3" t="s">
        <v>2319</v>
      </c>
      <c r="B173" s="11">
        <v>348012.44</v>
      </c>
      <c r="C173" s="11">
        <v>348012.44</v>
      </c>
      <c r="D173" s="11">
        <v>204101.94</v>
      </c>
      <c r="E173" s="11"/>
      <c r="F173" s="11">
        <v>143910.5</v>
      </c>
    </row>
    <row r="174" spans="1:6" ht="12.75" customHeight="1">
      <c r="A174" s="4" t="s">
        <v>2320</v>
      </c>
      <c r="B174" s="12"/>
      <c r="C174" s="12"/>
      <c r="D174" s="12"/>
      <c r="E174" s="12"/>
      <c r="F174" s="12"/>
    </row>
    <row r="175" spans="1:6" ht="38.25" customHeight="1">
      <c r="A175" s="3" t="s">
        <v>2321</v>
      </c>
      <c r="B175" s="11"/>
      <c r="C175" s="11"/>
      <c r="D175" s="11"/>
      <c r="E175" s="11"/>
      <c r="F175" s="11"/>
    </row>
    <row r="176" spans="1:6" ht="38.25" customHeight="1">
      <c r="A176" s="4" t="s">
        <v>2322</v>
      </c>
      <c r="B176" s="12"/>
      <c r="C176" s="12"/>
      <c r="D176" s="12"/>
      <c r="E176" s="12"/>
      <c r="F176" s="12"/>
    </row>
    <row r="177" spans="1:6" ht="38.25" customHeight="1">
      <c r="A177" s="3" t="s">
        <v>2323</v>
      </c>
      <c r="B177" s="11"/>
      <c r="C177" s="11"/>
      <c r="D177" s="11"/>
      <c r="E177" s="11"/>
      <c r="F177" s="11"/>
    </row>
    <row r="178" spans="1:6" ht="25.5" customHeight="1">
      <c r="A178" s="4" t="s">
        <v>2324</v>
      </c>
      <c r="B178" s="12"/>
      <c r="C178" s="12"/>
      <c r="D178" s="12"/>
      <c r="E178" s="12"/>
      <c r="F178" s="12"/>
    </row>
    <row r="179" spans="1:6" ht="12.75" customHeight="1">
      <c r="A179" s="3" t="s">
        <v>2325</v>
      </c>
      <c r="B179" s="11"/>
      <c r="C179" s="11"/>
      <c r="D179" s="11"/>
      <c r="E179" s="11"/>
      <c r="F179" s="11"/>
    </row>
    <row r="180" spans="1:6" ht="12.75" customHeight="1">
      <c r="A180" s="4" t="s">
        <v>2326</v>
      </c>
      <c r="B180" s="12">
        <f>+'DCA-Anexo I-D'!B181+'DCA-Anexo I-D'!B182+'DCA-Anexo I-D'!B183+'DCA-Anexo I-D'!B184+'DCA-Anexo I-D'!B185+'DCA-Anexo I-D'!B186+'DCA-Anexo I-D'!B187+'DCA-Anexo I-D'!B188+'DCA-Anexo I-D'!B189+'DCA-Anexo I-D'!B190+'DCA-Anexo I-D'!B191+'DCA-Anexo I-D'!B192+'DCA-Anexo I-D'!B193+'DCA-Anexo I-D'!B194+'DCA-Anexo I-D'!B195+'DCA-Anexo I-D'!B196+'DCA-Anexo I-D'!B197+'DCA-Anexo I-D'!B198+'DCA-Anexo I-D'!B199+'DCA-Anexo I-D'!B200+'DCA-Anexo I-D'!B201+'DCA-Anexo I-D'!B202+'DCA-Anexo I-D'!B204+'DCA-Anexo I-D'!B205+'DCA-Anexo I-D'!B206+'DCA-Anexo I-D'!B207+'DCA-Anexo I-D'!B208+'DCA-Anexo I-D'!B209+'DCA-Anexo I-D'!B210+'DCA-Anexo I-D'!B211+'DCA-Anexo I-D'!B212+'DCA-Anexo I-D'!B213+'DCA-Anexo I-D'!B214+'DCA-Anexo I-D'!B215+'DCA-Anexo I-D'!B216+'DCA-Anexo I-D'!B218+'DCA-Anexo I-D'!B221+'DCA-Anexo I-D'!B222+'DCA-Anexo I-D'!B223+'DCA-Anexo I-D'!B224+'DCA-Anexo I-D'!B225+'DCA-Anexo I-D'!B226+'DCA-Anexo I-D'!B227+'DCA-Anexo I-D'!B203+'DCA-Anexo I-D'!B217+'DCA-Anexo I-D'!B219+'DCA-Anexo I-D'!B220</f>
        <v>75234136.539999992</v>
      </c>
      <c r="C180" s="12">
        <f>+'DCA-Anexo I-D'!C181+'DCA-Anexo I-D'!C182+'DCA-Anexo I-D'!C183+'DCA-Anexo I-D'!C184+'DCA-Anexo I-D'!C185+'DCA-Anexo I-D'!C186+'DCA-Anexo I-D'!C187+'DCA-Anexo I-D'!C188+'DCA-Anexo I-D'!C189+'DCA-Anexo I-D'!C190+'DCA-Anexo I-D'!C191+'DCA-Anexo I-D'!C192+'DCA-Anexo I-D'!C193+'DCA-Anexo I-D'!C194+'DCA-Anexo I-D'!C195+'DCA-Anexo I-D'!C196+'DCA-Anexo I-D'!C197+'DCA-Anexo I-D'!C198+'DCA-Anexo I-D'!C199+'DCA-Anexo I-D'!C200+'DCA-Anexo I-D'!C201+'DCA-Anexo I-D'!C202+'DCA-Anexo I-D'!C204+'DCA-Anexo I-D'!C205+'DCA-Anexo I-D'!C206+'DCA-Anexo I-D'!C207+'DCA-Anexo I-D'!C208+'DCA-Anexo I-D'!C209+'DCA-Anexo I-D'!C210+'DCA-Anexo I-D'!C211+'DCA-Anexo I-D'!C212+'DCA-Anexo I-D'!C213+'DCA-Anexo I-D'!C214+'DCA-Anexo I-D'!C215+'DCA-Anexo I-D'!C216+'DCA-Anexo I-D'!C218+'DCA-Anexo I-D'!C221+'DCA-Anexo I-D'!C222+'DCA-Anexo I-D'!C223+'DCA-Anexo I-D'!C224+'DCA-Anexo I-D'!C225+'DCA-Anexo I-D'!C226+'DCA-Anexo I-D'!C227+'DCA-Anexo I-D'!C203+'DCA-Anexo I-D'!C217+'DCA-Anexo I-D'!C219+'DCA-Anexo I-D'!C220</f>
        <v>75234136.539999992</v>
      </c>
      <c r="D180" s="12">
        <f>+'DCA-Anexo I-D'!D181+'DCA-Anexo I-D'!D182+'DCA-Anexo I-D'!D183+'DCA-Anexo I-D'!D184+'DCA-Anexo I-D'!D185+'DCA-Anexo I-D'!D186+'DCA-Anexo I-D'!D187+'DCA-Anexo I-D'!D188+'DCA-Anexo I-D'!D189+'DCA-Anexo I-D'!D190+'DCA-Anexo I-D'!D191+'DCA-Anexo I-D'!D192+'DCA-Anexo I-D'!D193+'DCA-Anexo I-D'!D194+'DCA-Anexo I-D'!D195+'DCA-Anexo I-D'!D196+'DCA-Anexo I-D'!D197+'DCA-Anexo I-D'!D198+'DCA-Anexo I-D'!D199+'DCA-Anexo I-D'!D200+'DCA-Anexo I-D'!D201+'DCA-Anexo I-D'!D202+'DCA-Anexo I-D'!D204+'DCA-Anexo I-D'!D205+'DCA-Anexo I-D'!D206+'DCA-Anexo I-D'!D207+'DCA-Anexo I-D'!D208+'DCA-Anexo I-D'!D209+'DCA-Anexo I-D'!D210+'DCA-Anexo I-D'!D211+'DCA-Anexo I-D'!D212+'DCA-Anexo I-D'!D213+'DCA-Anexo I-D'!D214+'DCA-Anexo I-D'!D215+'DCA-Anexo I-D'!D216+'DCA-Anexo I-D'!D218+'DCA-Anexo I-D'!D221+'DCA-Anexo I-D'!D222+'DCA-Anexo I-D'!D223+'DCA-Anexo I-D'!D224+'DCA-Anexo I-D'!D225+'DCA-Anexo I-D'!D226+'DCA-Anexo I-D'!D227+'DCA-Anexo I-D'!D203+'DCA-Anexo I-D'!D217+'DCA-Anexo I-D'!D219+'DCA-Anexo I-D'!D220</f>
        <v>66864548.029999994</v>
      </c>
      <c r="E180" s="12">
        <f>+'DCA-Anexo I-D'!E181+'DCA-Anexo I-D'!E182+'DCA-Anexo I-D'!E183+'DCA-Anexo I-D'!E184+'DCA-Anexo I-D'!E185+'DCA-Anexo I-D'!E186+'DCA-Anexo I-D'!E187+'DCA-Anexo I-D'!E188+'DCA-Anexo I-D'!E189+'DCA-Anexo I-D'!E190+'DCA-Anexo I-D'!E191+'DCA-Anexo I-D'!E192+'DCA-Anexo I-D'!E193+'DCA-Anexo I-D'!E194+'DCA-Anexo I-D'!E195+'DCA-Anexo I-D'!E196+'DCA-Anexo I-D'!E197+'DCA-Anexo I-D'!E198+'DCA-Anexo I-D'!E199+'DCA-Anexo I-D'!E200+'DCA-Anexo I-D'!E201+'DCA-Anexo I-D'!E202+'DCA-Anexo I-D'!E204+'DCA-Anexo I-D'!E205+'DCA-Anexo I-D'!E206+'DCA-Anexo I-D'!E207+'DCA-Anexo I-D'!E208+'DCA-Anexo I-D'!E209+'DCA-Anexo I-D'!E210+'DCA-Anexo I-D'!E211+'DCA-Anexo I-D'!E212+'DCA-Anexo I-D'!E213+'DCA-Anexo I-D'!E214+'DCA-Anexo I-D'!E215+'DCA-Anexo I-D'!E216+'DCA-Anexo I-D'!E218+'DCA-Anexo I-D'!E221+'DCA-Anexo I-D'!E222+'DCA-Anexo I-D'!E223+'DCA-Anexo I-D'!E224+'DCA-Anexo I-D'!E225+'DCA-Anexo I-D'!E226+'DCA-Anexo I-D'!E227+'DCA-Anexo I-D'!E203+'DCA-Anexo I-D'!E217+'DCA-Anexo I-D'!E219+'DCA-Anexo I-D'!E220</f>
        <v>0</v>
      </c>
      <c r="F180" s="12">
        <f>+'DCA-Anexo I-D'!F181+'DCA-Anexo I-D'!F182+'DCA-Anexo I-D'!F183+'DCA-Anexo I-D'!F184+'DCA-Anexo I-D'!F185+'DCA-Anexo I-D'!F186+'DCA-Anexo I-D'!F187+'DCA-Anexo I-D'!F188+'DCA-Anexo I-D'!F189+'DCA-Anexo I-D'!F190+'DCA-Anexo I-D'!F191+'DCA-Anexo I-D'!F192+'DCA-Anexo I-D'!F193+'DCA-Anexo I-D'!F194+'DCA-Anexo I-D'!F195+'DCA-Anexo I-D'!F196+'DCA-Anexo I-D'!F197+'DCA-Anexo I-D'!F198+'DCA-Anexo I-D'!F199+'DCA-Anexo I-D'!F200+'DCA-Anexo I-D'!F201+'DCA-Anexo I-D'!F202+'DCA-Anexo I-D'!F204+'DCA-Anexo I-D'!F205+'DCA-Anexo I-D'!F206+'DCA-Anexo I-D'!F207+'DCA-Anexo I-D'!F208+'DCA-Anexo I-D'!F209+'DCA-Anexo I-D'!F210+'DCA-Anexo I-D'!F211+'DCA-Anexo I-D'!F212+'DCA-Anexo I-D'!F213+'DCA-Anexo I-D'!F214+'DCA-Anexo I-D'!F215+'DCA-Anexo I-D'!F216+'DCA-Anexo I-D'!F218+'DCA-Anexo I-D'!F221+'DCA-Anexo I-D'!F222+'DCA-Anexo I-D'!F223+'DCA-Anexo I-D'!F224+'DCA-Anexo I-D'!F225+'DCA-Anexo I-D'!F226+'DCA-Anexo I-D'!F227+'DCA-Anexo I-D'!F203+'DCA-Anexo I-D'!F217+'DCA-Anexo I-D'!F219+'DCA-Anexo I-D'!F220</f>
        <v>8369588.5100000007</v>
      </c>
    </row>
    <row r="181" spans="1:6" ht="12.75" customHeight="1">
      <c r="A181" s="3" t="s">
        <v>2327</v>
      </c>
      <c r="B181" s="11"/>
      <c r="C181" s="11"/>
      <c r="D181" s="11"/>
      <c r="E181" s="11"/>
      <c r="F181" s="11"/>
    </row>
    <row r="182" spans="1:6" ht="12.75" customHeight="1">
      <c r="A182" s="4" t="s">
        <v>2328</v>
      </c>
      <c r="B182" s="12"/>
      <c r="C182" s="12"/>
      <c r="D182" s="12"/>
      <c r="E182" s="12"/>
      <c r="F182" s="12"/>
    </row>
    <row r="183" spans="1:6" ht="12.75" customHeight="1">
      <c r="A183" s="3" t="s">
        <v>2329</v>
      </c>
      <c r="B183" s="11"/>
      <c r="C183" s="11"/>
      <c r="D183" s="11"/>
      <c r="E183" s="11"/>
      <c r="F183" s="11"/>
    </row>
    <row r="184" spans="1:6" ht="12.75" customHeight="1">
      <c r="A184" s="4" t="s">
        <v>2330</v>
      </c>
      <c r="B184" s="12"/>
      <c r="C184" s="12"/>
      <c r="D184" s="12"/>
      <c r="E184" s="12"/>
      <c r="F184" s="12"/>
    </row>
    <row r="185" spans="1:6" ht="12.75" customHeight="1">
      <c r="A185" s="3" t="s">
        <v>2331</v>
      </c>
      <c r="B185" s="11">
        <v>1210345</v>
      </c>
      <c r="C185" s="11">
        <v>1210345</v>
      </c>
      <c r="D185" s="11">
        <v>1192615</v>
      </c>
      <c r="E185" s="11"/>
      <c r="F185" s="11">
        <v>17730</v>
      </c>
    </row>
    <row r="186" spans="1:6" ht="12.75" customHeight="1">
      <c r="A186" s="4" t="s">
        <v>2332</v>
      </c>
      <c r="B186" s="12"/>
      <c r="C186" s="12"/>
      <c r="D186" s="12"/>
      <c r="E186" s="12"/>
      <c r="F186" s="12"/>
    </row>
    <row r="187" spans="1:6" ht="12.75" customHeight="1">
      <c r="A187" s="3" t="s">
        <v>2333</v>
      </c>
      <c r="B187" s="11"/>
      <c r="C187" s="11"/>
      <c r="D187" s="11"/>
      <c r="E187" s="11"/>
      <c r="F187" s="11"/>
    </row>
    <row r="188" spans="1:6" ht="12.75" customHeight="1">
      <c r="A188" s="4" t="s">
        <v>2334</v>
      </c>
      <c r="B188" s="12"/>
      <c r="C188" s="12"/>
      <c r="D188" s="12"/>
      <c r="E188" s="12"/>
      <c r="F188" s="12"/>
    </row>
    <row r="189" spans="1:6" ht="12.75" customHeight="1">
      <c r="A189" s="3" t="s">
        <v>2335</v>
      </c>
      <c r="B189" s="11"/>
      <c r="C189" s="11"/>
      <c r="D189" s="11"/>
      <c r="E189" s="11"/>
      <c r="F189" s="11"/>
    </row>
    <row r="190" spans="1:6" ht="25.5" customHeight="1">
      <c r="A190" s="4" t="s">
        <v>2336</v>
      </c>
      <c r="B190" s="12"/>
      <c r="C190" s="12"/>
      <c r="D190" s="12"/>
      <c r="E190" s="12"/>
      <c r="F190" s="12"/>
    </row>
    <row r="191" spans="1:6" ht="12.75" customHeight="1">
      <c r="A191" s="3" t="s">
        <v>2337</v>
      </c>
      <c r="B191" s="11"/>
      <c r="C191" s="11"/>
      <c r="D191" s="11"/>
      <c r="E191" s="11"/>
      <c r="F191" s="11"/>
    </row>
    <row r="192" spans="1:6" ht="25.5" customHeight="1">
      <c r="A192" s="4" t="s">
        <v>2338</v>
      </c>
      <c r="B192" s="12"/>
      <c r="C192" s="12"/>
      <c r="D192" s="12"/>
      <c r="E192" s="12"/>
      <c r="F192" s="12"/>
    </row>
    <row r="193" spans="1:6" ht="12.75" customHeight="1">
      <c r="A193" s="3" t="s">
        <v>2339</v>
      </c>
      <c r="B193" s="11">
        <v>23520357.07</v>
      </c>
      <c r="C193" s="11">
        <v>23520357.07</v>
      </c>
      <c r="D193" s="11">
        <v>20638407.82</v>
      </c>
      <c r="E193" s="11"/>
      <c r="F193" s="11">
        <v>2881949.25</v>
      </c>
    </row>
    <row r="194" spans="1:6" ht="25.5" customHeight="1">
      <c r="A194" s="4" t="s">
        <v>2340</v>
      </c>
      <c r="B194" s="12">
        <v>22400</v>
      </c>
      <c r="C194" s="12">
        <v>22400</v>
      </c>
      <c r="D194" s="12">
        <v>22400</v>
      </c>
      <c r="E194" s="12"/>
      <c r="F194" s="12"/>
    </row>
    <row r="195" spans="1:6" ht="12.75" customHeight="1">
      <c r="A195" s="3" t="s">
        <v>2341</v>
      </c>
      <c r="B195" s="11">
        <v>243170.48</v>
      </c>
      <c r="C195" s="11">
        <v>243170.48</v>
      </c>
      <c r="D195" s="11">
        <v>239785.48</v>
      </c>
      <c r="E195" s="11"/>
      <c r="F195" s="11">
        <v>3385</v>
      </c>
    </row>
    <row r="196" spans="1:6" ht="12.75" customHeight="1">
      <c r="A196" s="4" t="s">
        <v>2342</v>
      </c>
      <c r="B196" s="12">
        <v>1094700</v>
      </c>
      <c r="C196" s="12">
        <v>1094700</v>
      </c>
      <c r="D196" s="12">
        <v>841118</v>
      </c>
      <c r="E196" s="12"/>
      <c r="F196" s="12">
        <v>253582</v>
      </c>
    </row>
    <row r="197" spans="1:6" ht="25.5" customHeight="1">
      <c r="A197" s="3" t="s">
        <v>2343</v>
      </c>
      <c r="B197" s="11">
        <v>748806.29</v>
      </c>
      <c r="C197" s="11">
        <v>748806.29</v>
      </c>
      <c r="D197" s="11">
        <v>748806.29</v>
      </c>
      <c r="E197" s="11"/>
      <c r="F197" s="11"/>
    </row>
    <row r="198" spans="1:6" ht="12.75" customHeight="1">
      <c r="A198" s="4" t="s">
        <v>2344</v>
      </c>
      <c r="B198" s="12">
        <v>1604037.76</v>
      </c>
      <c r="C198" s="12">
        <v>1604037.76</v>
      </c>
      <c r="D198" s="12">
        <v>1438437.76</v>
      </c>
      <c r="E198" s="12"/>
      <c r="F198" s="12">
        <v>165600</v>
      </c>
    </row>
    <row r="199" spans="1:6" ht="12.75" customHeight="1">
      <c r="A199" s="3" t="s">
        <v>2345</v>
      </c>
      <c r="B199" s="11">
        <v>2326372.58</v>
      </c>
      <c r="C199" s="11">
        <v>2326372.58</v>
      </c>
      <c r="D199" s="11">
        <v>2149633.4</v>
      </c>
      <c r="E199" s="11"/>
      <c r="F199" s="11">
        <v>176739.18</v>
      </c>
    </row>
    <row r="200" spans="1:6" ht="12.75" customHeight="1">
      <c r="A200" s="4" t="s">
        <v>2346</v>
      </c>
      <c r="B200" s="12"/>
      <c r="C200" s="12"/>
      <c r="D200" s="12"/>
      <c r="E200" s="12"/>
      <c r="F200" s="12"/>
    </row>
    <row r="201" spans="1:6" ht="12.75" customHeight="1">
      <c r="A201" s="3" t="s">
        <v>2347</v>
      </c>
      <c r="B201" s="11"/>
      <c r="C201" s="11"/>
      <c r="D201" s="11"/>
      <c r="E201" s="11"/>
      <c r="F201" s="11"/>
    </row>
    <row r="202" spans="1:6" ht="12.75" customHeight="1">
      <c r="A202" s="4" t="s">
        <v>2348</v>
      </c>
      <c r="B202" s="12">
        <v>43012441.600000001</v>
      </c>
      <c r="C202" s="12">
        <v>43012441.600000001</v>
      </c>
      <c r="D202" s="12">
        <v>38221182.049999997</v>
      </c>
      <c r="E202" s="12"/>
      <c r="F202" s="12">
        <v>4791259.55</v>
      </c>
    </row>
    <row r="203" spans="1:6" ht="25.5" customHeight="1">
      <c r="A203" s="3" t="s">
        <v>2349</v>
      </c>
      <c r="B203" s="11"/>
      <c r="C203" s="11"/>
      <c r="D203" s="11"/>
      <c r="E203" s="11"/>
      <c r="F203" s="11"/>
    </row>
    <row r="204" spans="1:6" ht="12.75" customHeight="1">
      <c r="A204" s="4" t="s">
        <v>2350</v>
      </c>
      <c r="B204" s="12"/>
      <c r="C204" s="12"/>
      <c r="D204" s="12"/>
      <c r="E204" s="12"/>
      <c r="F204" s="12"/>
    </row>
    <row r="205" spans="1:6" ht="12.75" customHeight="1">
      <c r="A205" s="3" t="s">
        <v>2351</v>
      </c>
      <c r="B205" s="11"/>
      <c r="C205" s="11"/>
      <c r="D205" s="11"/>
      <c r="E205" s="11"/>
      <c r="F205" s="11"/>
    </row>
    <row r="206" spans="1:6" ht="12.75" customHeight="1">
      <c r="A206" s="4" t="s">
        <v>2352</v>
      </c>
      <c r="B206" s="12"/>
      <c r="C206" s="12"/>
      <c r="D206" s="12"/>
      <c r="E206" s="12"/>
      <c r="F206" s="12"/>
    </row>
    <row r="207" spans="1:6" ht="12.75" customHeight="1">
      <c r="A207" s="3" t="s">
        <v>2353</v>
      </c>
      <c r="B207" s="11">
        <v>1064084.53</v>
      </c>
      <c r="C207" s="11">
        <v>1064084.53</v>
      </c>
      <c r="D207" s="11">
        <v>991518.46</v>
      </c>
      <c r="E207" s="11"/>
      <c r="F207" s="11">
        <v>72566.070000000007</v>
      </c>
    </row>
    <row r="208" spans="1:6" ht="12.75" customHeight="1">
      <c r="A208" s="4" t="s">
        <v>2354</v>
      </c>
      <c r="B208" s="12"/>
      <c r="C208" s="12"/>
      <c r="D208" s="12"/>
      <c r="E208" s="12"/>
      <c r="F208" s="12"/>
    </row>
    <row r="209" spans="1:6" ht="12.75" customHeight="1">
      <c r="A209" s="3" t="s">
        <v>2355</v>
      </c>
      <c r="B209" s="11"/>
      <c r="C209" s="11"/>
      <c r="D209" s="11"/>
      <c r="E209" s="11"/>
      <c r="F209" s="11"/>
    </row>
    <row r="210" spans="1:6" ht="12.75" customHeight="1">
      <c r="A210" s="4" t="s">
        <v>2356</v>
      </c>
      <c r="B210" s="12"/>
      <c r="C210" s="12"/>
      <c r="D210" s="12"/>
      <c r="E210" s="12"/>
      <c r="F210" s="12"/>
    </row>
    <row r="211" spans="1:6" ht="12.75" customHeight="1">
      <c r="A211" s="3" t="s">
        <v>2357</v>
      </c>
      <c r="B211" s="11"/>
      <c r="C211" s="11"/>
      <c r="D211" s="11"/>
      <c r="E211" s="11"/>
      <c r="F211" s="11"/>
    </row>
    <row r="212" spans="1:6" ht="12.75" customHeight="1">
      <c r="A212" s="4" t="s">
        <v>2358</v>
      </c>
      <c r="B212" s="12"/>
      <c r="C212" s="12"/>
      <c r="D212" s="12"/>
      <c r="E212" s="12"/>
      <c r="F212" s="12"/>
    </row>
    <row r="213" spans="1:6" ht="12.75" customHeight="1">
      <c r="A213" s="3" t="s">
        <v>2359</v>
      </c>
      <c r="B213" s="11"/>
      <c r="C213" s="11"/>
      <c r="D213" s="11"/>
      <c r="E213" s="11"/>
      <c r="F213" s="11"/>
    </row>
    <row r="214" spans="1:6" ht="12.75" customHeight="1">
      <c r="A214" s="4" t="s">
        <v>2360</v>
      </c>
      <c r="B214" s="12"/>
      <c r="C214" s="12"/>
      <c r="D214" s="12"/>
      <c r="E214" s="12"/>
      <c r="F214" s="12"/>
    </row>
    <row r="215" spans="1:6" ht="12.75" customHeight="1">
      <c r="A215" s="3" t="s">
        <v>2361</v>
      </c>
      <c r="B215" s="11"/>
      <c r="C215" s="11"/>
      <c r="D215" s="11"/>
      <c r="E215" s="11"/>
      <c r="F215" s="11"/>
    </row>
    <row r="216" spans="1:6" ht="12.75" customHeight="1">
      <c r="A216" s="4" t="s">
        <v>2362</v>
      </c>
      <c r="B216" s="12"/>
      <c r="C216" s="12"/>
      <c r="D216" s="12"/>
      <c r="E216" s="12"/>
      <c r="F216" s="12"/>
    </row>
    <row r="217" spans="1:6" ht="12.75" customHeight="1">
      <c r="A217" s="3" t="s">
        <v>2363</v>
      </c>
      <c r="B217" s="11"/>
      <c r="C217" s="11"/>
      <c r="D217" s="11"/>
      <c r="E217" s="11"/>
      <c r="F217" s="11"/>
    </row>
    <row r="218" spans="1:6" ht="12.75" customHeight="1">
      <c r="A218" s="4" t="s">
        <v>2364</v>
      </c>
      <c r="B218" s="12"/>
      <c r="C218" s="12"/>
      <c r="D218" s="12"/>
      <c r="E218" s="12"/>
      <c r="F218" s="12"/>
    </row>
    <row r="219" spans="1:6" ht="12.75" customHeight="1">
      <c r="A219" s="3" t="s">
        <v>2365</v>
      </c>
      <c r="B219" s="11"/>
      <c r="C219" s="11"/>
      <c r="D219" s="11"/>
      <c r="E219" s="11"/>
      <c r="F219" s="11"/>
    </row>
    <row r="220" spans="1:6" ht="12.75" customHeight="1">
      <c r="A220" s="4" t="s">
        <v>2366</v>
      </c>
      <c r="B220" s="12"/>
      <c r="C220" s="12"/>
      <c r="D220" s="12"/>
      <c r="E220" s="12"/>
      <c r="F220" s="12"/>
    </row>
    <row r="221" spans="1:6" ht="12.75" customHeight="1">
      <c r="A221" s="3" t="s">
        <v>2367</v>
      </c>
      <c r="B221" s="11">
        <v>7683.41</v>
      </c>
      <c r="C221" s="11">
        <v>7683.41</v>
      </c>
      <c r="D221" s="11">
        <v>7683.41</v>
      </c>
      <c r="E221" s="11"/>
      <c r="F221" s="11"/>
    </row>
    <row r="222" spans="1:6" ht="12.75" customHeight="1">
      <c r="A222" s="4" t="s">
        <v>2368</v>
      </c>
      <c r="B222" s="12"/>
      <c r="C222" s="12"/>
      <c r="D222" s="12"/>
      <c r="E222" s="12"/>
      <c r="F222" s="12"/>
    </row>
    <row r="223" spans="1:6" ht="12.75" customHeight="1">
      <c r="A223" s="3" t="s">
        <v>2369</v>
      </c>
      <c r="B223" s="11">
        <v>379737.82</v>
      </c>
      <c r="C223" s="11">
        <v>379737.82</v>
      </c>
      <c r="D223" s="11">
        <v>372960.36</v>
      </c>
      <c r="E223" s="11"/>
      <c r="F223" s="11">
        <v>6777.46</v>
      </c>
    </row>
    <row r="224" spans="1:6" ht="12.75" customHeight="1">
      <c r="A224" s="4" t="s">
        <v>2370</v>
      </c>
      <c r="B224" s="12"/>
      <c r="C224" s="12"/>
      <c r="D224" s="12"/>
      <c r="E224" s="12"/>
      <c r="F224" s="12"/>
    </row>
    <row r="225" spans="1:6" ht="12.75" customHeight="1">
      <c r="A225" s="3" t="s">
        <v>2371</v>
      </c>
      <c r="B225" s="11"/>
      <c r="C225" s="11"/>
      <c r="D225" s="11"/>
      <c r="E225" s="11"/>
      <c r="F225" s="11"/>
    </row>
    <row r="226" spans="1:6" ht="12.75" customHeight="1">
      <c r="A226" s="4" t="s">
        <v>2372</v>
      </c>
      <c r="B226" s="12"/>
      <c r="C226" s="12"/>
      <c r="D226" s="12"/>
      <c r="E226" s="12"/>
      <c r="F226" s="12"/>
    </row>
    <row r="227" spans="1:6" ht="12.75" customHeight="1">
      <c r="A227" s="3" t="s">
        <v>2373</v>
      </c>
      <c r="B227" s="11"/>
      <c r="C227" s="11"/>
      <c r="D227" s="11"/>
      <c r="E227" s="11"/>
      <c r="F227" s="11"/>
    </row>
    <row r="228" spans="1:6" ht="38.25" customHeight="1">
      <c r="A228" s="4" t="s">
        <v>2374</v>
      </c>
      <c r="B228" s="12"/>
      <c r="C228" s="12"/>
      <c r="D228" s="12"/>
      <c r="E228" s="12"/>
      <c r="F228" s="12"/>
    </row>
    <row r="229" spans="1:6" ht="25.5" customHeight="1">
      <c r="A229" s="3" t="s">
        <v>2375</v>
      </c>
      <c r="B229" s="11"/>
      <c r="C229" s="11"/>
      <c r="D229" s="11"/>
      <c r="E229" s="11"/>
      <c r="F229" s="11"/>
    </row>
    <row r="230" spans="1:6" ht="38.25" customHeight="1">
      <c r="A230" s="4" t="s">
        <v>2376</v>
      </c>
      <c r="B230" s="12">
        <v>81575.03</v>
      </c>
      <c r="C230" s="12">
        <v>81575.03</v>
      </c>
      <c r="D230" s="12">
        <v>48945.02</v>
      </c>
      <c r="E230" s="12"/>
      <c r="F230" s="12">
        <v>32630.01</v>
      </c>
    </row>
    <row r="231" spans="1:6" ht="38.25" customHeight="1">
      <c r="A231" s="3" t="s">
        <v>2377</v>
      </c>
      <c r="B231" s="11"/>
      <c r="C231" s="11"/>
      <c r="D231" s="11"/>
      <c r="E231" s="11"/>
      <c r="F231" s="11"/>
    </row>
    <row r="232" spans="1:6" ht="25.5" customHeight="1">
      <c r="A232" s="4" t="s">
        <v>2378</v>
      </c>
      <c r="B232" s="12"/>
      <c r="C232" s="12"/>
      <c r="D232" s="12"/>
      <c r="E232" s="12"/>
      <c r="F232" s="12"/>
    </row>
    <row r="233" spans="1:6" ht="25.5" customHeight="1">
      <c r="A233" s="3" t="s">
        <v>2379</v>
      </c>
      <c r="B233" s="11"/>
      <c r="C233" s="11"/>
      <c r="D233" s="11"/>
      <c r="E233" s="11"/>
      <c r="F233" s="11"/>
    </row>
    <row r="234" spans="1:6" ht="12.75" customHeight="1">
      <c r="A234" s="4" t="s">
        <v>2380</v>
      </c>
      <c r="B234" s="12"/>
      <c r="C234" s="12"/>
      <c r="D234" s="12"/>
      <c r="E234" s="12"/>
      <c r="F234" s="12"/>
    </row>
    <row r="235" spans="1:6" ht="12.75" customHeight="1">
      <c r="A235" s="3" t="s">
        <v>2381</v>
      </c>
      <c r="B235" s="11">
        <f>+'DCA-Anexo I-D'!B236+'DCA-Anexo I-D'!B338+'DCA-Anexo I-D'!B293</f>
        <v>10442778.309999999</v>
      </c>
      <c r="C235" s="11">
        <f>+'DCA-Anexo I-D'!C236+'DCA-Anexo I-D'!C338+'DCA-Anexo I-D'!C293</f>
        <v>10442778.309999999</v>
      </c>
      <c r="D235" s="11">
        <f>+'DCA-Anexo I-D'!D236+'DCA-Anexo I-D'!D338+'DCA-Anexo I-D'!D293</f>
        <v>10423376.32</v>
      </c>
      <c r="E235" s="11">
        <f>+'DCA-Anexo I-D'!E236+'DCA-Anexo I-D'!E338+'DCA-Anexo I-D'!E293</f>
        <v>0</v>
      </c>
      <c r="F235" s="11">
        <f>+'DCA-Anexo I-D'!F236+'DCA-Anexo I-D'!F338+'DCA-Anexo I-D'!F293</f>
        <v>19401.990000000002</v>
      </c>
    </row>
    <row r="236" spans="1:6" ht="12.75" customHeight="1">
      <c r="A236" s="4" t="s">
        <v>2382</v>
      </c>
      <c r="B236" s="12">
        <f>+'DCA-Anexo I-D'!B245+'DCA-Anexo I-D'!B247+'DCA-Anexo I-D'!B246+'DCA-Anexo I-D'!B239+'DCA-Anexo I-D'!B241+'DCA-Anexo I-D'!B257+'DCA-Anexo I-D'!B238+'DCA-Anexo I-D'!B252+'DCA-Anexo I-D'!B249+'DCA-Anexo I-D'!B258+'DCA-Anexo I-D'!B289+'DCA-Anexo I-D'!B248+'DCA-Anexo I-D'!B291+'DCA-Anexo I-D'!B260+'DCA-Anexo I-D'!B292+'DCA-Anexo I-D'!B244+'DCA-Anexo I-D'!B237+'DCA-Anexo I-D'!B286+'DCA-Anexo I-D'!B253+'DCA-Anexo I-D'!B259+'DCA-Anexo I-D'!B256+'DCA-Anexo I-D'!B240+'DCA-Anexo I-D'!B255+'DCA-Anexo I-D'!B254+'DCA-Anexo I-D'!B243+'DCA-Anexo I-D'!B242+'DCA-Anexo I-D'!B290+'DCA-Anexo I-D'!B288+'DCA-Anexo I-D'!B287+'DCA-Anexo I-D'!B250+'DCA-Anexo I-D'!B251</f>
        <v>6235842.1099999994</v>
      </c>
      <c r="C236" s="12">
        <f>+'DCA-Anexo I-D'!C245+'DCA-Anexo I-D'!C247+'DCA-Anexo I-D'!C246+'DCA-Anexo I-D'!C239+'DCA-Anexo I-D'!C241+'DCA-Anexo I-D'!C257+'DCA-Anexo I-D'!C238+'DCA-Anexo I-D'!C252+'DCA-Anexo I-D'!C249+'DCA-Anexo I-D'!C258+'DCA-Anexo I-D'!C289+'DCA-Anexo I-D'!C248+'DCA-Anexo I-D'!C291+'DCA-Anexo I-D'!C260+'DCA-Anexo I-D'!C292+'DCA-Anexo I-D'!C244+'DCA-Anexo I-D'!C237+'DCA-Anexo I-D'!C286+'DCA-Anexo I-D'!C253+'DCA-Anexo I-D'!C259+'DCA-Anexo I-D'!C256+'DCA-Anexo I-D'!C240+'DCA-Anexo I-D'!C255+'DCA-Anexo I-D'!C254+'DCA-Anexo I-D'!C243+'DCA-Anexo I-D'!C242+'DCA-Anexo I-D'!C290+'DCA-Anexo I-D'!C288+'DCA-Anexo I-D'!C287+'DCA-Anexo I-D'!C250+'DCA-Anexo I-D'!C251</f>
        <v>6235842.1099999994</v>
      </c>
      <c r="D236" s="12">
        <f>+'DCA-Anexo I-D'!D245+'DCA-Anexo I-D'!D247+'DCA-Anexo I-D'!D246+'DCA-Anexo I-D'!D239+'DCA-Anexo I-D'!D241+'DCA-Anexo I-D'!D257+'DCA-Anexo I-D'!D238+'DCA-Anexo I-D'!D252+'DCA-Anexo I-D'!D249+'DCA-Anexo I-D'!D258+'DCA-Anexo I-D'!D289+'DCA-Anexo I-D'!D248+'DCA-Anexo I-D'!D291+'DCA-Anexo I-D'!D260+'DCA-Anexo I-D'!D292+'DCA-Anexo I-D'!D244+'DCA-Anexo I-D'!D237+'DCA-Anexo I-D'!D286+'DCA-Anexo I-D'!D253+'DCA-Anexo I-D'!D259+'DCA-Anexo I-D'!D256+'DCA-Anexo I-D'!D240+'DCA-Anexo I-D'!D255+'DCA-Anexo I-D'!D254+'DCA-Anexo I-D'!D243+'DCA-Anexo I-D'!D242+'DCA-Anexo I-D'!D290+'DCA-Anexo I-D'!D288+'DCA-Anexo I-D'!D287+'DCA-Anexo I-D'!D250+'DCA-Anexo I-D'!D251</f>
        <v>6216440.1200000001</v>
      </c>
      <c r="E236" s="12">
        <f>+'DCA-Anexo I-D'!E245+'DCA-Anexo I-D'!E247+'DCA-Anexo I-D'!E246+'DCA-Anexo I-D'!E239+'DCA-Anexo I-D'!E241+'DCA-Anexo I-D'!E257+'DCA-Anexo I-D'!E238+'DCA-Anexo I-D'!E252+'DCA-Anexo I-D'!E249+'DCA-Anexo I-D'!E258+'DCA-Anexo I-D'!E289+'DCA-Anexo I-D'!E248+'DCA-Anexo I-D'!E291+'DCA-Anexo I-D'!E260+'DCA-Anexo I-D'!E292+'DCA-Anexo I-D'!E244+'DCA-Anexo I-D'!E237+'DCA-Anexo I-D'!E286+'DCA-Anexo I-D'!E253+'DCA-Anexo I-D'!E259+'DCA-Anexo I-D'!E256+'DCA-Anexo I-D'!E240+'DCA-Anexo I-D'!E255+'DCA-Anexo I-D'!E254+'DCA-Anexo I-D'!E243+'DCA-Anexo I-D'!E242+'DCA-Anexo I-D'!E290+'DCA-Anexo I-D'!E288+'DCA-Anexo I-D'!E287+'DCA-Anexo I-D'!E250+'DCA-Anexo I-D'!E251</f>
        <v>0</v>
      </c>
      <c r="F236" s="12">
        <f>+'DCA-Anexo I-D'!F245+'DCA-Anexo I-D'!F247+'DCA-Anexo I-D'!F246+'DCA-Anexo I-D'!F239+'DCA-Anexo I-D'!F241+'DCA-Anexo I-D'!F257+'DCA-Anexo I-D'!F238+'DCA-Anexo I-D'!F252+'DCA-Anexo I-D'!F249+'DCA-Anexo I-D'!F258+'DCA-Anexo I-D'!F289+'DCA-Anexo I-D'!F248+'DCA-Anexo I-D'!F291+'DCA-Anexo I-D'!F260+'DCA-Anexo I-D'!F292+'DCA-Anexo I-D'!F244+'DCA-Anexo I-D'!F237+'DCA-Anexo I-D'!F286+'DCA-Anexo I-D'!F253+'DCA-Anexo I-D'!F259+'DCA-Anexo I-D'!F256+'DCA-Anexo I-D'!F240+'DCA-Anexo I-D'!F255+'DCA-Anexo I-D'!F254+'DCA-Anexo I-D'!F243+'DCA-Anexo I-D'!F242+'DCA-Anexo I-D'!F290+'DCA-Anexo I-D'!F288+'DCA-Anexo I-D'!F287+'DCA-Anexo I-D'!F250+'DCA-Anexo I-D'!F251</f>
        <v>19401.990000000002</v>
      </c>
    </row>
    <row r="237" spans="1:6" ht="12.75" customHeight="1">
      <c r="A237" s="3" t="s">
        <v>2383</v>
      </c>
      <c r="B237" s="11"/>
      <c r="C237" s="11"/>
      <c r="D237" s="11"/>
      <c r="E237" s="11"/>
      <c r="F237" s="11"/>
    </row>
    <row r="238" spans="1:6" ht="12.75" customHeight="1">
      <c r="A238" s="4" t="s">
        <v>2384</v>
      </c>
      <c r="B238" s="12"/>
      <c r="C238" s="12"/>
      <c r="D238" s="12"/>
      <c r="E238" s="12"/>
      <c r="F238" s="12"/>
    </row>
    <row r="239" spans="1:6" ht="12.75" customHeight="1">
      <c r="A239" s="3" t="s">
        <v>2385</v>
      </c>
      <c r="B239" s="11"/>
      <c r="C239" s="11"/>
      <c r="D239" s="11"/>
      <c r="E239" s="11"/>
      <c r="F239" s="11"/>
    </row>
    <row r="240" spans="1:6" ht="25.5" customHeight="1">
      <c r="A240" s="4" t="s">
        <v>2386</v>
      </c>
      <c r="B240" s="12"/>
      <c r="C240" s="12"/>
      <c r="D240" s="12"/>
      <c r="E240" s="12"/>
      <c r="F240" s="12"/>
    </row>
    <row r="241" spans="1:6" ht="25.5" customHeight="1">
      <c r="A241" s="3" t="s">
        <v>2387</v>
      </c>
      <c r="B241" s="11"/>
      <c r="C241" s="11"/>
      <c r="D241" s="11"/>
      <c r="E241" s="11"/>
      <c r="F241" s="11"/>
    </row>
    <row r="242" spans="1:6" ht="38.25" customHeight="1">
      <c r="A242" s="4" t="s">
        <v>2388</v>
      </c>
      <c r="B242" s="12"/>
      <c r="C242" s="12"/>
      <c r="D242" s="12"/>
      <c r="E242" s="12"/>
      <c r="F242" s="12"/>
    </row>
    <row r="243" spans="1:6" ht="38.25" customHeight="1">
      <c r="A243" s="3" t="s">
        <v>2389</v>
      </c>
      <c r="B243" s="11"/>
      <c r="C243" s="11"/>
      <c r="D243" s="11"/>
      <c r="E243" s="11"/>
      <c r="F243" s="11"/>
    </row>
    <row r="244" spans="1:6" ht="12.75" customHeight="1">
      <c r="A244" s="4" t="s">
        <v>2390</v>
      </c>
      <c r="B244" s="12"/>
      <c r="C244" s="12"/>
      <c r="D244" s="12"/>
      <c r="E244" s="12"/>
      <c r="F244" s="12"/>
    </row>
    <row r="245" spans="1:6" ht="12.75" customHeight="1">
      <c r="A245" s="3" t="s">
        <v>2391</v>
      </c>
      <c r="B245" s="11"/>
      <c r="C245" s="11"/>
      <c r="D245" s="11"/>
      <c r="E245" s="11"/>
      <c r="F245" s="11"/>
    </row>
    <row r="246" spans="1:6" ht="12.75" customHeight="1">
      <c r="A246" s="4" t="s">
        <v>2392</v>
      </c>
      <c r="B246" s="12"/>
      <c r="C246" s="12"/>
      <c r="D246" s="12"/>
      <c r="E246" s="12"/>
      <c r="F246" s="12"/>
    </row>
    <row r="247" spans="1:6" ht="38.25" customHeight="1">
      <c r="A247" s="3" t="s">
        <v>2393</v>
      </c>
      <c r="B247" s="11"/>
      <c r="C247" s="11"/>
      <c r="D247" s="11"/>
      <c r="E247" s="11"/>
      <c r="F247" s="11"/>
    </row>
    <row r="248" spans="1:6" ht="25.5" customHeight="1">
      <c r="A248" s="4" t="s">
        <v>2394</v>
      </c>
      <c r="B248" s="12"/>
      <c r="C248" s="12"/>
      <c r="D248" s="12"/>
      <c r="E248" s="12"/>
      <c r="F248" s="12"/>
    </row>
    <row r="249" spans="1:6" ht="25.5" customHeight="1">
      <c r="A249" s="3" t="s">
        <v>2395</v>
      </c>
      <c r="B249" s="11"/>
      <c r="C249" s="11"/>
      <c r="D249" s="11"/>
      <c r="E249" s="11"/>
      <c r="F249" s="11"/>
    </row>
    <row r="250" spans="1:6" ht="25.5" customHeight="1">
      <c r="A250" s="4" t="s">
        <v>2396</v>
      </c>
      <c r="B250" s="12"/>
      <c r="C250" s="12"/>
      <c r="D250" s="12"/>
      <c r="E250" s="12"/>
      <c r="F250" s="12"/>
    </row>
    <row r="251" spans="1:6" ht="12.75" customHeight="1">
      <c r="A251" s="3" t="s">
        <v>2397</v>
      </c>
      <c r="B251" s="11"/>
      <c r="C251" s="11"/>
      <c r="D251" s="11"/>
      <c r="E251" s="11"/>
      <c r="F251" s="11"/>
    </row>
    <row r="252" spans="1:6" ht="12.75" customHeight="1">
      <c r="A252" s="4" t="s">
        <v>2398</v>
      </c>
      <c r="B252" s="12"/>
      <c r="C252" s="12"/>
      <c r="D252" s="12"/>
      <c r="E252" s="12"/>
      <c r="F252" s="12"/>
    </row>
    <row r="253" spans="1:6" ht="25.5" customHeight="1">
      <c r="A253" s="3" t="s">
        <v>2399</v>
      </c>
      <c r="B253" s="11"/>
      <c r="C253" s="11"/>
      <c r="D253" s="11"/>
      <c r="E253" s="11"/>
      <c r="F253" s="11"/>
    </row>
    <row r="254" spans="1:6" ht="12.75" customHeight="1">
      <c r="A254" s="4" t="s">
        <v>2400</v>
      </c>
      <c r="B254" s="12"/>
      <c r="C254" s="12"/>
      <c r="D254" s="12"/>
      <c r="E254" s="12"/>
      <c r="F254" s="12"/>
    </row>
    <row r="255" spans="1:6" ht="38.25" customHeight="1">
      <c r="A255" s="3" t="s">
        <v>2401</v>
      </c>
      <c r="B255" s="11"/>
      <c r="C255" s="11"/>
      <c r="D255" s="11"/>
      <c r="E255" s="11"/>
      <c r="F255" s="11"/>
    </row>
    <row r="256" spans="1:6" ht="38.25" customHeight="1">
      <c r="A256" s="4" t="s">
        <v>2402</v>
      </c>
      <c r="B256" s="12"/>
      <c r="C256" s="12"/>
      <c r="D256" s="12"/>
      <c r="E256" s="12"/>
      <c r="F256" s="12"/>
    </row>
    <row r="257" spans="1:6" ht="38.25" customHeight="1">
      <c r="A257" s="3" t="s">
        <v>2403</v>
      </c>
      <c r="B257" s="11"/>
      <c r="C257" s="11"/>
      <c r="D257" s="11"/>
      <c r="E257" s="11"/>
      <c r="F257" s="11"/>
    </row>
    <row r="258" spans="1:6" ht="25.5" customHeight="1">
      <c r="A258" s="4" t="s">
        <v>2404</v>
      </c>
      <c r="B258" s="12"/>
      <c r="C258" s="12"/>
      <c r="D258" s="12"/>
      <c r="E258" s="12"/>
      <c r="F258" s="12"/>
    </row>
    <row r="259" spans="1:6" ht="12.75" customHeight="1">
      <c r="A259" s="3" t="s">
        <v>2405</v>
      </c>
      <c r="B259" s="11"/>
      <c r="C259" s="11"/>
      <c r="D259" s="11"/>
      <c r="E259" s="11"/>
      <c r="F259" s="11"/>
    </row>
    <row r="260" spans="1:6" ht="12.75" customHeight="1">
      <c r="A260" s="4" t="s">
        <v>2406</v>
      </c>
      <c r="B260" s="12">
        <f>+'DCA-Anexo I-D'!B262+'DCA-Anexo I-D'!B275+'DCA-Anexo I-D'!B271+'DCA-Anexo I-D'!B281+'DCA-Anexo I-D'!B282+'DCA-Anexo I-D'!B270+'DCA-Anexo I-D'!B280+'DCA-Anexo I-D'!B263+'DCA-Anexo I-D'!B267+'DCA-Anexo I-D'!B285+'DCA-Anexo I-D'!B274+'DCA-Anexo I-D'!B279+'DCA-Anexo I-D'!B264+'DCA-Anexo I-D'!B261+'DCA-Anexo I-D'!B269+'DCA-Anexo I-D'!B268+'DCA-Anexo I-D'!B265+'DCA-Anexo I-D'!B266+'DCA-Anexo I-D'!B272+'DCA-Anexo I-D'!B283+'DCA-Anexo I-D'!B273+'DCA-Anexo I-D'!B284</f>
        <v>6235842.1099999994</v>
      </c>
      <c r="C260" s="12">
        <f>+'DCA-Anexo I-D'!C262+'DCA-Anexo I-D'!C275+'DCA-Anexo I-D'!C271+'DCA-Anexo I-D'!C281+'DCA-Anexo I-D'!C282+'DCA-Anexo I-D'!C270+'DCA-Anexo I-D'!C280+'DCA-Anexo I-D'!C263+'DCA-Anexo I-D'!C267+'DCA-Anexo I-D'!C285+'DCA-Anexo I-D'!C274+'DCA-Anexo I-D'!C279+'DCA-Anexo I-D'!C264+'DCA-Anexo I-D'!C261+'DCA-Anexo I-D'!C269+'DCA-Anexo I-D'!C268+'DCA-Anexo I-D'!C265+'DCA-Anexo I-D'!C266+'DCA-Anexo I-D'!C272+'DCA-Anexo I-D'!C283+'DCA-Anexo I-D'!C273+'DCA-Anexo I-D'!C284</f>
        <v>6235842.1099999994</v>
      </c>
      <c r="D260" s="12">
        <f>+'DCA-Anexo I-D'!D262+'DCA-Anexo I-D'!D275+'DCA-Anexo I-D'!D271+'DCA-Anexo I-D'!D281+'DCA-Anexo I-D'!D282+'DCA-Anexo I-D'!D270+'DCA-Anexo I-D'!D280+'DCA-Anexo I-D'!D263+'DCA-Anexo I-D'!D267+'DCA-Anexo I-D'!D285+'DCA-Anexo I-D'!D274+'DCA-Anexo I-D'!D279+'DCA-Anexo I-D'!D264+'DCA-Anexo I-D'!D261+'DCA-Anexo I-D'!D269+'DCA-Anexo I-D'!D268+'DCA-Anexo I-D'!D265+'DCA-Anexo I-D'!D266+'DCA-Anexo I-D'!D272+'DCA-Anexo I-D'!D283+'DCA-Anexo I-D'!D273+'DCA-Anexo I-D'!D284</f>
        <v>6216440.1200000001</v>
      </c>
      <c r="E260" s="12">
        <f>+'DCA-Anexo I-D'!E262+'DCA-Anexo I-D'!E275+'DCA-Anexo I-D'!E271+'DCA-Anexo I-D'!E281+'DCA-Anexo I-D'!E282+'DCA-Anexo I-D'!E270+'DCA-Anexo I-D'!E280+'DCA-Anexo I-D'!E263+'DCA-Anexo I-D'!E267+'DCA-Anexo I-D'!E285+'DCA-Anexo I-D'!E274+'DCA-Anexo I-D'!E279+'DCA-Anexo I-D'!E264+'DCA-Anexo I-D'!E261+'DCA-Anexo I-D'!E269+'DCA-Anexo I-D'!E268+'DCA-Anexo I-D'!E265+'DCA-Anexo I-D'!E266+'DCA-Anexo I-D'!E272+'DCA-Anexo I-D'!E283+'DCA-Anexo I-D'!E273+'DCA-Anexo I-D'!E284</f>
        <v>0</v>
      </c>
      <c r="F260" s="12">
        <f>+'DCA-Anexo I-D'!F262+'DCA-Anexo I-D'!F275+'DCA-Anexo I-D'!F271+'DCA-Anexo I-D'!F281+'DCA-Anexo I-D'!F282+'DCA-Anexo I-D'!F270+'DCA-Anexo I-D'!F280+'DCA-Anexo I-D'!F263+'DCA-Anexo I-D'!F267+'DCA-Anexo I-D'!F285+'DCA-Anexo I-D'!F274+'DCA-Anexo I-D'!F279+'DCA-Anexo I-D'!F264+'DCA-Anexo I-D'!F261+'DCA-Anexo I-D'!F269+'DCA-Anexo I-D'!F268+'DCA-Anexo I-D'!F265+'DCA-Anexo I-D'!F266+'DCA-Anexo I-D'!F272+'DCA-Anexo I-D'!F283+'DCA-Anexo I-D'!F273+'DCA-Anexo I-D'!F284</f>
        <v>19401.990000000002</v>
      </c>
    </row>
    <row r="261" spans="1:6" ht="12.75" customHeight="1">
      <c r="A261" s="3" t="s">
        <v>2407</v>
      </c>
      <c r="B261" s="11"/>
      <c r="C261" s="11"/>
      <c r="D261" s="11"/>
      <c r="E261" s="11"/>
      <c r="F261" s="11"/>
    </row>
    <row r="262" spans="1:6" ht="12.75" customHeight="1">
      <c r="A262" s="4" t="s">
        <v>2408</v>
      </c>
      <c r="B262" s="12"/>
      <c r="C262" s="12"/>
      <c r="D262" s="12"/>
      <c r="E262" s="12"/>
      <c r="F262" s="12"/>
    </row>
    <row r="263" spans="1:6" ht="12.75" customHeight="1">
      <c r="A263" s="3" t="s">
        <v>2409</v>
      </c>
      <c r="B263" s="11"/>
      <c r="C263" s="11"/>
      <c r="D263" s="11"/>
      <c r="E263" s="11"/>
      <c r="F263" s="11"/>
    </row>
    <row r="264" spans="1:6" ht="12.75" customHeight="1">
      <c r="A264" s="4" t="s">
        <v>2410</v>
      </c>
      <c r="B264" s="12"/>
      <c r="C264" s="12"/>
      <c r="D264" s="12"/>
      <c r="E264" s="12"/>
      <c r="F264" s="12"/>
    </row>
    <row r="265" spans="1:6" ht="12.75" customHeight="1">
      <c r="A265" s="3" t="s">
        <v>2411</v>
      </c>
      <c r="B265" s="11"/>
      <c r="C265" s="11"/>
      <c r="D265" s="11"/>
      <c r="E265" s="11"/>
      <c r="F265" s="11"/>
    </row>
    <row r="266" spans="1:6" ht="12.75" customHeight="1">
      <c r="A266" s="4" t="s">
        <v>2412</v>
      </c>
      <c r="B266" s="12"/>
      <c r="C266" s="12"/>
      <c r="D266" s="12"/>
      <c r="E266" s="12"/>
      <c r="F266" s="12"/>
    </row>
    <row r="267" spans="1:6" ht="12.75" customHeight="1">
      <c r="A267" s="3" t="s">
        <v>2413</v>
      </c>
      <c r="B267" s="11"/>
      <c r="C267" s="11"/>
      <c r="D267" s="11"/>
      <c r="E267" s="11"/>
      <c r="F267" s="11"/>
    </row>
    <row r="268" spans="1:6" ht="12.75" customHeight="1">
      <c r="A268" s="4" t="s">
        <v>2414</v>
      </c>
      <c r="B268" s="12"/>
      <c r="C268" s="12"/>
      <c r="D268" s="12"/>
      <c r="E268" s="12"/>
      <c r="F268" s="12"/>
    </row>
    <row r="269" spans="1:6" ht="12.75" customHeight="1">
      <c r="A269" s="3" t="s">
        <v>2415</v>
      </c>
      <c r="B269" s="11"/>
      <c r="C269" s="11"/>
      <c r="D269" s="11"/>
      <c r="E269" s="11"/>
      <c r="F269" s="11"/>
    </row>
    <row r="270" spans="1:6" ht="12.75" customHeight="1">
      <c r="A270" s="4" t="s">
        <v>2416</v>
      </c>
      <c r="B270" s="12"/>
      <c r="C270" s="12"/>
      <c r="D270" s="12"/>
      <c r="E270" s="12"/>
      <c r="F270" s="12"/>
    </row>
    <row r="271" spans="1:6" ht="12.75" customHeight="1">
      <c r="A271" s="3" t="s">
        <v>2417</v>
      </c>
      <c r="B271" s="11"/>
      <c r="C271" s="11"/>
      <c r="D271" s="11"/>
      <c r="E271" s="11"/>
      <c r="F271" s="11"/>
    </row>
    <row r="272" spans="1:6" ht="12.75" customHeight="1">
      <c r="A272" s="4" t="s">
        <v>2418</v>
      </c>
      <c r="B272" s="12"/>
      <c r="C272" s="12"/>
      <c r="D272" s="12"/>
      <c r="E272" s="12"/>
      <c r="F272" s="12"/>
    </row>
    <row r="273" spans="1:6" ht="25.5" customHeight="1">
      <c r="A273" s="3" t="s">
        <v>2419</v>
      </c>
      <c r="B273" s="11"/>
      <c r="C273" s="11"/>
      <c r="D273" s="11"/>
      <c r="E273" s="11"/>
      <c r="F273" s="11"/>
    </row>
    <row r="274" spans="1:6" ht="12.75" customHeight="1">
      <c r="A274" s="4" t="s">
        <v>2420</v>
      </c>
      <c r="B274" s="12"/>
      <c r="C274" s="12"/>
      <c r="D274" s="12"/>
      <c r="E274" s="12"/>
      <c r="F274" s="12"/>
    </row>
    <row r="275" spans="1:6" ht="12.75" customHeight="1">
      <c r="A275" s="3" t="s">
        <v>2421</v>
      </c>
      <c r="B275" s="11">
        <f>+'DCA-Anexo I-D'!B277+'DCA-Anexo I-D'!B278+'DCA-Anexo I-D'!B276</f>
        <v>4584533.16</v>
      </c>
      <c r="C275" s="11">
        <f>+'DCA-Anexo I-D'!C277+'DCA-Anexo I-D'!C278+'DCA-Anexo I-D'!C276</f>
        <v>4584533.16</v>
      </c>
      <c r="D275" s="11">
        <f>+'DCA-Anexo I-D'!D277+'DCA-Anexo I-D'!D278+'DCA-Anexo I-D'!D276</f>
        <v>4584533.16</v>
      </c>
      <c r="E275" s="11">
        <f>+'DCA-Anexo I-D'!E277+'DCA-Anexo I-D'!E278+'DCA-Anexo I-D'!E276</f>
        <v>0</v>
      </c>
      <c r="F275" s="11">
        <f>+'DCA-Anexo I-D'!F277+'DCA-Anexo I-D'!F278+'DCA-Anexo I-D'!F276</f>
        <v>0</v>
      </c>
    </row>
    <row r="276" spans="1:6" ht="12.75" customHeight="1">
      <c r="A276" s="4" t="s">
        <v>2422</v>
      </c>
      <c r="B276" s="12"/>
      <c r="C276" s="12"/>
      <c r="D276" s="12"/>
      <c r="E276" s="12"/>
      <c r="F276" s="12"/>
    </row>
    <row r="277" spans="1:6" ht="12.75" customHeight="1">
      <c r="A277" s="3" t="s">
        <v>2423</v>
      </c>
      <c r="B277" s="11"/>
      <c r="C277" s="11"/>
      <c r="D277" s="11"/>
      <c r="E277" s="11"/>
      <c r="F277" s="11"/>
    </row>
    <row r="278" spans="1:6" ht="12.75" customHeight="1">
      <c r="A278" s="4" t="s">
        <v>2424</v>
      </c>
      <c r="B278" s="12">
        <v>4584533.16</v>
      </c>
      <c r="C278" s="12">
        <v>4584533.16</v>
      </c>
      <c r="D278" s="12">
        <v>4584533.16</v>
      </c>
      <c r="E278" s="12"/>
      <c r="F278" s="12"/>
    </row>
    <row r="279" spans="1:6" ht="12.75" customHeight="1">
      <c r="A279" s="3" t="s">
        <v>2425</v>
      </c>
      <c r="B279" s="11">
        <v>1178030.6399999999</v>
      </c>
      <c r="C279" s="11">
        <v>1178030.6399999999</v>
      </c>
      <c r="D279" s="11">
        <v>1158628.6499999999</v>
      </c>
      <c r="E279" s="11"/>
      <c r="F279" s="11">
        <v>19401.990000000002</v>
      </c>
    </row>
    <row r="280" spans="1:6" ht="12.75" customHeight="1">
      <c r="A280" s="4" t="s">
        <v>2426</v>
      </c>
      <c r="B280" s="12"/>
      <c r="C280" s="12"/>
      <c r="D280" s="12"/>
      <c r="E280" s="12"/>
      <c r="F280" s="12"/>
    </row>
    <row r="281" spans="1:6" ht="12.75" customHeight="1">
      <c r="A281" s="3" t="s">
        <v>2427</v>
      </c>
      <c r="B281" s="11"/>
      <c r="C281" s="11"/>
      <c r="D281" s="11"/>
      <c r="E281" s="11"/>
      <c r="F281" s="11"/>
    </row>
    <row r="282" spans="1:6" ht="12.75" customHeight="1">
      <c r="A282" s="4" t="s">
        <v>2428</v>
      </c>
      <c r="B282" s="12"/>
      <c r="C282" s="12"/>
      <c r="D282" s="12"/>
      <c r="E282" s="12"/>
      <c r="F282" s="12"/>
    </row>
    <row r="283" spans="1:6" ht="12.75" customHeight="1">
      <c r="A283" s="3" t="s">
        <v>2429</v>
      </c>
      <c r="B283" s="11">
        <v>473278.31</v>
      </c>
      <c r="C283" s="11">
        <v>473278.31</v>
      </c>
      <c r="D283" s="11">
        <v>473278.31</v>
      </c>
      <c r="E283" s="11"/>
      <c r="F283" s="11"/>
    </row>
    <row r="284" spans="1:6" ht="12.75" customHeight="1">
      <c r="A284" s="4" t="s">
        <v>2430</v>
      </c>
      <c r="B284" s="12"/>
      <c r="C284" s="12"/>
      <c r="D284" s="12"/>
      <c r="E284" s="12"/>
      <c r="F284" s="12"/>
    </row>
    <row r="285" spans="1:6" ht="12.75" customHeight="1">
      <c r="A285" s="3" t="s">
        <v>2431</v>
      </c>
      <c r="B285" s="11"/>
      <c r="C285" s="11"/>
      <c r="D285" s="11"/>
      <c r="E285" s="11"/>
      <c r="F285" s="11"/>
    </row>
    <row r="286" spans="1:6" ht="38.25" customHeight="1">
      <c r="A286" s="4" t="s">
        <v>2432</v>
      </c>
      <c r="B286" s="12"/>
      <c r="C286" s="12"/>
      <c r="D286" s="12"/>
      <c r="E286" s="12"/>
      <c r="F286" s="12"/>
    </row>
    <row r="287" spans="1:6" ht="25.5" customHeight="1">
      <c r="A287" s="3" t="s">
        <v>2433</v>
      </c>
      <c r="B287" s="11"/>
      <c r="C287" s="11"/>
      <c r="D287" s="11"/>
      <c r="E287" s="11"/>
      <c r="F287" s="11"/>
    </row>
    <row r="288" spans="1:6" ht="38.25" customHeight="1">
      <c r="A288" s="4" t="s">
        <v>2434</v>
      </c>
      <c r="B288" s="12"/>
      <c r="C288" s="12"/>
      <c r="D288" s="12"/>
      <c r="E288" s="12"/>
      <c r="F288" s="12"/>
    </row>
    <row r="289" spans="1:6" ht="38.25" customHeight="1">
      <c r="A289" s="3" t="s">
        <v>2435</v>
      </c>
      <c r="B289" s="11"/>
      <c r="C289" s="11"/>
      <c r="D289" s="11"/>
      <c r="E289" s="11"/>
      <c r="F289" s="11"/>
    </row>
    <row r="290" spans="1:6" ht="25.5" customHeight="1">
      <c r="A290" s="4" t="s">
        <v>2436</v>
      </c>
      <c r="B290" s="12"/>
      <c r="C290" s="12"/>
      <c r="D290" s="12"/>
      <c r="E290" s="12"/>
      <c r="F290" s="12"/>
    </row>
    <row r="291" spans="1:6" ht="25.5" customHeight="1">
      <c r="A291" s="3" t="s">
        <v>2437</v>
      </c>
      <c r="B291" s="11"/>
      <c r="C291" s="11"/>
      <c r="D291" s="11"/>
      <c r="E291" s="11"/>
      <c r="F291" s="11"/>
    </row>
    <row r="292" spans="1:6" ht="12.75" customHeight="1">
      <c r="A292" s="4" t="s">
        <v>2438</v>
      </c>
      <c r="B292" s="12"/>
      <c r="C292" s="12"/>
      <c r="D292" s="12"/>
      <c r="E292" s="12"/>
      <c r="F292" s="12"/>
    </row>
    <row r="293" spans="1:6" ht="12.75" customHeight="1">
      <c r="A293" s="3" t="s">
        <v>2439</v>
      </c>
      <c r="B293" s="11">
        <f>+'DCA-Anexo I-D'!B306+'DCA-Anexo I-D'!B313+'DCA-Anexo I-D'!B311+'DCA-Anexo I-D'!B296+'DCA-Anexo I-D'!B297+'DCA-Anexo I-D'!B337+'DCA-Anexo I-D'!B317+'DCA-Anexo I-D'!B298+'DCA-Anexo I-D'!B310+'DCA-Anexo I-D'!B335+'DCA-Anexo I-D'!B336+'DCA-Anexo I-D'!B301+'DCA-Anexo I-D'!B294+'DCA-Anexo I-D'!B312+'DCA-Anexo I-D'!B316+'DCA-Anexo I-D'!B303+'DCA-Anexo I-D'!B307+'DCA-Anexo I-D'!B308+'DCA-Anexo I-D'!B309+'DCA-Anexo I-D'!B295+'DCA-Anexo I-D'!B299+'DCA-Anexo I-D'!B300+'DCA-Anexo I-D'!B302+'DCA-Anexo I-D'!B304+'DCA-Anexo I-D'!B305+'DCA-Anexo I-D'!B314+'DCA-Anexo I-D'!B315+'DCA-Anexo I-D'!B331+'DCA-Anexo I-D'!B333+'DCA-Anexo I-D'!B334+'DCA-Anexo I-D'!B332</f>
        <v>0</v>
      </c>
      <c r="C293" s="11">
        <f>+'DCA-Anexo I-D'!C306+'DCA-Anexo I-D'!C313+'DCA-Anexo I-D'!C311+'DCA-Anexo I-D'!C296+'DCA-Anexo I-D'!C297+'DCA-Anexo I-D'!C337+'DCA-Anexo I-D'!C317+'DCA-Anexo I-D'!C298+'DCA-Anexo I-D'!C310+'DCA-Anexo I-D'!C335+'DCA-Anexo I-D'!C336+'DCA-Anexo I-D'!C301+'DCA-Anexo I-D'!C294+'DCA-Anexo I-D'!C312+'DCA-Anexo I-D'!C316+'DCA-Anexo I-D'!C303+'DCA-Anexo I-D'!C307+'DCA-Anexo I-D'!C308+'DCA-Anexo I-D'!C309+'DCA-Anexo I-D'!C295+'DCA-Anexo I-D'!C299+'DCA-Anexo I-D'!C300+'DCA-Anexo I-D'!C302+'DCA-Anexo I-D'!C304+'DCA-Anexo I-D'!C305+'DCA-Anexo I-D'!C314+'DCA-Anexo I-D'!C315+'DCA-Anexo I-D'!C331+'DCA-Anexo I-D'!C333+'DCA-Anexo I-D'!C334+'DCA-Anexo I-D'!C332</f>
        <v>0</v>
      </c>
      <c r="D293" s="11">
        <f>+'DCA-Anexo I-D'!D306+'DCA-Anexo I-D'!D313+'DCA-Anexo I-D'!D311+'DCA-Anexo I-D'!D296+'DCA-Anexo I-D'!D297+'DCA-Anexo I-D'!D337+'DCA-Anexo I-D'!D317+'DCA-Anexo I-D'!D298+'DCA-Anexo I-D'!D310+'DCA-Anexo I-D'!D335+'DCA-Anexo I-D'!D336+'DCA-Anexo I-D'!D301+'DCA-Anexo I-D'!D294+'DCA-Anexo I-D'!D312+'DCA-Anexo I-D'!D316+'DCA-Anexo I-D'!D303+'DCA-Anexo I-D'!D307+'DCA-Anexo I-D'!D308+'DCA-Anexo I-D'!D309+'DCA-Anexo I-D'!D295+'DCA-Anexo I-D'!D299+'DCA-Anexo I-D'!D300+'DCA-Anexo I-D'!D302+'DCA-Anexo I-D'!D304+'DCA-Anexo I-D'!D305+'DCA-Anexo I-D'!D314+'DCA-Anexo I-D'!D315+'DCA-Anexo I-D'!D331+'DCA-Anexo I-D'!D333+'DCA-Anexo I-D'!D334+'DCA-Anexo I-D'!D332</f>
        <v>0</v>
      </c>
      <c r="E293" s="11">
        <f>+'DCA-Anexo I-D'!E306+'DCA-Anexo I-D'!E313+'DCA-Anexo I-D'!E311+'DCA-Anexo I-D'!E296+'DCA-Anexo I-D'!E297+'DCA-Anexo I-D'!E337+'DCA-Anexo I-D'!E317+'DCA-Anexo I-D'!E298+'DCA-Anexo I-D'!E310+'DCA-Anexo I-D'!E335+'DCA-Anexo I-D'!E336+'DCA-Anexo I-D'!E301+'DCA-Anexo I-D'!E294+'DCA-Anexo I-D'!E312+'DCA-Anexo I-D'!E316+'DCA-Anexo I-D'!E303+'DCA-Anexo I-D'!E307+'DCA-Anexo I-D'!E308+'DCA-Anexo I-D'!E309+'DCA-Anexo I-D'!E295+'DCA-Anexo I-D'!E299+'DCA-Anexo I-D'!E300+'DCA-Anexo I-D'!E302+'DCA-Anexo I-D'!E304+'DCA-Anexo I-D'!E305+'DCA-Anexo I-D'!E314+'DCA-Anexo I-D'!E315+'DCA-Anexo I-D'!E331+'DCA-Anexo I-D'!E333+'DCA-Anexo I-D'!E334+'DCA-Anexo I-D'!E332</f>
        <v>0</v>
      </c>
      <c r="F293" s="11">
        <f>+'DCA-Anexo I-D'!F306+'DCA-Anexo I-D'!F313+'DCA-Anexo I-D'!F311+'DCA-Anexo I-D'!F296+'DCA-Anexo I-D'!F297+'DCA-Anexo I-D'!F337+'DCA-Anexo I-D'!F317+'DCA-Anexo I-D'!F298+'DCA-Anexo I-D'!F310+'DCA-Anexo I-D'!F335+'DCA-Anexo I-D'!F336+'DCA-Anexo I-D'!F301+'DCA-Anexo I-D'!F294+'DCA-Anexo I-D'!F312+'DCA-Anexo I-D'!F316+'DCA-Anexo I-D'!F303+'DCA-Anexo I-D'!F307+'DCA-Anexo I-D'!F308+'DCA-Anexo I-D'!F309+'DCA-Anexo I-D'!F295+'DCA-Anexo I-D'!F299+'DCA-Anexo I-D'!F300+'DCA-Anexo I-D'!F302+'DCA-Anexo I-D'!F304+'DCA-Anexo I-D'!F305+'DCA-Anexo I-D'!F314+'DCA-Anexo I-D'!F315+'DCA-Anexo I-D'!F331+'DCA-Anexo I-D'!F333+'DCA-Anexo I-D'!F334+'DCA-Anexo I-D'!F332</f>
        <v>0</v>
      </c>
    </row>
    <row r="294" spans="1:6" ht="12.75" customHeight="1">
      <c r="A294" s="4" t="s">
        <v>2440</v>
      </c>
      <c r="B294" s="12"/>
      <c r="C294" s="12"/>
      <c r="D294" s="12"/>
      <c r="E294" s="12"/>
      <c r="F294" s="12"/>
    </row>
    <row r="295" spans="1:6" ht="12.75" customHeight="1">
      <c r="A295" s="3" t="s">
        <v>2441</v>
      </c>
      <c r="B295" s="11"/>
      <c r="C295" s="11"/>
      <c r="D295" s="11"/>
      <c r="E295" s="11"/>
      <c r="F295" s="11"/>
    </row>
    <row r="296" spans="1:6" ht="12.75" customHeight="1">
      <c r="A296" s="4" t="s">
        <v>2442</v>
      </c>
      <c r="B296" s="12"/>
      <c r="C296" s="12"/>
      <c r="D296" s="12"/>
      <c r="E296" s="12"/>
      <c r="F296" s="12"/>
    </row>
    <row r="297" spans="1:6" ht="12.75" customHeight="1">
      <c r="A297" s="3" t="s">
        <v>2443</v>
      </c>
      <c r="B297" s="11"/>
      <c r="C297" s="11"/>
      <c r="D297" s="11"/>
      <c r="E297" s="11"/>
      <c r="F297" s="11"/>
    </row>
    <row r="298" spans="1:6" ht="25.5" customHeight="1">
      <c r="A298" s="4" t="s">
        <v>2444</v>
      </c>
      <c r="B298" s="12"/>
      <c r="C298" s="12"/>
      <c r="D298" s="12"/>
      <c r="E298" s="12"/>
      <c r="F298" s="12"/>
    </row>
    <row r="299" spans="1:6" ht="38.25" customHeight="1">
      <c r="A299" s="3" t="s">
        <v>2445</v>
      </c>
      <c r="B299" s="11"/>
      <c r="C299" s="11"/>
      <c r="D299" s="11"/>
      <c r="E299" s="11"/>
      <c r="F299" s="11"/>
    </row>
    <row r="300" spans="1:6" ht="51" customHeight="1">
      <c r="A300" s="4" t="s">
        <v>2446</v>
      </c>
      <c r="B300" s="12"/>
      <c r="C300" s="12"/>
      <c r="D300" s="12"/>
      <c r="E300" s="12"/>
      <c r="F300" s="12"/>
    </row>
    <row r="301" spans="1:6" ht="12.75" customHeight="1">
      <c r="A301" s="3" t="s">
        <v>2447</v>
      </c>
      <c r="B301" s="11"/>
      <c r="C301" s="11"/>
      <c r="D301" s="11"/>
      <c r="E301" s="11"/>
      <c r="F301" s="11"/>
    </row>
    <row r="302" spans="1:6" ht="12.75" customHeight="1">
      <c r="A302" s="4" t="s">
        <v>2448</v>
      </c>
      <c r="B302" s="12"/>
      <c r="C302" s="12"/>
      <c r="D302" s="12"/>
      <c r="E302" s="12"/>
      <c r="F302" s="12"/>
    </row>
    <row r="303" spans="1:6" ht="12.75" customHeight="1">
      <c r="A303" s="3" t="s">
        <v>2449</v>
      </c>
      <c r="B303" s="11"/>
      <c r="C303" s="11"/>
      <c r="D303" s="11"/>
      <c r="E303" s="11"/>
      <c r="F303" s="11"/>
    </row>
    <row r="304" spans="1:6" ht="38.25" customHeight="1">
      <c r="A304" s="4" t="s">
        <v>2450</v>
      </c>
      <c r="B304" s="12"/>
      <c r="C304" s="12"/>
      <c r="D304" s="12"/>
      <c r="E304" s="12"/>
      <c r="F304" s="12"/>
    </row>
    <row r="305" spans="1:6" ht="38.25" customHeight="1">
      <c r="A305" s="3" t="s">
        <v>2451</v>
      </c>
      <c r="B305" s="11"/>
      <c r="C305" s="11"/>
      <c r="D305" s="11"/>
      <c r="E305" s="11"/>
      <c r="F305" s="11"/>
    </row>
    <row r="306" spans="1:6" ht="25.5" customHeight="1">
      <c r="A306" s="4" t="s">
        <v>2452</v>
      </c>
      <c r="B306" s="12"/>
      <c r="C306" s="12"/>
      <c r="D306" s="12"/>
      <c r="E306" s="12"/>
      <c r="F306" s="12"/>
    </row>
    <row r="307" spans="1:6" ht="25.5" customHeight="1">
      <c r="A307" s="3" t="s">
        <v>2453</v>
      </c>
      <c r="B307" s="11"/>
      <c r="C307" s="11"/>
      <c r="D307" s="11"/>
      <c r="E307" s="11"/>
      <c r="F307" s="11"/>
    </row>
    <row r="308" spans="1:6" ht="12.75" customHeight="1">
      <c r="A308" s="4" t="s">
        <v>2454</v>
      </c>
      <c r="B308" s="12"/>
      <c r="C308" s="12"/>
      <c r="D308" s="12"/>
      <c r="E308" s="12"/>
      <c r="F308" s="12"/>
    </row>
    <row r="309" spans="1:6" ht="12.75" customHeight="1">
      <c r="A309" s="3" t="s">
        <v>2455</v>
      </c>
      <c r="B309" s="11"/>
      <c r="C309" s="11"/>
      <c r="D309" s="11"/>
      <c r="E309" s="11"/>
      <c r="F309" s="11"/>
    </row>
    <row r="310" spans="1:6" ht="25.5" customHeight="1">
      <c r="A310" s="4" t="s">
        <v>2456</v>
      </c>
      <c r="B310" s="12"/>
      <c r="C310" s="12"/>
      <c r="D310" s="12"/>
      <c r="E310" s="12"/>
      <c r="F310" s="12"/>
    </row>
    <row r="311" spans="1:6" ht="12.75" customHeight="1">
      <c r="A311" s="3" t="s">
        <v>2457</v>
      </c>
      <c r="B311" s="11"/>
      <c r="C311" s="11"/>
      <c r="D311" s="11"/>
      <c r="E311" s="11"/>
      <c r="F311" s="11"/>
    </row>
    <row r="312" spans="1:6" ht="38.25" customHeight="1">
      <c r="A312" s="4" t="s">
        <v>2458</v>
      </c>
      <c r="B312" s="12"/>
      <c r="C312" s="12"/>
      <c r="D312" s="12"/>
      <c r="E312" s="12"/>
      <c r="F312" s="12"/>
    </row>
    <row r="313" spans="1:6" ht="38.25" customHeight="1">
      <c r="A313" s="3" t="s">
        <v>2459</v>
      </c>
      <c r="B313" s="11"/>
      <c r="C313" s="11"/>
      <c r="D313" s="11"/>
      <c r="E313" s="11"/>
      <c r="F313" s="11"/>
    </row>
    <row r="314" spans="1:6" ht="38.25" customHeight="1">
      <c r="A314" s="4" t="s">
        <v>2460</v>
      </c>
      <c r="B314" s="12"/>
      <c r="C314" s="12"/>
      <c r="D314" s="12"/>
      <c r="E314" s="12"/>
      <c r="F314" s="12"/>
    </row>
    <row r="315" spans="1:6" ht="25.5" customHeight="1">
      <c r="A315" s="3" t="s">
        <v>2461</v>
      </c>
      <c r="B315" s="11"/>
      <c r="C315" s="11"/>
      <c r="D315" s="11"/>
      <c r="E315" s="11"/>
      <c r="F315" s="11"/>
    </row>
    <row r="316" spans="1:6" ht="12.75" customHeight="1">
      <c r="A316" s="4" t="s">
        <v>2462</v>
      </c>
      <c r="B316" s="12"/>
      <c r="C316" s="12"/>
      <c r="D316" s="12"/>
      <c r="E316" s="12"/>
      <c r="F316" s="12"/>
    </row>
    <row r="317" spans="1:6" ht="12.75" customHeight="1">
      <c r="A317" s="3" t="s">
        <v>2463</v>
      </c>
      <c r="B317" s="11">
        <f>+'DCA-Anexo I-D'!B323+'DCA-Anexo I-D'!B329+'DCA-Anexo I-D'!B318+'DCA-Anexo I-D'!B320+'DCA-Anexo I-D'!B330+'DCA-Anexo I-D'!B327+'DCA-Anexo I-D'!B321+'DCA-Anexo I-D'!B319+'DCA-Anexo I-D'!B322+'DCA-Anexo I-D'!B325+'DCA-Anexo I-D'!B324+'DCA-Anexo I-D'!B328+'DCA-Anexo I-D'!B326</f>
        <v>0</v>
      </c>
      <c r="C317" s="11">
        <f>+'DCA-Anexo I-D'!C323+'DCA-Anexo I-D'!C329+'DCA-Anexo I-D'!C318+'DCA-Anexo I-D'!C320+'DCA-Anexo I-D'!C330+'DCA-Anexo I-D'!C327+'DCA-Anexo I-D'!C321+'DCA-Anexo I-D'!C319+'DCA-Anexo I-D'!C322+'DCA-Anexo I-D'!C325+'DCA-Anexo I-D'!C324+'DCA-Anexo I-D'!C328+'DCA-Anexo I-D'!C326</f>
        <v>0</v>
      </c>
      <c r="D317" s="11">
        <f>+'DCA-Anexo I-D'!D323+'DCA-Anexo I-D'!D329+'DCA-Anexo I-D'!D318+'DCA-Anexo I-D'!D320+'DCA-Anexo I-D'!D330+'DCA-Anexo I-D'!D327+'DCA-Anexo I-D'!D321+'DCA-Anexo I-D'!D319+'DCA-Anexo I-D'!D322+'DCA-Anexo I-D'!D325+'DCA-Anexo I-D'!D324+'DCA-Anexo I-D'!D328+'DCA-Anexo I-D'!D326</f>
        <v>0</v>
      </c>
      <c r="E317" s="11">
        <f>+'DCA-Anexo I-D'!E323+'DCA-Anexo I-D'!E329+'DCA-Anexo I-D'!E318+'DCA-Anexo I-D'!E320+'DCA-Anexo I-D'!E330+'DCA-Anexo I-D'!E327+'DCA-Anexo I-D'!E321+'DCA-Anexo I-D'!E319+'DCA-Anexo I-D'!E322+'DCA-Anexo I-D'!E325+'DCA-Anexo I-D'!E324+'DCA-Anexo I-D'!E328+'DCA-Anexo I-D'!E326</f>
        <v>0</v>
      </c>
      <c r="F317" s="11">
        <f>+'DCA-Anexo I-D'!F323+'DCA-Anexo I-D'!F329+'DCA-Anexo I-D'!F318+'DCA-Anexo I-D'!F320+'DCA-Anexo I-D'!F330+'DCA-Anexo I-D'!F327+'DCA-Anexo I-D'!F321+'DCA-Anexo I-D'!F319+'DCA-Anexo I-D'!F322+'DCA-Anexo I-D'!F325+'DCA-Anexo I-D'!F324+'DCA-Anexo I-D'!F328+'DCA-Anexo I-D'!F326</f>
        <v>0</v>
      </c>
    </row>
    <row r="318" spans="1:6" ht="25.5" customHeight="1">
      <c r="A318" s="4" t="s">
        <v>2464</v>
      </c>
      <c r="B318" s="12"/>
      <c r="C318" s="12"/>
      <c r="D318" s="12"/>
      <c r="E318" s="12"/>
      <c r="F318" s="12"/>
    </row>
    <row r="319" spans="1:6" ht="12.75" customHeight="1">
      <c r="A319" s="3" t="s">
        <v>2465</v>
      </c>
      <c r="B319" s="11"/>
      <c r="C319" s="11"/>
      <c r="D319" s="11"/>
      <c r="E319" s="11"/>
      <c r="F319" s="11"/>
    </row>
    <row r="320" spans="1:6" ht="12.75" customHeight="1">
      <c r="A320" s="4" t="s">
        <v>2466</v>
      </c>
      <c r="B320" s="12"/>
      <c r="C320" s="12"/>
      <c r="D320" s="12"/>
      <c r="E320" s="12"/>
      <c r="F320" s="12"/>
    </row>
    <row r="321" spans="1:6" ht="12.75" customHeight="1">
      <c r="A321" s="3" t="s">
        <v>2467</v>
      </c>
      <c r="B321" s="11"/>
      <c r="C321" s="11"/>
      <c r="D321" s="11"/>
      <c r="E321" s="11"/>
      <c r="F321" s="11"/>
    </row>
    <row r="322" spans="1:6" ht="25.5" customHeight="1">
      <c r="A322" s="4" t="s">
        <v>2468</v>
      </c>
      <c r="B322" s="12"/>
      <c r="C322" s="12"/>
      <c r="D322" s="12"/>
      <c r="E322" s="12"/>
      <c r="F322" s="12"/>
    </row>
    <row r="323" spans="1:6" ht="12.75" customHeight="1">
      <c r="A323" s="3" t="s">
        <v>2469</v>
      </c>
      <c r="B323" s="11"/>
      <c r="C323" s="11"/>
      <c r="D323" s="11"/>
      <c r="E323" s="11"/>
      <c r="F323" s="11"/>
    </row>
    <row r="324" spans="1:6" ht="12.75" customHeight="1">
      <c r="A324" s="4" t="s">
        <v>2470</v>
      </c>
      <c r="B324" s="12"/>
      <c r="C324" s="12"/>
      <c r="D324" s="12"/>
      <c r="E324" s="12"/>
      <c r="F324" s="12"/>
    </row>
    <row r="325" spans="1:6" ht="12.75" customHeight="1">
      <c r="A325" s="3" t="s">
        <v>2471</v>
      </c>
      <c r="B325" s="11"/>
      <c r="C325" s="11"/>
      <c r="D325" s="11"/>
      <c r="E325" s="11"/>
      <c r="F325" s="11"/>
    </row>
    <row r="326" spans="1:6" ht="25.5" customHeight="1">
      <c r="A326" s="4" t="s">
        <v>2472</v>
      </c>
      <c r="B326" s="12"/>
      <c r="C326" s="12"/>
      <c r="D326" s="12"/>
      <c r="E326" s="12"/>
      <c r="F326" s="12"/>
    </row>
    <row r="327" spans="1:6" ht="12.75" customHeight="1">
      <c r="A327" s="3" t="s">
        <v>2473</v>
      </c>
      <c r="B327" s="11"/>
      <c r="C327" s="11"/>
      <c r="D327" s="11"/>
      <c r="E327" s="11"/>
      <c r="F327" s="11"/>
    </row>
    <row r="328" spans="1:6" ht="12.75" customHeight="1">
      <c r="A328" s="4" t="s">
        <v>2474</v>
      </c>
      <c r="B328" s="12"/>
      <c r="C328" s="12"/>
      <c r="D328" s="12"/>
      <c r="E328" s="12"/>
      <c r="F328" s="12"/>
    </row>
    <row r="329" spans="1:6" ht="12.75" customHeight="1">
      <c r="A329" s="3" t="s">
        <v>2475</v>
      </c>
      <c r="B329" s="11"/>
      <c r="C329" s="11"/>
      <c r="D329" s="11"/>
      <c r="E329" s="11"/>
      <c r="F329" s="11"/>
    </row>
    <row r="330" spans="1:6" ht="12.75" customHeight="1">
      <c r="A330" s="4" t="s">
        <v>2476</v>
      </c>
      <c r="B330" s="12"/>
      <c r="C330" s="12"/>
      <c r="D330" s="12"/>
      <c r="E330" s="12"/>
      <c r="F330" s="12"/>
    </row>
    <row r="331" spans="1:6" ht="38.25" customHeight="1">
      <c r="A331" s="3" t="s">
        <v>2477</v>
      </c>
      <c r="B331" s="11"/>
      <c r="C331" s="11"/>
      <c r="D331" s="11"/>
      <c r="E331" s="11"/>
      <c r="F331" s="11"/>
    </row>
    <row r="332" spans="1:6" ht="25.5" customHeight="1">
      <c r="A332" s="4" t="s">
        <v>2478</v>
      </c>
      <c r="B332" s="12"/>
      <c r="C332" s="12"/>
      <c r="D332" s="12"/>
      <c r="E332" s="12"/>
      <c r="F332" s="12"/>
    </row>
    <row r="333" spans="1:6" ht="38.25" customHeight="1">
      <c r="A333" s="3" t="s">
        <v>2479</v>
      </c>
      <c r="B333" s="11"/>
      <c r="C333" s="11"/>
      <c r="D333" s="11"/>
      <c r="E333" s="11"/>
      <c r="F333" s="11"/>
    </row>
    <row r="334" spans="1:6" ht="38.25" customHeight="1">
      <c r="A334" s="4" t="s">
        <v>2480</v>
      </c>
      <c r="B334" s="12"/>
      <c r="C334" s="12"/>
      <c r="D334" s="12"/>
      <c r="E334" s="12"/>
      <c r="F334" s="12"/>
    </row>
    <row r="335" spans="1:6" ht="25.5" customHeight="1">
      <c r="A335" s="3" t="s">
        <v>2481</v>
      </c>
      <c r="B335" s="11"/>
      <c r="C335" s="11"/>
      <c r="D335" s="11"/>
      <c r="E335" s="11"/>
      <c r="F335" s="11"/>
    </row>
    <row r="336" spans="1:6" ht="25.5" customHeight="1">
      <c r="A336" s="4" t="s">
        <v>2482</v>
      </c>
      <c r="B336" s="12"/>
      <c r="C336" s="12"/>
      <c r="D336" s="12"/>
      <c r="E336" s="12"/>
      <c r="F336" s="12"/>
    </row>
    <row r="337" spans="1:6" ht="12.75" customHeight="1">
      <c r="A337" s="3" t="s">
        <v>2483</v>
      </c>
      <c r="B337" s="11"/>
      <c r="C337" s="11"/>
      <c r="D337" s="11"/>
      <c r="E337" s="11"/>
      <c r="F337" s="11"/>
    </row>
    <row r="338" spans="1:6" ht="12.75" customHeight="1">
      <c r="A338" s="4" t="s">
        <v>2484</v>
      </c>
      <c r="B338" s="12">
        <f>+'DCA-Anexo I-D'!B362+'DCA-Anexo I-D'!B378+'DCA-Anexo I-D'!B379+'DCA-Anexo I-D'!B380+'DCA-Anexo I-D'!B355+'DCA-Anexo I-D'!B357+'DCA-Anexo I-D'!B358+'DCA-Anexo I-D'!B339+'DCA-Anexo I-D'!B340+'DCA-Anexo I-D'!B341+'DCA-Anexo I-D'!B342+'DCA-Anexo I-D'!B343+'DCA-Anexo I-D'!B344+'DCA-Anexo I-D'!B345+'DCA-Anexo I-D'!B346+'DCA-Anexo I-D'!B347+'DCA-Anexo I-D'!B348+'DCA-Anexo I-D'!B349+'DCA-Anexo I-D'!B350+'DCA-Anexo I-D'!B351+'DCA-Anexo I-D'!B352+'DCA-Anexo I-D'!B353+'DCA-Anexo I-D'!B354+'DCA-Anexo I-D'!B356+'DCA-Anexo I-D'!B359+'DCA-Anexo I-D'!B360+'DCA-Anexo I-D'!B361+'DCA-Anexo I-D'!B375+'DCA-Anexo I-D'!B376+'DCA-Anexo I-D'!B377</f>
        <v>4206936.2</v>
      </c>
      <c r="C338" s="12">
        <f>+'DCA-Anexo I-D'!C362+'DCA-Anexo I-D'!C378+'DCA-Anexo I-D'!C379+'DCA-Anexo I-D'!C380+'DCA-Anexo I-D'!C355+'DCA-Anexo I-D'!C357+'DCA-Anexo I-D'!C358+'DCA-Anexo I-D'!C339+'DCA-Anexo I-D'!C340+'DCA-Anexo I-D'!C341+'DCA-Anexo I-D'!C342+'DCA-Anexo I-D'!C343+'DCA-Anexo I-D'!C344+'DCA-Anexo I-D'!C345+'DCA-Anexo I-D'!C346+'DCA-Anexo I-D'!C347+'DCA-Anexo I-D'!C348+'DCA-Anexo I-D'!C349+'DCA-Anexo I-D'!C350+'DCA-Anexo I-D'!C351+'DCA-Anexo I-D'!C352+'DCA-Anexo I-D'!C353+'DCA-Anexo I-D'!C354+'DCA-Anexo I-D'!C356+'DCA-Anexo I-D'!C359+'DCA-Anexo I-D'!C360+'DCA-Anexo I-D'!C361+'DCA-Anexo I-D'!C375+'DCA-Anexo I-D'!C376+'DCA-Anexo I-D'!C377</f>
        <v>4206936.2</v>
      </c>
      <c r="D338" s="12">
        <f>+'DCA-Anexo I-D'!D362+'DCA-Anexo I-D'!D378+'DCA-Anexo I-D'!D379+'DCA-Anexo I-D'!D380+'DCA-Anexo I-D'!D355+'DCA-Anexo I-D'!D357+'DCA-Anexo I-D'!D358+'DCA-Anexo I-D'!D339+'DCA-Anexo I-D'!D340+'DCA-Anexo I-D'!D341+'DCA-Anexo I-D'!D342+'DCA-Anexo I-D'!D343+'DCA-Anexo I-D'!D344+'DCA-Anexo I-D'!D345+'DCA-Anexo I-D'!D346+'DCA-Anexo I-D'!D347+'DCA-Anexo I-D'!D348+'DCA-Anexo I-D'!D349+'DCA-Anexo I-D'!D350+'DCA-Anexo I-D'!D351+'DCA-Anexo I-D'!D352+'DCA-Anexo I-D'!D353+'DCA-Anexo I-D'!D354+'DCA-Anexo I-D'!D356+'DCA-Anexo I-D'!D359+'DCA-Anexo I-D'!D360+'DCA-Anexo I-D'!D361+'DCA-Anexo I-D'!D375+'DCA-Anexo I-D'!D376+'DCA-Anexo I-D'!D377</f>
        <v>4206936.2</v>
      </c>
      <c r="E338" s="12">
        <f>+'DCA-Anexo I-D'!E362+'DCA-Anexo I-D'!E378+'DCA-Anexo I-D'!E379+'DCA-Anexo I-D'!E380+'DCA-Anexo I-D'!E355+'DCA-Anexo I-D'!E357+'DCA-Anexo I-D'!E358+'DCA-Anexo I-D'!E339+'DCA-Anexo I-D'!E340+'DCA-Anexo I-D'!E341+'DCA-Anexo I-D'!E342+'DCA-Anexo I-D'!E343+'DCA-Anexo I-D'!E344+'DCA-Anexo I-D'!E345+'DCA-Anexo I-D'!E346+'DCA-Anexo I-D'!E347+'DCA-Anexo I-D'!E348+'DCA-Anexo I-D'!E349+'DCA-Anexo I-D'!E350+'DCA-Anexo I-D'!E351+'DCA-Anexo I-D'!E352+'DCA-Anexo I-D'!E353+'DCA-Anexo I-D'!E354+'DCA-Anexo I-D'!E356+'DCA-Anexo I-D'!E359+'DCA-Anexo I-D'!E360+'DCA-Anexo I-D'!E361+'DCA-Anexo I-D'!E375+'DCA-Anexo I-D'!E376+'DCA-Anexo I-D'!E377</f>
        <v>0</v>
      </c>
      <c r="F338" s="12">
        <f>+'DCA-Anexo I-D'!F362+'DCA-Anexo I-D'!F378+'DCA-Anexo I-D'!F379+'DCA-Anexo I-D'!F380+'DCA-Anexo I-D'!F355+'DCA-Anexo I-D'!F357+'DCA-Anexo I-D'!F358+'DCA-Anexo I-D'!F339+'DCA-Anexo I-D'!F340+'DCA-Anexo I-D'!F341+'DCA-Anexo I-D'!F342+'DCA-Anexo I-D'!F343+'DCA-Anexo I-D'!F344+'DCA-Anexo I-D'!F345+'DCA-Anexo I-D'!F346+'DCA-Anexo I-D'!F347+'DCA-Anexo I-D'!F348+'DCA-Anexo I-D'!F349+'DCA-Anexo I-D'!F350+'DCA-Anexo I-D'!F351+'DCA-Anexo I-D'!F352+'DCA-Anexo I-D'!F353+'DCA-Anexo I-D'!F354+'DCA-Anexo I-D'!F356+'DCA-Anexo I-D'!F359+'DCA-Anexo I-D'!F360+'DCA-Anexo I-D'!F361+'DCA-Anexo I-D'!F375+'DCA-Anexo I-D'!F376+'DCA-Anexo I-D'!F377</f>
        <v>0</v>
      </c>
    </row>
    <row r="339" spans="1:6" ht="12.75" customHeight="1">
      <c r="A339" s="3" t="s">
        <v>2485</v>
      </c>
      <c r="B339" s="11"/>
      <c r="C339" s="11"/>
      <c r="D339" s="11"/>
      <c r="E339" s="11"/>
      <c r="F339" s="11"/>
    </row>
    <row r="340" spans="1:6" ht="12.75" customHeight="1">
      <c r="A340" s="4" t="s">
        <v>2486</v>
      </c>
      <c r="B340" s="12"/>
      <c r="C340" s="12"/>
      <c r="D340" s="12"/>
      <c r="E340" s="12"/>
      <c r="F340" s="12"/>
    </row>
    <row r="341" spans="1:6" ht="12.75" customHeight="1">
      <c r="A341" s="3" t="s">
        <v>2487</v>
      </c>
      <c r="B341" s="11"/>
      <c r="C341" s="11"/>
      <c r="D341" s="11"/>
      <c r="E341" s="11"/>
      <c r="F341" s="11"/>
    </row>
    <row r="342" spans="1:6" ht="25.5" customHeight="1">
      <c r="A342" s="4" t="s">
        <v>2488</v>
      </c>
      <c r="B342" s="12"/>
      <c r="C342" s="12"/>
      <c r="D342" s="12"/>
      <c r="E342" s="12"/>
      <c r="F342" s="12"/>
    </row>
    <row r="343" spans="1:6" ht="25.5" customHeight="1">
      <c r="A343" s="3" t="s">
        <v>2489</v>
      </c>
      <c r="B343" s="11"/>
      <c r="C343" s="11"/>
      <c r="D343" s="11"/>
      <c r="E343" s="11"/>
      <c r="F343" s="11"/>
    </row>
    <row r="344" spans="1:6" ht="38.25" customHeight="1">
      <c r="A344" s="4" t="s">
        <v>2490</v>
      </c>
      <c r="B344" s="12"/>
      <c r="C344" s="12"/>
      <c r="D344" s="12"/>
      <c r="E344" s="12"/>
      <c r="F344" s="12"/>
    </row>
    <row r="345" spans="1:6" ht="51" customHeight="1">
      <c r="A345" s="3" t="s">
        <v>2491</v>
      </c>
      <c r="B345" s="11"/>
      <c r="C345" s="11"/>
      <c r="D345" s="11"/>
      <c r="E345" s="11"/>
      <c r="F345" s="11"/>
    </row>
    <row r="346" spans="1:6" ht="12.75" customHeight="1">
      <c r="A346" s="4" t="s">
        <v>2492</v>
      </c>
      <c r="B346" s="12"/>
      <c r="C346" s="12"/>
      <c r="D346" s="12"/>
      <c r="E346" s="12"/>
      <c r="F346" s="12"/>
    </row>
    <row r="347" spans="1:6" ht="12.75" customHeight="1">
      <c r="A347" s="3" t="s">
        <v>2493</v>
      </c>
      <c r="B347" s="11"/>
      <c r="C347" s="11"/>
      <c r="D347" s="11"/>
      <c r="E347" s="11"/>
      <c r="F347" s="11"/>
    </row>
    <row r="348" spans="1:6" ht="12.75" customHeight="1">
      <c r="A348" s="4" t="s">
        <v>2494</v>
      </c>
      <c r="B348" s="12"/>
      <c r="C348" s="12"/>
      <c r="D348" s="12"/>
      <c r="E348" s="12"/>
      <c r="F348" s="12"/>
    </row>
    <row r="349" spans="1:6" ht="38.25" customHeight="1">
      <c r="A349" s="3" t="s">
        <v>2495</v>
      </c>
      <c r="B349" s="11"/>
      <c r="C349" s="11"/>
      <c r="D349" s="11"/>
      <c r="E349" s="11"/>
      <c r="F349" s="11"/>
    </row>
    <row r="350" spans="1:6" ht="38.25" customHeight="1">
      <c r="A350" s="4" t="s">
        <v>2496</v>
      </c>
      <c r="B350" s="12"/>
      <c r="C350" s="12"/>
      <c r="D350" s="12"/>
      <c r="E350" s="12"/>
      <c r="F350" s="12"/>
    </row>
    <row r="351" spans="1:6" ht="25.5" customHeight="1">
      <c r="A351" s="3" t="s">
        <v>2497</v>
      </c>
      <c r="B351" s="11"/>
      <c r="C351" s="11"/>
      <c r="D351" s="11"/>
      <c r="E351" s="11"/>
      <c r="F351" s="11"/>
    </row>
    <row r="352" spans="1:6" ht="25.5" customHeight="1">
      <c r="A352" s="4" t="s">
        <v>2498</v>
      </c>
      <c r="B352" s="12"/>
      <c r="C352" s="12"/>
      <c r="D352" s="12"/>
      <c r="E352" s="12"/>
      <c r="F352" s="12"/>
    </row>
    <row r="353" spans="1:6" ht="12.75" customHeight="1">
      <c r="A353" s="3" t="s">
        <v>2499</v>
      </c>
      <c r="B353" s="11"/>
      <c r="C353" s="11"/>
      <c r="D353" s="11"/>
      <c r="E353" s="11"/>
      <c r="F353" s="11"/>
    </row>
    <row r="354" spans="1:6" ht="12.75" customHeight="1">
      <c r="A354" s="4" t="s">
        <v>2500</v>
      </c>
      <c r="B354" s="12"/>
      <c r="C354" s="12"/>
      <c r="D354" s="12"/>
      <c r="E354" s="12"/>
      <c r="F354" s="12"/>
    </row>
    <row r="355" spans="1:6" ht="25.5" customHeight="1">
      <c r="A355" s="3" t="s">
        <v>2501</v>
      </c>
      <c r="B355" s="11"/>
      <c r="C355" s="11"/>
      <c r="D355" s="11"/>
      <c r="E355" s="11"/>
      <c r="F355" s="11"/>
    </row>
    <row r="356" spans="1:6" ht="12.75" customHeight="1">
      <c r="A356" s="4" t="s">
        <v>2502</v>
      </c>
      <c r="B356" s="12"/>
      <c r="C356" s="12"/>
      <c r="D356" s="12"/>
      <c r="E356" s="12"/>
      <c r="F356" s="12"/>
    </row>
    <row r="357" spans="1:6" ht="38.25" customHeight="1">
      <c r="A357" s="3" t="s">
        <v>2503</v>
      </c>
      <c r="B357" s="11"/>
      <c r="C357" s="11"/>
      <c r="D357" s="11"/>
      <c r="E357" s="11"/>
      <c r="F357" s="11"/>
    </row>
    <row r="358" spans="1:6" ht="38.25" customHeight="1">
      <c r="A358" s="4" t="s">
        <v>2504</v>
      </c>
      <c r="B358" s="12"/>
      <c r="C358" s="12"/>
      <c r="D358" s="12"/>
      <c r="E358" s="12"/>
      <c r="F358" s="12"/>
    </row>
    <row r="359" spans="1:6" ht="38.25" customHeight="1">
      <c r="A359" s="3" t="s">
        <v>2505</v>
      </c>
      <c r="B359" s="11"/>
      <c r="C359" s="11"/>
      <c r="D359" s="11"/>
      <c r="E359" s="11"/>
      <c r="F359" s="11"/>
    </row>
    <row r="360" spans="1:6" ht="25.5" customHeight="1">
      <c r="A360" s="4" t="s">
        <v>2506</v>
      </c>
      <c r="B360" s="12"/>
      <c r="C360" s="12"/>
      <c r="D360" s="12"/>
      <c r="E360" s="12"/>
      <c r="F360" s="12"/>
    </row>
    <row r="361" spans="1:6" ht="12.75" customHeight="1">
      <c r="A361" s="3" t="s">
        <v>2507</v>
      </c>
      <c r="B361" s="11"/>
      <c r="C361" s="11"/>
      <c r="D361" s="11"/>
      <c r="E361" s="11"/>
      <c r="F361" s="11"/>
    </row>
    <row r="362" spans="1:6" ht="12.75" customHeight="1">
      <c r="A362" s="4" t="s">
        <v>2508</v>
      </c>
      <c r="B362" s="12">
        <f>+'DCA-Anexo I-D'!B372+'DCA-Anexo I-D'!B364+'DCA-Anexo I-D'!B363+'DCA-Anexo I-D'!B366+'DCA-Anexo I-D'!B367+'DCA-Anexo I-D'!B370+'DCA-Anexo I-D'!B373+'DCA-Anexo I-D'!B365+'DCA-Anexo I-D'!B368+'DCA-Anexo I-D'!B374+'DCA-Anexo I-D'!B371+'DCA-Anexo I-D'!B369</f>
        <v>4206936.2</v>
      </c>
      <c r="C362" s="12">
        <f>+'DCA-Anexo I-D'!C372+'DCA-Anexo I-D'!C364+'DCA-Anexo I-D'!C363+'DCA-Anexo I-D'!C366+'DCA-Anexo I-D'!C367+'DCA-Anexo I-D'!C370+'DCA-Anexo I-D'!C373+'DCA-Anexo I-D'!C365+'DCA-Anexo I-D'!C368+'DCA-Anexo I-D'!C374+'DCA-Anexo I-D'!C371+'DCA-Anexo I-D'!C369</f>
        <v>4206936.2</v>
      </c>
      <c r="D362" s="12">
        <f>+'DCA-Anexo I-D'!D372+'DCA-Anexo I-D'!D364+'DCA-Anexo I-D'!D363+'DCA-Anexo I-D'!D366+'DCA-Anexo I-D'!D367+'DCA-Anexo I-D'!D370+'DCA-Anexo I-D'!D373+'DCA-Anexo I-D'!D365+'DCA-Anexo I-D'!D368+'DCA-Anexo I-D'!D374+'DCA-Anexo I-D'!D371+'DCA-Anexo I-D'!D369</f>
        <v>4206936.2</v>
      </c>
      <c r="E362" s="12">
        <f>+'DCA-Anexo I-D'!E372+'DCA-Anexo I-D'!E364+'DCA-Anexo I-D'!E363+'DCA-Anexo I-D'!E366+'DCA-Anexo I-D'!E367+'DCA-Anexo I-D'!E370+'DCA-Anexo I-D'!E373+'DCA-Anexo I-D'!E365+'DCA-Anexo I-D'!E368+'DCA-Anexo I-D'!E374+'DCA-Anexo I-D'!E371+'DCA-Anexo I-D'!E369</f>
        <v>0</v>
      </c>
      <c r="F362" s="12">
        <f>+'DCA-Anexo I-D'!F372+'DCA-Anexo I-D'!F364+'DCA-Anexo I-D'!F363+'DCA-Anexo I-D'!F366+'DCA-Anexo I-D'!F367+'DCA-Anexo I-D'!F370+'DCA-Anexo I-D'!F373+'DCA-Anexo I-D'!F365+'DCA-Anexo I-D'!F368+'DCA-Anexo I-D'!F374+'DCA-Anexo I-D'!F371+'DCA-Anexo I-D'!F369</f>
        <v>0</v>
      </c>
    </row>
    <row r="363" spans="1:6" ht="12.75" customHeight="1">
      <c r="A363" s="3" t="s">
        <v>2509</v>
      </c>
      <c r="B363" s="11"/>
      <c r="C363" s="11"/>
      <c r="D363" s="11"/>
      <c r="E363" s="11"/>
      <c r="F363" s="11"/>
    </row>
    <row r="364" spans="1:6" ht="12.75" customHeight="1">
      <c r="A364" s="4" t="s">
        <v>2510</v>
      </c>
      <c r="B364" s="12">
        <v>4206936.2</v>
      </c>
      <c r="C364" s="12">
        <v>4206936.2</v>
      </c>
      <c r="D364" s="12">
        <v>4206936.2</v>
      </c>
      <c r="E364" s="12"/>
      <c r="F364" s="12"/>
    </row>
    <row r="365" spans="1:6" ht="12.75" customHeight="1">
      <c r="A365" s="3" t="s">
        <v>2511</v>
      </c>
      <c r="B365" s="11"/>
      <c r="C365" s="11"/>
      <c r="D365" s="11"/>
      <c r="E365" s="11"/>
      <c r="F365" s="11"/>
    </row>
    <row r="366" spans="1:6" ht="25.5" customHeight="1">
      <c r="A366" s="4" t="s">
        <v>2512</v>
      </c>
      <c r="B366" s="12"/>
      <c r="C366" s="12"/>
      <c r="D366" s="12"/>
      <c r="E366" s="12"/>
      <c r="F366" s="12"/>
    </row>
    <row r="367" spans="1:6" ht="25.5" customHeight="1">
      <c r="A367" s="3" t="s">
        <v>2513</v>
      </c>
      <c r="B367" s="11"/>
      <c r="C367" s="11"/>
      <c r="D367" s="11"/>
      <c r="E367" s="11"/>
      <c r="F367" s="11"/>
    </row>
    <row r="368" spans="1:6" ht="25.5" customHeight="1">
      <c r="A368" s="4" t="s">
        <v>2514</v>
      </c>
      <c r="B368" s="12"/>
      <c r="C368" s="12"/>
      <c r="D368" s="12"/>
      <c r="E368" s="12"/>
      <c r="F368" s="12"/>
    </row>
    <row r="369" spans="1:6" ht="12.75" customHeight="1">
      <c r="A369" s="3" t="s">
        <v>2515</v>
      </c>
      <c r="B369" s="11"/>
      <c r="C369" s="11"/>
      <c r="D369" s="11"/>
      <c r="E369" s="11"/>
      <c r="F369" s="11"/>
    </row>
    <row r="370" spans="1:6" ht="12.75" customHeight="1">
      <c r="A370" s="4" t="s">
        <v>2516</v>
      </c>
      <c r="B370" s="12"/>
      <c r="C370" s="12"/>
      <c r="D370" s="12"/>
      <c r="E370" s="12"/>
      <c r="F370" s="12"/>
    </row>
    <row r="371" spans="1:6" ht="12.75" customHeight="1">
      <c r="A371" s="3" t="s">
        <v>2517</v>
      </c>
      <c r="B371" s="11"/>
      <c r="C371" s="11"/>
      <c r="D371" s="11"/>
      <c r="E371" s="11"/>
      <c r="F371" s="11"/>
    </row>
    <row r="372" spans="1:6" ht="12.75" customHeight="1">
      <c r="A372" s="4" t="s">
        <v>2518</v>
      </c>
      <c r="B372" s="12"/>
      <c r="C372" s="12"/>
      <c r="D372" s="12"/>
      <c r="E372" s="12"/>
      <c r="F372" s="12"/>
    </row>
    <row r="373" spans="1:6" ht="12.75" customHeight="1">
      <c r="A373" s="3" t="s">
        <v>2519</v>
      </c>
      <c r="B373" s="11"/>
      <c r="C373" s="11"/>
      <c r="D373" s="11"/>
      <c r="E373" s="11"/>
      <c r="F373" s="11"/>
    </row>
    <row r="374" spans="1:6" ht="12.75" customHeight="1">
      <c r="A374" s="4" t="s">
        <v>2520</v>
      </c>
      <c r="B374" s="12"/>
      <c r="C374" s="12"/>
      <c r="D374" s="12"/>
      <c r="E374" s="12"/>
      <c r="F374" s="12"/>
    </row>
    <row r="375" spans="1:6" ht="25.5" customHeight="1">
      <c r="A375" s="3" t="s">
        <v>2521</v>
      </c>
      <c r="B375" s="11"/>
      <c r="C375" s="11"/>
      <c r="D375" s="11"/>
      <c r="E375" s="11"/>
      <c r="F375" s="11"/>
    </row>
    <row r="376" spans="1:6" ht="38.25" customHeight="1">
      <c r="A376" s="4" t="s">
        <v>2522</v>
      </c>
      <c r="B376" s="12"/>
      <c r="C376" s="12"/>
      <c r="D376" s="12"/>
      <c r="E376" s="12"/>
      <c r="F376" s="12"/>
    </row>
    <row r="377" spans="1:6" ht="38.25" customHeight="1">
      <c r="A377" s="3" t="s">
        <v>2523</v>
      </c>
      <c r="B377" s="11"/>
      <c r="C377" s="11"/>
      <c r="D377" s="11"/>
      <c r="E377" s="11"/>
      <c r="F377" s="11"/>
    </row>
    <row r="378" spans="1:6" ht="25.5" customHeight="1">
      <c r="A378" s="4" t="s">
        <v>2524</v>
      </c>
      <c r="B378" s="12"/>
      <c r="C378" s="12"/>
      <c r="D378" s="12"/>
      <c r="E378" s="12"/>
      <c r="F378" s="12"/>
    </row>
    <row r="379" spans="1:6" ht="25.5" customHeight="1">
      <c r="A379" s="3" t="s">
        <v>2525</v>
      </c>
      <c r="B379" s="11"/>
      <c r="C379" s="11"/>
      <c r="D379" s="11"/>
      <c r="E379" s="11"/>
      <c r="F379" s="11"/>
    </row>
    <row r="380" spans="1:6" ht="12.75" customHeight="1">
      <c r="A380" s="4" t="s">
        <v>2526</v>
      </c>
      <c r="B380" s="12"/>
      <c r="C380" s="12"/>
      <c r="D380" s="12"/>
      <c r="E380" s="12"/>
      <c r="F380" s="12"/>
    </row>
    <row r="383" spans="1:6" ht="12.75" customHeight="1">
      <c r="A383" s="7" t="s">
        <v>2157</v>
      </c>
    </row>
    <row r="384" spans="1:6" ht="12.75" customHeight="1">
      <c r="A384" s="7" t="s">
        <v>2527</v>
      </c>
    </row>
    <row r="385" spans="1:2" ht="12.75" customHeight="1">
      <c r="A385" s="7" t="s">
        <v>12</v>
      </c>
    </row>
    <row r="386" spans="1:2" ht="30" customHeight="1">
      <c r="A386" s="21" t="s">
        <v>2528</v>
      </c>
      <c r="B386" s="21" t="s">
        <v>14</v>
      </c>
    </row>
    <row r="387" spans="1:2" ht="30" customHeight="1">
      <c r="A387" s="22"/>
      <c r="B387" s="21" t="s">
        <v>15</v>
      </c>
    </row>
    <row r="388" spans="1:2" ht="12.75" customHeight="1">
      <c r="A388" s="3" t="s">
        <v>2528</v>
      </c>
      <c r="B388" s="5"/>
    </row>
    <row r="389" spans="1:2" ht="300" customHeight="1">
      <c r="A389" s="4" t="s">
        <v>1086</v>
      </c>
      <c r="B389" s="13"/>
    </row>
  </sheetData>
  <sheetProtection password="9C88" sheet="1" objects="1" scenarios="1"/>
  <mergeCells count="10">
    <mergeCell ref="A386:A387"/>
    <mergeCell ref="B386"/>
    <mergeCell ref="B387"/>
    <mergeCell ref="A17:A18"/>
    <mergeCell ref="B17:F17"/>
    <mergeCell ref="B18"/>
    <mergeCell ref="C18"/>
    <mergeCell ref="D18"/>
    <mergeCell ref="E18"/>
    <mergeCell ref="F18"/>
  </mergeCells>
  <pageMargins left="0.78740157499999996" right="0.78740157499999996" top="0.984251969" bottom="0.984251969" header="0.5" footer="0.5"/>
  <pageSetup orientation="portrait" horizontalDpi="300" verticalDpi="300"/>
  <headerFooter alignWithMargins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8FD9E8-8591-485E-B233-243339E1D3C8}">
  <dimension ref="A1:F222"/>
  <sheetViews>
    <sheetView showGridLines="0" topLeftCell="A12" workbookViewId="0">
      <pane xSplit="1" topLeftCell="B1" activePane="topRight" state="frozen"/>
      <selection pane="topRight" activeCell="C99" sqref="C99"/>
    </sheetView>
  </sheetViews>
  <sheetFormatPr defaultRowHeight="13.2"/>
  <cols>
    <col min="1" max="1" width="58" customWidth="1"/>
    <col min="2" max="2" width="24.109375" customWidth="1"/>
    <col min="3" max="3" width="22.44140625" customWidth="1"/>
    <col min="4" max="4" width="21" customWidth="1"/>
    <col min="5" max="6" width="40" customWidth="1"/>
  </cols>
  <sheetData>
    <row r="1" spans="1:5" ht="74.099999999999994" customHeight="1">
      <c r="A1" s="8"/>
    </row>
    <row r="2" spans="1:5">
      <c r="A2" s="16" t="s">
        <v>0</v>
      </c>
    </row>
    <row r="3" spans="1:5" ht="20.100000000000001" customHeight="1">
      <c r="A3" s="1" t="s">
        <v>1</v>
      </c>
    </row>
    <row r="4" spans="1:5" ht="20.100000000000001" customHeight="1">
      <c r="A4" s="1" t="s">
        <v>2</v>
      </c>
    </row>
    <row r="5" spans="1:5" ht="20.100000000000001" customHeight="1">
      <c r="A5" s="1" t="s">
        <v>3</v>
      </c>
      <c r="E5" s="10"/>
    </row>
    <row r="7" spans="1:5">
      <c r="A7" s="2" t="s">
        <v>4</v>
      </c>
    </row>
    <row r="8" spans="1:5">
      <c r="A8" s="2" t="s">
        <v>5</v>
      </c>
    </row>
    <row r="9" spans="1:5">
      <c r="A9" s="2" t="s">
        <v>6</v>
      </c>
    </row>
    <row r="10" spans="1:5">
      <c r="A10" s="2" t="s">
        <v>7</v>
      </c>
    </row>
    <row r="11" spans="1:5">
      <c r="A11" s="2" t="s">
        <v>8</v>
      </c>
    </row>
    <row r="12" spans="1:5">
      <c r="A12" s="2" t="s">
        <v>9</v>
      </c>
    </row>
    <row r="14" spans="1:5" ht="12.75" customHeight="1">
      <c r="A14" s="7" t="s">
        <v>2529</v>
      </c>
    </row>
    <row r="15" spans="1:5" ht="12.75" customHeight="1">
      <c r="A15" s="7" t="s">
        <v>2530</v>
      </c>
    </row>
    <row r="16" spans="1:5" ht="12.75" customHeight="1">
      <c r="A16" s="7" t="s">
        <v>2531</v>
      </c>
    </row>
    <row r="17" spans="1:6" ht="30" customHeight="1">
      <c r="A17" s="21" t="s">
        <v>2532</v>
      </c>
      <c r="B17" s="21" t="s">
        <v>2160</v>
      </c>
      <c r="C17" s="21"/>
      <c r="D17" s="21"/>
      <c r="E17" s="21"/>
      <c r="F17" s="21"/>
    </row>
    <row r="18" spans="1:6" ht="30" customHeight="1">
      <c r="A18" s="22"/>
      <c r="B18" s="21" t="s">
        <v>2161</v>
      </c>
      <c r="C18" s="21" t="s">
        <v>2162</v>
      </c>
      <c r="D18" s="21" t="s">
        <v>2163</v>
      </c>
      <c r="E18" s="21" t="s">
        <v>2164</v>
      </c>
      <c r="F18" s="21" t="s">
        <v>2165</v>
      </c>
    </row>
    <row r="19" spans="1:6" ht="12.75" customHeight="1">
      <c r="A19" s="3" t="s">
        <v>2533</v>
      </c>
      <c r="B19" s="11">
        <f>+'DCA-Anexo I-E'!B20+'DCA-Anexo I-E'!B25+'DCA-Anexo I-E'!B30+'DCA-Anexo I-E'!B35+'DCA-Anexo I-E'!B48+'DCA-Anexo I-E'!B54+'DCA-Anexo I-E'!B60+'DCA-Anexo I-E'!B65+'DCA-Anexo I-E'!B74+'DCA-Anexo I-E'!B81+'DCA-Anexo I-E'!B90+'DCA-Anexo I-E'!B97+'DCA-Anexo I-E'!B108+'DCA-Anexo I-E'!B113+'DCA-Anexo I-E'!B119+'DCA-Anexo I-E'!B125+'DCA-Anexo I-E'!B130+'DCA-Anexo I-E'!B135+'DCA-Anexo I-E'!B143+'DCA-Anexo I-E'!B149+'DCA-Anexo I-E'!B157+'DCA-Anexo I-E'!B162+'DCA-Anexo I-E'!B170+'DCA-Anexo I-E'!B178+'DCA-Anexo I-E'!B183+'DCA-Anexo I-E'!B190+'DCA-Anexo I-E'!B198+'DCA-Anexo I-E'!B204</f>
        <v>145272092.99999997</v>
      </c>
      <c r="C19" s="11">
        <f>+'DCA-Anexo I-E'!C20+'DCA-Anexo I-E'!C25+'DCA-Anexo I-E'!C30+'DCA-Anexo I-E'!C35+'DCA-Anexo I-E'!C48+'DCA-Anexo I-E'!C54+'DCA-Anexo I-E'!C60+'DCA-Anexo I-E'!C65+'DCA-Anexo I-E'!C74+'DCA-Anexo I-E'!C81+'DCA-Anexo I-E'!C90+'DCA-Anexo I-E'!C97+'DCA-Anexo I-E'!C108+'DCA-Anexo I-E'!C113+'DCA-Anexo I-E'!C119+'DCA-Anexo I-E'!C125+'DCA-Anexo I-E'!C130+'DCA-Anexo I-E'!C135+'DCA-Anexo I-E'!C143+'DCA-Anexo I-E'!C149+'DCA-Anexo I-E'!C157+'DCA-Anexo I-E'!C162+'DCA-Anexo I-E'!C170+'DCA-Anexo I-E'!C178+'DCA-Anexo I-E'!C183+'DCA-Anexo I-E'!C190+'DCA-Anexo I-E'!C198+'DCA-Anexo I-E'!C204</f>
        <v>145272092.99999997</v>
      </c>
      <c r="D19" s="11">
        <f>+'DCA-Anexo I-E'!D20+'DCA-Anexo I-E'!D25+'DCA-Anexo I-E'!D30+'DCA-Anexo I-E'!D35+'DCA-Anexo I-E'!D48+'DCA-Anexo I-E'!D54+'DCA-Anexo I-E'!D60+'DCA-Anexo I-E'!D65+'DCA-Anexo I-E'!D74+'DCA-Anexo I-E'!D81+'DCA-Anexo I-E'!D90+'DCA-Anexo I-E'!D97+'DCA-Anexo I-E'!D108+'DCA-Anexo I-E'!D113+'DCA-Anexo I-E'!D119+'DCA-Anexo I-E'!D125+'DCA-Anexo I-E'!D130+'DCA-Anexo I-E'!D135+'DCA-Anexo I-E'!D143+'DCA-Anexo I-E'!D149+'DCA-Anexo I-E'!D157+'DCA-Anexo I-E'!D162+'DCA-Anexo I-E'!D170+'DCA-Anexo I-E'!D178+'DCA-Anexo I-E'!D183+'DCA-Anexo I-E'!D190+'DCA-Anexo I-E'!D198+'DCA-Anexo I-E'!D204</f>
        <v>136323755.68000001</v>
      </c>
      <c r="E19" s="11">
        <f>+'DCA-Anexo I-E'!E20+'DCA-Anexo I-E'!E25+'DCA-Anexo I-E'!E30+'DCA-Anexo I-E'!E35+'DCA-Anexo I-E'!E48+'DCA-Anexo I-E'!E54+'DCA-Anexo I-E'!E60+'DCA-Anexo I-E'!E65+'DCA-Anexo I-E'!E74+'DCA-Anexo I-E'!E81+'DCA-Anexo I-E'!E90+'DCA-Anexo I-E'!E97+'DCA-Anexo I-E'!E108+'DCA-Anexo I-E'!E113+'DCA-Anexo I-E'!E119+'DCA-Anexo I-E'!E125+'DCA-Anexo I-E'!E130+'DCA-Anexo I-E'!E135+'DCA-Anexo I-E'!E143+'DCA-Anexo I-E'!E149+'DCA-Anexo I-E'!E157+'DCA-Anexo I-E'!E162+'DCA-Anexo I-E'!E170+'DCA-Anexo I-E'!E178+'DCA-Anexo I-E'!E183+'DCA-Anexo I-E'!E190+'DCA-Anexo I-E'!E198+'DCA-Anexo I-E'!E204</f>
        <v>0</v>
      </c>
      <c r="F19" s="11">
        <f>+'DCA-Anexo I-E'!F20+'DCA-Anexo I-E'!F25+'DCA-Anexo I-E'!F30+'DCA-Anexo I-E'!F35+'DCA-Anexo I-E'!F48+'DCA-Anexo I-E'!F54+'DCA-Anexo I-E'!F60+'DCA-Anexo I-E'!F65+'DCA-Anexo I-E'!F74+'DCA-Anexo I-E'!F81+'DCA-Anexo I-E'!F90+'DCA-Anexo I-E'!F97+'DCA-Anexo I-E'!F108+'DCA-Anexo I-E'!F113+'DCA-Anexo I-E'!F119+'DCA-Anexo I-E'!F125+'DCA-Anexo I-E'!F130+'DCA-Anexo I-E'!F135+'DCA-Anexo I-E'!F143+'DCA-Anexo I-E'!F149+'DCA-Anexo I-E'!F157+'DCA-Anexo I-E'!F162+'DCA-Anexo I-E'!F170+'DCA-Anexo I-E'!F178+'DCA-Anexo I-E'!F183+'DCA-Anexo I-E'!F190+'DCA-Anexo I-E'!F198+'DCA-Anexo I-E'!F204</f>
        <v>8948337.3200000022</v>
      </c>
    </row>
    <row r="20" spans="1:6" ht="12.75" customHeight="1">
      <c r="A20" s="4" t="s">
        <v>2534</v>
      </c>
      <c r="B20" s="12">
        <f>+'DCA-Anexo I-E'!B21+'DCA-Anexo I-E'!B22+'DCA-Anexo I-E'!B24+'DCA-Anexo I-E'!B23</f>
        <v>4989007.8600000003</v>
      </c>
      <c r="C20" s="12">
        <f>+'DCA-Anexo I-E'!C21+'DCA-Anexo I-E'!C22+'DCA-Anexo I-E'!C24+'DCA-Anexo I-E'!C23</f>
        <v>4989007.8600000003</v>
      </c>
      <c r="D20" s="12">
        <f>+'DCA-Anexo I-E'!D21+'DCA-Anexo I-E'!D22+'DCA-Anexo I-E'!D24+'DCA-Anexo I-E'!D23</f>
        <v>4989007.8600000003</v>
      </c>
      <c r="E20" s="12">
        <f>+'DCA-Anexo I-E'!E21+'DCA-Anexo I-E'!E22+'DCA-Anexo I-E'!E24+'DCA-Anexo I-E'!E23</f>
        <v>0</v>
      </c>
      <c r="F20" s="12">
        <f>+'DCA-Anexo I-E'!F21+'DCA-Anexo I-E'!F22+'DCA-Anexo I-E'!F24+'DCA-Anexo I-E'!F23</f>
        <v>0</v>
      </c>
    </row>
    <row r="21" spans="1:6" ht="12.75" customHeight="1">
      <c r="A21" s="3" t="s">
        <v>2535</v>
      </c>
      <c r="B21" s="11">
        <v>4989007.8600000003</v>
      </c>
      <c r="C21" s="11">
        <v>4989007.8600000003</v>
      </c>
      <c r="D21" s="11">
        <v>4989007.8600000003</v>
      </c>
      <c r="E21" s="11"/>
      <c r="F21" s="11"/>
    </row>
    <row r="22" spans="1:6" ht="12.75" customHeight="1">
      <c r="A22" s="4" t="s">
        <v>2536</v>
      </c>
      <c r="B22" s="12"/>
      <c r="C22" s="12"/>
      <c r="D22" s="12"/>
      <c r="E22" s="12"/>
      <c r="F22" s="12"/>
    </row>
    <row r="23" spans="1:6" ht="12.75" customHeight="1">
      <c r="A23" s="3" t="s">
        <v>2537</v>
      </c>
      <c r="B23" s="11"/>
      <c r="C23" s="11"/>
      <c r="D23" s="11"/>
      <c r="E23" s="11"/>
      <c r="F23" s="11"/>
    </row>
    <row r="24" spans="1:6" ht="12.75" customHeight="1">
      <c r="A24" s="4" t="s">
        <v>2538</v>
      </c>
      <c r="B24" s="12"/>
      <c r="C24" s="12"/>
      <c r="D24" s="12"/>
      <c r="E24" s="12"/>
      <c r="F24" s="12"/>
    </row>
    <row r="25" spans="1:6" ht="12.75" customHeight="1">
      <c r="A25" s="3" t="s">
        <v>2539</v>
      </c>
      <c r="B25" s="11">
        <f>+'DCA-Anexo I-E'!B26+'DCA-Anexo I-E'!B27+'DCA-Anexo I-E'!B29+'DCA-Anexo I-E'!B28</f>
        <v>460995.4</v>
      </c>
      <c r="C25" s="11">
        <f>+'DCA-Anexo I-E'!C26+'DCA-Anexo I-E'!C27+'DCA-Anexo I-E'!C29+'DCA-Anexo I-E'!C28</f>
        <v>460995.4</v>
      </c>
      <c r="D25" s="11">
        <f>+'DCA-Anexo I-E'!D26+'DCA-Anexo I-E'!D27+'DCA-Anexo I-E'!D29+'DCA-Anexo I-E'!D28</f>
        <v>358595.4</v>
      </c>
      <c r="E25" s="11">
        <f>+'DCA-Anexo I-E'!E26+'DCA-Anexo I-E'!E27+'DCA-Anexo I-E'!E29+'DCA-Anexo I-E'!E28</f>
        <v>0</v>
      </c>
      <c r="F25" s="11">
        <f>+'DCA-Anexo I-E'!F26+'DCA-Anexo I-E'!F27+'DCA-Anexo I-E'!F29+'DCA-Anexo I-E'!F28</f>
        <v>102400</v>
      </c>
    </row>
    <row r="26" spans="1:6" ht="12.75" customHeight="1">
      <c r="A26" s="4" t="s">
        <v>2540</v>
      </c>
      <c r="B26" s="12">
        <v>460995.4</v>
      </c>
      <c r="C26" s="12">
        <v>460995.4</v>
      </c>
      <c r="D26" s="12">
        <v>358595.4</v>
      </c>
      <c r="E26" s="12"/>
      <c r="F26" s="12">
        <v>102400</v>
      </c>
    </row>
    <row r="27" spans="1:6" ht="12.75" customHeight="1">
      <c r="A27" s="3" t="s">
        <v>2541</v>
      </c>
      <c r="B27" s="11"/>
      <c r="C27" s="11"/>
      <c r="D27" s="11"/>
      <c r="E27" s="11"/>
      <c r="F27" s="11"/>
    </row>
    <row r="28" spans="1:6" ht="12.75" customHeight="1">
      <c r="A28" s="4" t="s">
        <v>2542</v>
      </c>
      <c r="B28" s="12"/>
      <c r="C28" s="12"/>
      <c r="D28" s="12"/>
      <c r="E28" s="12"/>
      <c r="F28" s="12"/>
    </row>
    <row r="29" spans="1:6" ht="12.75" customHeight="1">
      <c r="A29" s="3" t="s">
        <v>2543</v>
      </c>
      <c r="B29" s="11"/>
      <c r="C29" s="11"/>
      <c r="D29" s="11"/>
      <c r="E29" s="11"/>
      <c r="F29" s="11"/>
    </row>
    <row r="30" spans="1:6" ht="12.75" customHeight="1">
      <c r="A30" s="4" t="s">
        <v>2544</v>
      </c>
      <c r="B30" s="12">
        <f>+'DCA-Anexo I-E'!B31+'DCA-Anexo I-E'!B32+'DCA-Anexo I-E'!B34+'DCA-Anexo I-E'!B33</f>
        <v>0</v>
      </c>
      <c r="C30" s="12">
        <f>+'DCA-Anexo I-E'!C31+'DCA-Anexo I-E'!C32+'DCA-Anexo I-E'!C34+'DCA-Anexo I-E'!C33</f>
        <v>0</v>
      </c>
      <c r="D30" s="12">
        <f>+'DCA-Anexo I-E'!D31+'DCA-Anexo I-E'!D32+'DCA-Anexo I-E'!D34+'DCA-Anexo I-E'!D33</f>
        <v>0</v>
      </c>
      <c r="E30" s="12">
        <f>+'DCA-Anexo I-E'!E31+'DCA-Anexo I-E'!E32+'DCA-Anexo I-E'!E34+'DCA-Anexo I-E'!E33</f>
        <v>0</v>
      </c>
      <c r="F30" s="12">
        <f>+'DCA-Anexo I-E'!F31+'DCA-Anexo I-E'!F32+'DCA-Anexo I-E'!F34+'DCA-Anexo I-E'!F33</f>
        <v>0</v>
      </c>
    </row>
    <row r="31" spans="1:6" ht="12.75" customHeight="1">
      <c r="A31" s="3" t="s">
        <v>2545</v>
      </c>
      <c r="B31" s="11"/>
      <c r="C31" s="11"/>
      <c r="D31" s="11"/>
      <c r="E31" s="11"/>
      <c r="F31" s="11"/>
    </row>
    <row r="32" spans="1:6" ht="12.75" customHeight="1">
      <c r="A32" s="4" t="s">
        <v>2546</v>
      </c>
      <c r="B32" s="12"/>
      <c r="C32" s="12"/>
      <c r="D32" s="12"/>
      <c r="E32" s="12"/>
      <c r="F32" s="12"/>
    </row>
    <row r="33" spans="1:6" ht="12.75" customHeight="1">
      <c r="A33" s="3" t="s">
        <v>2547</v>
      </c>
      <c r="B33" s="11"/>
      <c r="C33" s="11"/>
      <c r="D33" s="11"/>
      <c r="E33" s="11"/>
      <c r="F33" s="11"/>
    </row>
    <row r="34" spans="1:6" ht="12.75" customHeight="1">
      <c r="A34" s="4" t="s">
        <v>2548</v>
      </c>
      <c r="B34" s="12"/>
      <c r="C34" s="12"/>
      <c r="D34" s="12"/>
      <c r="E34" s="12"/>
      <c r="F34" s="12"/>
    </row>
    <row r="35" spans="1:6" ht="12.75" customHeight="1">
      <c r="A35" s="3" t="s">
        <v>2549</v>
      </c>
      <c r="B35" s="11">
        <f>+'DCA-Anexo I-E'!B36+'DCA-Anexo I-E'!B37+'DCA-Anexo I-E'!B38+'DCA-Anexo I-E'!B39+'DCA-Anexo I-E'!B40+'DCA-Anexo I-E'!B41+'DCA-Anexo I-E'!B42+'DCA-Anexo I-E'!B43+'DCA-Anexo I-E'!B44+'DCA-Anexo I-E'!B45+'DCA-Anexo I-E'!B46+'DCA-Anexo I-E'!B47</f>
        <v>12767310.77</v>
      </c>
      <c r="C35" s="11">
        <f>+'DCA-Anexo I-E'!C36+'DCA-Anexo I-E'!C37+'DCA-Anexo I-E'!C38+'DCA-Anexo I-E'!C39+'DCA-Anexo I-E'!C40+'DCA-Anexo I-E'!C41+'DCA-Anexo I-E'!C42+'DCA-Anexo I-E'!C43+'DCA-Anexo I-E'!C44+'DCA-Anexo I-E'!C45+'DCA-Anexo I-E'!C46+'DCA-Anexo I-E'!C47</f>
        <v>12767310.77</v>
      </c>
      <c r="D35" s="11">
        <f>+'DCA-Anexo I-E'!D36+'DCA-Anexo I-E'!D37+'DCA-Anexo I-E'!D38+'DCA-Anexo I-E'!D39+'DCA-Anexo I-E'!D40+'DCA-Anexo I-E'!D41+'DCA-Anexo I-E'!D42+'DCA-Anexo I-E'!D43+'DCA-Anexo I-E'!D44+'DCA-Anexo I-E'!D45+'DCA-Anexo I-E'!D46+'DCA-Anexo I-E'!D47</f>
        <v>12360224.24</v>
      </c>
      <c r="E35" s="11">
        <f>+'DCA-Anexo I-E'!E36+'DCA-Anexo I-E'!E37+'DCA-Anexo I-E'!E38+'DCA-Anexo I-E'!E39+'DCA-Anexo I-E'!E40+'DCA-Anexo I-E'!E41+'DCA-Anexo I-E'!E42+'DCA-Anexo I-E'!E43+'DCA-Anexo I-E'!E44+'DCA-Anexo I-E'!E45+'DCA-Anexo I-E'!E46+'DCA-Anexo I-E'!E47</f>
        <v>0</v>
      </c>
      <c r="F35" s="11">
        <f>+'DCA-Anexo I-E'!F36+'DCA-Anexo I-E'!F37+'DCA-Anexo I-E'!F38+'DCA-Anexo I-E'!F39+'DCA-Anexo I-E'!F40+'DCA-Anexo I-E'!F41+'DCA-Anexo I-E'!F42+'DCA-Anexo I-E'!F43+'DCA-Anexo I-E'!F44+'DCA-Anexo I-E'!F45+'DCA-Anexo I-E'!F46+'DCA-Anexo I-E'!F47</f>
        <v>407086.53</v>
      </c>
    </row>
    <row r="36" spans="1:6" ht="12.75" customHeight="1">
      <c r="A36" s="4" t="s">
        <v>2550</v>
      </c>
      <c r="B36" s="12"/>
      <c r="C36" s="12"/>
      <c r="D36" s="12"/>
      <c r="E36" s="12"/>
      <c r="F36" s="12"/>
    </row>
    <row r="37" spans="1:6" ht="12.75" customHeight="1">
      <c r="A37" s="3" t="s">
        <v>2551</v>
      </c>
      <c r="B37" s="11">
        <v>11177423.039999999</v>
      </c>
      <c r="C37" s="11">
        <v>11177423.039999999</v>
      </c>
      <c r="D37" s="11">
        <v>10842415.51</v>
      </c>
      <c r="E37" s="11"/>
      <c r="F37" s="11">
        <v>335007.53000000003</v>
      </c>
    </row>
    <row r="38" spans="1:6" ht="12.75" customHeight="1">
      <c r="A38" s="4" t="s">
        <v>2552</v>
      </c>
      <c r="B38" s="12">
        <v>1589887.73</v>
      </c>
      <c r="C38" s="12">
        <v>1589887.73</v>
      </c>
      <c r="D38" s="12">
        <v>1517808.73</v>
      </c>
      <c r="E38" s="12"/>
      <c r="F38" s="12">
        <v>72079</v>
      </c>
    </row>
    <row r="39" spans="1:6" ht="12.75" customHeight="1">
      <c r="A39" s="3" t="s">
        <v>2553</v>
      </c>
      <c r="B39" s="11"/>
      <c r="C39" s="11"/>
      <c r="D39" s="11"/>
      <c r="E39" s="11"/>
      <c r="F39" s="11"/>
    </row>
    <row r="40" spans="1:6" ht="12.75" customHeight="1">
      <c r="A40" s="4" t="s">
        <v>2554</v>
      </c>
      <c r="B40" s="12"/>
      <c r="C40" s="12"/>
      <c r="D40" s="12"/>
      <c r="E40" s="12"/>
      <c r="F40" s="12"/>
    </row>
    <row r="41" spans="1:6" ht="12.75" customHeight="1">
      <c r="A41" s="3" t="s">
        <v>2555</v>
      </c>
      <c r="B41" s="11"/>
      <c r="C41" s="11"/>
      <c r="D41" s="11"/>
      <c r="E41" s="11"/>
      <c r="F41" s="11"/>
    </row>
    <row r="42" spans="1:6" ht="12.75" customHeight="1">
      <c r="A42" s="4" t="s">
        <v>2556</v>
      </c>
      <c r="B42" s="12"/>
      <c r="C42" s="12"/>
      <c r="D42" s="12"/>
      <c r="E42" s="12"/>
      <c r="F42" s="12"/>
    </row>
    <row r="43" spans="1:6" ht="12.75" customHeight="1">
      <c r="A43" s="3" t="s">
        <v>2557</v>
      </c>
      <c r="B43" s="11"/>
      <c r="C43" s="11"/>
      <c r="D43" s="11"/>
      <c r="E43" s="11"/>
      <c r="F43" s="11"/>
    </row>
    <row r="44" spans="1:6" ht="12.75" customHeight="1">
      <c r="A44" s="4" t="s">
        <v>2558</v>
      </c>
      <c r="B44" s="12"/>
      <c r="C44" s="12"/>
      <c r="D44" s="12"/>
      <c r="E44" s="12"/>
      <c r="F44" s="12"/>
    </row>
    <row r="45" spans="1:6" ht="12.75" customHeight="1">
      <c r="A45" s="3" t="s">
        <v>2559</v>
      </c>
      <c r="B45" s="11"/>
      <c r="C45" s="11"/>
      <c r="D45" s="11"/>
      <c r="E45" s="11"/>
      <c r="F45" s="11"/>
    </row>
    <row r="46" spans="1:6" ht="12.75" customHeight="1">
      <c r="A46" s="4" t="s">
        <v>2560</v>
      </c>
      <c r="B46" s="12"/>
      <c r="C46" s="12"/>
      <c r="D46" s="12"/>
      <c r="E46" s="12"/>
      <c r="F46" s="12"/>
    </row>
    <row r="47" spans="1:6" ht="12.75" customHeight="1">
      <c r="A47" s="3" t="s">
        <v>2561</v>
      </c>
      <c r="B47" s="11"/>
      <c r="C47" s="11"/>
      <c r="D47" s="11"/>
      <c r="E47" s="11"/>
      <c r="F47" s="11"/>
    </row>
    <row r="48" spans="1:6" ht="12.75" customHeight="1">
      <c r="A48" s="4" t="s">
        <v>2562</v>
      </c>
      <c r="B48" s="12">
        <f>+'DCA-Anexo I-E'!B49+'DCA-Anexo I-E'!B50+'DCA-Anexo I-E'!B51+'DCA-Anexo I-E'!B53+'DCA-Anexo I-E'!B52</f>
        <v>0</v>
      </c>
      <c r="C48" s="12">
        <f>+'DCA-Anexo I-E'!C49+'DCA-Anexo I-E'!C50+'DCA-Anexo I-E'!C51+'DCA-Anexo I-E'!C53+'DCA-Anexo I-E'!C52</f>
        <v>0</v>
      </c>
      <c r="D48" s="12">
        <f>+'DCA-Anexo I-E'!D49+'DCA-Anexo I-E'!D50+'DCA-Anexo I-E'!D51+'DCA-Anexo I-E'!D53+'DCA-Anexo I-E'!D52</f>
        <v>0</v>
      </c>
      <c r="E48" s="12">
        <f>+'DCA-Anexo I-E'!E49+'DCA-Anexo I-E'!E50+'DCA-Anexo I-E'!E51+'DCA-Anexo I-E'!E53+'DCA-Anexo I-E'!E52</f>
        <v>0</v>
      </c>
      <c r="F48" s="12">
        <f>+'DCA-Anexo I-E'!F49+'DCA-Anexo I-E'!F50+'DCA-Anexo I-E'!F51+'DCA-Anexo I-E'!F53+'DCA-Anexo I-E'!F52</f>
        <v>0</v>
      </c>
    </row>
    <row r="49" spans="1:6" ht="12.75" customHeight="1">
      <c r="A49" s="3" t="s">
        <v>2563</v>
      </c>
      <c r="B49" s="11"/>
      <c r="C49" s="11"/>
      <c r="D49" s="11"/>
      <c r="E49" s="11"/>
      <c r="F49" s="11"/>
    </row>
    <row r="50" spans="1:6" ht="12.75" customHeight="1">
      <c r="A50" s="4" t="s">
        <v>2564</v>
      </c>
      <c r="B50" s="12"/>
      <c r="C50" s="12"/>
      <c r="D50" s="12"/>
      <c r="E50" s="12"/>
      <c r="F50" s="12"/>
    </row>
    <row r="51" spans="1:6" ht="12.75" customHeight="1">
      <c r="A51" s="3" t="s">
        <v>2565</v>
      </c>
      <c r="B51" s="11"/>
      <c r="C51" s="11"/>
      <c r="D51" s="11"/>
      <c r="E51" s="11"/>
      <c r="F51" s="11"/>
    </row>
    <row r="52" spans="1:6" ht="12.75" customHeight="1">
      <c r="A52" s="4" t="s">
        <v>2566</v>
      </c>
      <c r="B52" s="12"/>
      <c r="C52" s="12"/>
      <c r="D52" s="12"/>
      <c r="E52" s="12"/>
      <c r="F52" s="12"/>
    </row>
    <row r="53" spans="1:6" ht="12.75" customHeight="1">
      <c r="A53" s="3" t="s">
        <v>2567</v>
      </c>
      <c r="B53" s="11"/>
      <c r="C53" s="11"/>
      <c r="D53" s="11"/>
      <c r="E53" s="11"/>
      <c r="F53" s="11"/>
    </row>
    <row r="54" spans="1:6" ht="12.75" customHeight="1">
      <c r="A54" s="4" t="s">
        <v>2568</v>
      </c>
      <c r="B54" s="12">
        <f>+'DCA-Anexo I-E'!B55+'DCA-Anexo I-E'!B56+'DCA-Anexo I-E'!B57+'DCA-Anexo I-E'!B59+'DCA-Anexo I-E'!B58</f>
        <v>1957175.62</v>
      </c>
      <c r="C54" s="12">
        <f>+'DCA-Anexo I-E'!C55+'DCA-Anexo I-E'!C56+'DCA-Anexo I-E'!C57+'DCA-Anexo I-E'!C59+'DCA-Anexo I-E'!C58</f>
        <v>1957175.62</v>
      </c>
      <c r="D54" s="12">
        <f>+'DCA-Anexo I-E'!D55+'DCA-Anexo I-E'!D56+'DCA-Anexo I-E'!D57+'DCA-Anexo I-E'!D59+'DCA-Anexo I-E'!D58</f>
        <v>1939453.77</v>
      </c>
      <c r="E54" s="12">
        <f>+'DCA-Anexo I-E'!E55+'DCA-Anexo I-E'!E56+'DCA-Anexo I-E'!E57+'DCA-Anexo I-E'!E59+'DCA-Anexo I-E'!E58</f>
        <v>0</v>
      </c>
      <c r="F54" s="12">
        <f>+'DCA-Anexo I-E'!F55+'DCA-Anexo I-E'!F56+'DCA-Anexo I-E'!F57+'DCA-Anexo I-E'!F59+'DCA-Anexo I-E'!F58</f>
        <v>17721.849999999999</v>
      </c>
    </row>
    <row r="55" spans="1:6" ht="12.75" customHeight="1">
      <c r="A55" s="3" t="s">
        <v>2569</v>
      </c>
      <c r="B55" s="11">
        <v>1957175.62</v>
      </c>
      <c r="C55" s="11">
        <v>1957175.62</v>
      </c>
      <c r="D55" s="11">
        <v>1939453.77</v>
      </c>
      <c r="E55" s="11"/>
      <c r="F55" s="11">
        <v>17721.849999999999</v>
      </c>
    </row>
    <row r="56" spans="1:6" ht="12.75" customHeight="1">
      <c r="A56" s="4" t="s">
        <v>2570</v>
      </c>
      <c r="B56" s="12"/>
      <c r="C56" s="12"/>
      <c r="D56" s="12"/>
      <c r="E56" s="12"/>
      <c r="F56" s="12"/>
    </row>
    <row r="57" spans="1:6" ht="12.75" customHeight="1">
      <c r="A57" s="3" t="s">
        <v>2571</v>
      </c>
      <c r="B57" s="11"/>
      <c r="C57" s="11"/>
      <c r="D57" s="11"/>
      <c r="E57" s="11"/>
      <c r="F57" s="11"/>
    </row>
    <row r="58" spans="1:6" ht="12.75" customHeight="1">
      <c r="A58" s="4" t="s">
        <v>2572</v>
      </c>
      <c r="B58" s="12"/>
      <c r="C58" s="12"/>
      <c r="D58" s="12"/>
      <c r="E58" s="12"/>
      <c r="F58" s="12"/>
    </row>
    <row r="59" spans="1:6" ht="12.75" customHeight="1">
      <c r="A59" s="3" t="s">
        <v>2573</v>
      </c>
      <c r="B59" s="11"/>
      <c r="C59" s="11"/>
      <c r="D59" s="11"/>
      <c r="E59" s="11"/>
      <c r="F59" s="11"/>
    </row>
    <row r="60" spans="1:6" ht="12.75" customHeight="1">
      <c r="A60" s="4" t="s">
        <v>2574</v>
      </c>
      <c r="B60" s="12">
        <f>+'DCA-Anexo I-E'!B61+'DCA-Anexo I-E'!B62+'DCA-Anexo I-E'!B64+'DCA-Anexo I-E'!B63</f>
        <v>0</v>
      </c>
      <c r="C60" s="12">
        <f>+'DCA-Anexo I-E'!C61+'DCA-Anexo I-E'!C62+'DCA-Anexo I-E'!C64+'DCA-Anexo I-E'!C63</f>
        <v>0</v>
      </c>
      <c r="D60" s="12">
        <f>+'DCA-Anexo I-E'!D61+'DCA-Anexo I-E'!D62+'DCA-Anexo I-E'!D64+'DCA-Anexo I-E'!D63</f>
        <v>0</v>
      </c>
      <c r="E60" s="12">
        <f>+'DCA-Anexo I-E'!E61+'DCA-Anexo I-E'!E62+'DCA-Anexo I-E'!E64+'DCA-Anexo I-E'!E63</f>
        <v>0</v>
      </c>
      <c r="F60" s="12">
        <f>+'DCA-Anexo I-E'!F61+'DCA-Anexo I-E'!F62+'DCA-Anexo I-E'!F64+'DCA-Anexo I-E'!F63</f>
        <v>0</v>
      </c>
    </row>
    <row r="61" spans="1:6" ht="12.75" customHeight="1">
      <c r="A61" s="3" t="s">
        <v>2575</v>
      </c>
      <c r="B61" s="11"/>
      <c r="C61" s="11"/>
      <c r="D61" s="11"/>
      <c r="E61" s="11"/>
      <c r="F61" s="11"/>
    </row>
    <row r="62" spans="1:6" ht="12.75" customHeight="1">
      <c r="A62" s="4" t="s">
        <v>2576</v>
      </c>
      <c r="B62" s="12"/>
      <c r="C62" s="12"/>
      <c r="D62" s="12"/>
      <c r="E62" s="12"/>
      <c r="F62" s="12"/>
    </row>
    <row r="63" spans="1:6" ht="12.75" customHeight="1">
      <c r="A63" s="3" t="s">
        <v>2577</v>
      </c>
      <c r="B63" s="11"/>
      <c r="C63" s="11"/>
      <c r="D63" s="11"/>
      <c r="E63" s="11"/>
      <c r="F63" s="11"/>
    </row>
    <row r="64" spans="1:6" ht="12.75" customHeight="1">
      <c r="A64" s="4" t="s">
        <v>2578</v>
      </c>
      <c r="B64" s="12"/>
      <c r="C64" s="12"/>
      <c r="D64" s="12"/>
      <c r="E64" s="12"/>
      <c r="F64" s="12"/>
    </row>
    <row r="65" spans="1:6" ht="12.75" customHeight="1">
      <c r="A65" s="3" t="s">
        <v>2579</v>
      </c>
      <c r="B65" s="11">
        <f>+'DCA-Anexo I-E'!B66+'DCA-Anexo I-E'!B67+'DCA-Anexo I-E'!B68+'DCA-Anexo I-E'!B69+'DCA-Anexo I-E'!B73+'DCA-Anexo I-E'!B72+'DCA-Anexo I-E'!B70+'DCA-Anexo I-E'!B71</f>
        <v>3512724.3600000003</v>
      </c>
      <c r="C65" s="11">
        <f>+'DCA-Anexo I-E'!C66+'DCA-Anexo I-E'!C67+'DCA-Anexo I-E'!C68+'DCA-Anexo I-E'!C69+'DCA-Anexo I-E'!C73+'DCA-Anexo I-E'!C72+'DCA-Anexo I-E'!C70+'DCA-Anexo I-E'!C71</f>
        <v>3512724.3600000003</v>
      </c>
      <c r="D65" s="11">
        <f>+'DCA-Anexo I-E'!D66+'DCA-Anexo I-E'!D67+'DCA-Anexo I-E'!D68+'DCA-Anexo I-E'!D69+'DCA-Anexo I-E'!D73+'DCA-Anexo I-E'!D72+'DCA-Anexo I-E'!D70+'DCA-Anexo I-E'!D71</f>
        <v>3223693.4899999998</v>
      </c>
      <c r="E65" s="11">
        <f>+'DCA-Anexo I-E'!E66+'DCA-Anexo I-E'!E67+'DCA-Anexo I-E'!E68+'DCA-Anexo I-E'!E69+'DCA-Anexo I-E'!E73+'DCA-Anexo I-E'!E72+'DCA-Anexo I-E'!E70+'DCA-Anexo I-E'!E71</f>
        <v>0</v>
      </c>
      <c r="F65" s="11">
        <f>+'DCA-Anexo I-E'!F66+'DCA-Anexo I-E'!F67+'DCA-Anexo I-E'!F68+'DCA-Anexo I-E'!F69+'DCA-Anexo I-E'!F73+'DCA-Anexo I-E'!F72+'DCA-Anexo I-E'!F70+'DCA-Anexo I-E'!F71</f>
        <v>289030.87</v>
      </c>
    </row>
    <row r="66" spans="1:6" ht="12.75" customHeight="1">
      <c r="A66" s="4" t="s">
        <v>2580</v>
      </c>
      <c r="B66" s="12">
        <v>132479.60999999999</v>
      </c>
      <c r="C66" s="12">
        <v>132479.60999999999</v>
      </c>
      <c r="D66" s="12">
        <v>116081.89</v>
      </c>
      <c r="E66" s="12"/>
      <c r="F66" s="12">
        <v>16397.72</v>
      </c>
    </row>
    <row r="67" spans="1:6" ht="12.75" customHeight="1">
      <c r="A67" s="3" t="s">
        <v>2581</v>
      </c>
      <c r="B67" s="11"/>
      <c r="C67" s="11"/>
      <c r="D67" s="11"/>
      <c r="E67" s="11"/>
      <c r="F67" s="11"/>
    </row>
    <row r="68" spans="1:6" ht="12.75" customHeight="1">
      <c r="A68" s="4" t="s">
        <v>2582</v>
      </c>
      <c r="B68" s="12"/>
      <c r="C68" s="12"/>
      <c r="D68" s="12"/>
      <c r="E68" s="12"/>
      <c r="F68" s="12"/>
    </row>
    <row r="69" spans="1:6" ht="12.75" customHeight="1">
      <c r="A69" s="3" t="s">
        <v>2583</v>
      </c>
      <c r="B69" s="11">
        <v>83820.59</v>
      </c>
      <c r="C69" s="11">
        <v>83820.59</v>
      </c>
      <c r="D69" s="11">
        <v>82566.64</v>
      </c>
      <c r="E69" s="11"/>
      <c r="F69" s="11">
        <v>1253.95</v>
      </c>
    </row>
    <row r="70" spans="1:6" ht="12.75" customHeight="1">
      <c r="A70" s="4" t="s">
        <v>2584</v>
      </c>
      <c r="B70" s="12">
        <v>413318.69</v>
      </c>
      <c r="C70" s="12">
        <v>413318.69</v>
      </c>
      <c r="D70" s="12">
        <v>332546.90000000002</v>
      </c>
      <c r="E70" s="12"/>
      <c r="F70" s="12">
        <v>80771.789999999994</v>
      </c>
    </row>
    <row r="71" spans="1:6" ht="12.75" customHeight="1">
      <c r="A71" s="3" t="s">
        <v>2585</v>
      </c>
      <c r="B71" s="11"/>
      <c r="C71" s="11"/>
      <c r="D71" s="11"/>
      <c r="E71" s="11"/>
      <c r="F71" s="11"/>
    </row>
    <row r="72" spans="1:6" ht="12.75" customHeight="1">
      <c r="A72" s="4" t="s">
        <v>2586</v>
      </c>
      <c r="B72" s="12">
        <v>2883105.47</v>
      </c>
      <c r="C72" s="12">
        <v>2883105.47</v>
      </c>
      <c r="D72" s="12">
        <v>2692498.06</v>
      </c>
      <c r="E72" s="12"/>
      <c r="F72" s="12">
        <v>190607.41</v>
      </c>
    </row>
    <row r="73" spans="1:6" ht="12.75" customHeight="1">
      <c r="A73" s="3" t="s">
        <v>2587</v>
      </c>
      <c r="B73" s="11"/>
      <c r="C73" s="11"/>
      <c r="D73" s="11"/>
      <c r="E73" s="11"/>
      <c r="F73" s="11"/>
    </row>
    <row r="74" spans="1:6" ht="12.75" customHeight="1">
      <c r="A74" s="4" t="s">
        <v>2588</v>
      </c>
      <c r="B74" s="12">
        <f>+'DCA-Anexo I-E'!B75+'DCA-Anexo I-E'!B76+'DCA-Anexo I-E'!B77+'DCA-Anexo I-E'!B78+'DCA-Anexo I-E'!B80+'DCA-Anexo I-E'!B79</f>
        <v>1064084.53</v>
      </c>
      <c r="C74" s="12">
        <f>+'DCA-Anexo I-E'!C75+'DCA-Anexo I-E'!C76+'DCA-Anexo I-E'!C77+'DCA-Anexo I-E'!C78+'DCA-Anexo I-E'!C80+'DCA-Anexo I-E'!C79</f>
        <v>1064084.53</v>
      </c>
      <c r="D74" s="12">
        <f>+'DCA-Anexo I-E'!D75+'DCA-Anexo I-E'!D76+'DCA-Anexo I-E'!D77+'DCA-Anexo I-E'!D78+'DCA-Anexo I-E'!D80+'DCA-Anexo I-E'!D79</f>
        <v>991518.46</v>
      </c>
      <c r="E74" s="12">
        <f>+'DCA-Anexo I-E'!E75+'DCA-Anexo I-E'!E76+'DCA-Anexo I-E'!E77+'DCA-Anexo I-E'!E78+'DCA-Anexo I-E'!E80+'DCA-Anexo I-E'!E79</f>
        <v>0</v>
      </c>
      <c r="F74" s="12">
        <f>+'DCA-Anexo I-E'!F75+'DCA-Anexo I-E'!F76+'DCA-Anexo I-E'!F77+'DCA-Anexo I-E'!F78+'DCA-Anexo I-E'!F80+'DCA-Anexo I-E'!F79</f>
        <v>72566.070000000007</v>
      </c>
    </row>
    <row r="75" spans="1:6" ht="12.75" customHeight="1">
      <c r="A75" s="3" t="s">
        <v>2589</v>
      </c>
      <c r="B75" s="11">
        <v>1064084.53</v>
      </c>
      <c r="C75" s="11">
        <v>1064084.53</v>
      </c>
      <c r="D75" s="11">
        <v>991518.46</v>
      </c>
      <c r="E75" s="11"/>
      <c r="F75" s="11">
        <v>72566.070000000007</v>
      </c>
    </row>
    <row r="76" spans="1:6" ht="12.75" customHeight="1">
      <c r="A76" s="4" t="s">
        <v>2590</v>
      </c>
      <c r="B76" s="12"/>
      <c r="C76" s="12"/>
      <c r="D76" s="12"/>
      <c r="E76" s="12"/>
      <c r="F76" s="12"/>
    </row>
    <row r="77" spans="1:6" ht="12.75" customHeight="1">
      <c r="A77" s="3" t="s">
        <v>2591</v>
      </c>
      <c r="B77" s="11"/>
      <c r="C77" s="11"/>
      <c r="D77" s="11"/>
      <c r="E77" s="11"/>
      <c r="F77" s="11"/>
    </row>
    <row r="78" spans="1:6" ht="12.75" customHeight="1">
      <c r="A78" s="4" t="s">
        <v>2592</v>
      </c>
      <c r="B78" s="12"/>
      <c r="C78" s="12"/>
      <c r="D78" s="12"/>
      <c r="E78" s="12"/>
      <c r="F78" s="12"/>
    </row>
    <row r="79" spans="1:6" ht="12.75" customHeight="1">
      <c r="A79" s="3" t="s">
        <v>2593</v>
      </c>
      <c r="B79" s="11"/>
      <c r="C79" s="11"/>
      <c r="D79" s="11"/>
      <c r="E79" s="11"/>
      <c r="F79" s="11"/>
    </row>
    <row r="80" spans="1:6" ht="12.75" customHeight="1">
      <c r="A80" s="4" t="s">
        <v>2594</v>
      </c>
      <c r="B80" s="12"/>
      <c r="C80" s="12"/>
      <c r="D80" s="12"/>
      <c r="E80" s="12"/>
      <c r="F80" s="12"/>
    </row>
    <row r="81" spans="1:6" ht="12.75" customHeight="1">
      <c r="A81" s="3" t="s">
        <v>2595</v>
      </c>
      <c r="B81" s="11">
        <f>+'DCA-Anexo I-E'!B82+'DCA-Anexo I-E'!B83+'DCA-Anexo I-E'!B84+'DCA-Anexo I-E'!B85+'DCA-Anexo I-E'!B86+'DCA-Anexo I-E'!B87+'DCA-Anexo I-E'!B89+'DCA-Anexo I-E'!B88</f>
        <v>31450552.280000001</v>
      </c>
      <c r="C81" s="11">
        <f>+'DCA-Anexo I-E'!C82+'DCA-Anexo I-E'!C83+'DCA-Anexo I-E'!C84+'DCA-Anexo I-E'!C85+'DCA-Anexo I-E'!C86+'DCA-Anexo I-E'!C87+'DCA-Anexo I-E'!C89+'DCA-Anexo I-E'!C88</f>
        <v>31450552.280000001</v>
      </c>
      <c r="D81" s="11">
        <f>+'DCA-Anexo I-E'!D82+'DCA-Anexo I-E'!D83+'DCA-Anexo I-E'!D84+'DCA-Anexo I-E'!D85+'DCA-Anexo I-E'!D86+'DCA-Anexo I-E'!D87+'DCA-Anexo I-E'!D89+'DCA-Anexo I-E'!D88</f>
        <v>28325556.5</v>
      </c>
      <c r="E81" s="11">
        <f>+'DCA-Anexo I-E'!E82+'DCA-Anexo I-E'!E83+'DCA-Anexo I-E'!E84+'DCA-Anexo I-E'!E85+'DCA-Anexo I-E'!E86+'DCA-Anexo I-E'!E87+'DCA-Anexo I-E'!E89+'DCA-Anexo I-E'!E88</f>
        <v>0</v>
      </c>
      <c r="F81" s="11">
        <f>+'DCA-Anexo I-E'!F82+'DCA-Anexo I-E'!F83+'DCA-Anexo I-E'!F84+'DCA-Anexo I-E'!F85+'DCA-Anexo I-E'!F86+'DCA-Anexo I-E'!F87+'DCA-Anexo I-E'!F89+'DCA-Anexo I-E'!F88</f>
        <v>3124995.7800000003</v>
      </c>
    </row>
    <row r="82" spans="1:6" ht="12.75" customHeight="1">
      <c r="A82" s="4" t="s">
        <v>2596</v>
      </c>
      <c r="B82" s="12">
        <v>20554589.780000001</v>
      </c>
      <c r="C82" s="12">
        <v>20554589.780000001</v>
      </c>
      <c r="D82" s="12">
        <v>18135089.370000001</v>
      </c>
      <c r="E82" s="12"/>
      <c r="F82" s="12">
        <v>2419500.41</v>
      </c>
    </row>
    <row r="83" spans="1:6" ht="12.75" customHeight="1">
      <c r="A83" s="3" t="s">
        <v>2597</v>
      </c>
      <c r="B83" s="11">
        <v>9659347.7899999991</v>
      </c>
      <c r="C83" s="11">
        <v>9659347.7899999991</v>
      </c>
      <c r="D83" s="11">
        <v>8959516.0999999996</v>
      </c>
      <c r="E83" s="11"/>
      <c r="F83" s="11">
        <v>699831.69</v>
      </c>
    </row>
    <row r="84" spans="1:6" ht="12.75" customHeight="1">
      <c r="A84" s="4" t="s">
        <v>2598</v>
      </c>
      <c r="B84" s="12"/>
      <c r="C84" s="12"/>
      <c r="D84" s="12"/>
      <c r="E84" s="12"/>
      <c r="F84" s="12"/>
    </row>
    <row r="85" spans="1:6" ht="12.75" customHeight="1">
      <c r="A85" s="3" t="s">
        <v>2599</v>
      </c>
      <c r="B85" s="11">
        <v>1236614.71</v>
      </c>
      <c r="C85" s="11">
        <v>1236614.71</v>
      </c>
      <c r="D85" s="11">
        <v>1230951.03</v>
      </c>
      <c r="E85" s="11"/>
      <c r="F85" s="11">
        <v>5663.68</v>
      </c>
    </row>
    <row r="86" spans="1:6" ht="12.75" customHeight="1">
      <c r="A86" s="4" t="s">
        <v>2600</v>
      </c>
      <c r="B86" s="12"/>
      <c r="C86" s="12"/>
      <c r="D86" s="12"/>
      <c r="E86" s="12"/>
      <c r="F86" s="12"/>
    </row>
    <row r="87" spans="1:6" ht="12.75" customHeight="1">
      <c r="A87" s="3" t="s">
        <v>2601</v>
      </c>
      <c r="B87" s="11"/>
      <c r="C87" s="11"/>
      <c r="D87" s="11"/>
      <c r="E87" s="11"/>
      <c r="F87" s="11"/>
    </row>
    <row r="88" spans="1:6" ht="12.75" customHeight="1">
      <c r="A88" s="4" t="s">
        <v>2602</v>
      </c>
      <c r="B88" s="12"/>
      <c r="C88" s="12"/>
      <c r="D88" s="12"/>
      <c r="E88" s="12"/>
      <c r="F88" s="12"/>
    </row>
    <row r="89" spans="1:6" ht="12.75" customHeight="1">
      <c r="A89" s="3" t="s">
        <v>2603</v>
      </c>
      <c r="B89" s="11"/>
      <c r="C89" s="11"/>
      <c r="D89" s="11"/>
      <c r="E89" s="11"/>
      <c r="F89" s="11"/>
    </row>
    <row r="90" spans="1:6" ht="12.75" customHeight="1">
      <c r="A90" s="4" t="s">
        <v>2604</v>
      </c>
      <c r="B90" s="12">
        <f>+'DCA-Anexo I-E'!B91+'DCA-Anexo I-E'!B92+'DCA-Anexo I-E'!B93+'DCA-Anexo I-E'!B94+'DCA-Anexo I-E'!B96+'DCA-Anexo I-E'!B95</f>
        <v>0</v>
      </c>
      <c r="C90" s="12">
        <f>+'DCA-Anexo I-E'!C91+'DCA-Anexo I-E'!C92+'DCA-Anexo I-E'!C93+'DCA-Anexo I-E'!C94+'DCA-Anexo I-E'!C96+'DCA-Anexo I-E'!C95</f>
        <v>0</v>
      </c>
      <c r="D90" s="12">
        <f>+'DCA-Anexo I-E'!D91+'DCA-Anexo I-E'!D92+'DCA-Anexo I-E'!D93+'DCA-Anexo I-E'!D94+'DCA-Anexo I-E'!D96+'DCA-Anexo I-E'!D95</f>
        <v>0</v>
      </c>
      <c r="E90" s="12">
        <f>+'DCA-Anexo I-E'!E91+'DCA-Anexo I-E'!E92+'DCA-Anexo I-E'!E93+'DCA-Anexo I-E'!E94+'DCA-Anexo I-E'!E96+'DCA-Anexo I-E'!E95</f>
        <v>0</v>
      </c>
      <c r="F90" s="12">
        <f>+'DCA-Anexo I-E'!F91+'DCA-Anexo I-E'!F92+'DCA-Anexo I-E'!F93+'DCA-Anexo I-E'!F94+'DCA-Anexo I-E'!F96+'DCA-Anexo I-E'!F95</f>
        <v>0</v>
      </c>
    </row>
    <row r="91" spans="1:6" ht="12.75" customHeight="1">
      <c r="A91" s="3" t="s">
        <v>2605</v>
      </c>
      <c r="B91" s="11"/>
      <c r="C91" s="11"/>
      <c r="D91" s="11"/>
      <c r="E91" s="11"/>
      <c r="F91" s="11"/>
    </row>
    <row r="92" spans="1:6" ht="12.75" customHeight="1">
      <c r="A92" s="4" t="s">
        <v>2606</v>
      </c>
      <c r="B92" s="12"/>
      <c r="C92" s="12"/>
      <c r="D92" s="12"/>
      <c r="E92" s="12"/>
      <c r="F92" s="12"/>
    </row>
    <row r="93" spans="1:6" ht="12.75" customHeight="1">
      <c r="A93" s="3" t="s">
        <v>2607</v>
      </c>
      <c r="B93" s="11"/>
      <c r="C93" s="11"/>
      <c r="D93" s="11"/>
      <c r="E93" s="11"/>
      <c r="F93" s="11"/>
    </row>
    <row r="94" spans="1:6" ht="12.75" customHeight="1">
      <c r="A94" s="4" t="s">
        <v>2608</v>
      </c>
      <c r="B94" s="12"/>
      <c r="C94" s="12"/>
      <c r="D94" s="12"/>
      <c r="E94" s="12"/>
      <c r="F94" s="12"/>
    </row>
    <row r="95" spans="1:6" ht="12.75" customHeight="1">
      <c r="A95" s="3" t="s">
        <v>2609</v>
      </c>
      <c r="B95" s="11"/>
      <c r="C95" s="11"/>
      <c r="D95" s="11"/>
      <c r="E95" s="11"/>
      <c r="F95" s="11"/>
    </row>
    <row r="96" spans="1:6" ht="12.75" customHeight="1">
      <c r="A96" s="4" t="s">
        <v>2610</v>
      </c>
      <c r="B96" s="12"/>
      <c r="C96" s="12"/>
      <c r="D96" s="12"/>
      <c r="E96" s="12"/>
      <c r="F96" s="12"/>
    </row>
    <row r="97" spans="1:6" ht="12.75" customHeight="1">
      <c r="A97" s="3" t="s">
        <v>2611</v>
      </c>
      <c r="B97" s="11">
        <f>+'DCA-Anexo I-E'!B98+'DCA-Anexo I-E'!B99+'DCA-Anexo I-E'!B100+'DCA-Anexo I-E'!B101+'DCA-Anexo I-E'!B102+'DCA-Anexo I-E'!B103+'DCA-Anexo I-E'!B104+'DCA-Anexo I-E'!B105+'DCA-Anexo I-E'!B107+'DCA-Anexo I-E'!B106</f>
        <v>52003851.619999997</v>
      </c>
      <c r="C97" s="11">
        <f>+'DCA-Anexo I-E'!C98+'DCA-Anexo I-E'!C99+'DCA-Anexo I-E'!C100+'DCA-Anexo I-E'!C101+'DCA-Anexo I-E'!C102+'DCA-Anexo I-E'!C103+'DCA-Anexo I-E'!C104+'DCA-Anexo I-E'!C105+'DCA-Anexo I-E'!C107+'DCA-Anexo I-E'!C106</f>
        <v>52003851.619999997</v>
      </c>
      <c r="D97" s="11">
        <f>+'DCA-Anexo I-E'!D98+'DCA-Anexo I-E'!D99+'DCA-Anexo I-E'!D100+'DCA-Anexo I-E'!D101+'DCA-Anexo I-E'!D102+'DCA-Anexo I-E'!D103+'DCA-Anexo I-E'!D104+'DCA-Anexo I-E'!D105+'DCA-Anexo I-E'!D107+'DCA-Anexo I-E'!D106</f>
        <v>50949222.609999999</v>
      </c>
      <c r="E97" s="11">
        <f>+'DCA-Anexo I-E'!E98+'DCA-Anexo I-E'!E99+'DCA-Anexo I-E'!E100+'DCA-Anexo I-E'!E101+'DCA-Anexo I-E'!E102+'DCA-Anexo I-E'!E103+'DCA-Anexo I-E'!E104+'DCA-Anexo I-E'!E105+'DCA-Anexo I-E'!E107+'DCA-Anexo I-E'!E106</f>
        <v>0</v>
      </c>
      <c r="F97" s="11">
        <f>+'DCA-Anexo I-E'!F98+'DCA-Anexo I-E'!F99+'DCA-Anexo I-E'!F100+'DCA-Anexo I-E'!F101+'DCA-Anexo I-E'!F102+'DCA-Anexo I-E'!F103+'DCA-Anexo I-E'!F104+'DCA-Anexo I-E'!F105+'DCA-Anexo I-E'!F107+'DCA-Anexo I-E'!F106</f>
        <v>1054629.01</v>
      </c>
    </row>
    <row r="98" spans="1:6" ht="12.75" customHeight="1">
      <c r="A98" s="4" t="s">
        <v>2612</v>
      </c>
      <c r="B98" s="12">
        <v>46951174.259999998</v>
      </c>
      <c r="C98" s="12">
        <v>46951174.259999998</v>
      </c>
      <c r="D98" s="12">
        <v>45939291.090000004</v>
      </c>
      <c r="E98" s="12"/>
      <c r="F98" s="12">
        <v>1011883.17</v>
      </c>
    </row>
    <row r="99" spans="1:6" ht="12.75" customHeight="1">
      <c r="A99" s="3" t="s">
        <v>2613</v>
      </c>
      <c r="B99" s="11"/>
      <c r="C99" s="11"/>
      <c r="D99" s="11"/>
      <c r="E99" s="11"/>
      <c r="F99" s="11"/>
    </row>
    <row r="100" spans="1:6" ht="12.75" customHeight="1">
      <c r="A100" s="4" t="s">
        <v>2614</v>
      </c>
      <c r="B100" s="12"/>
      <c r="C100" s="12"/>
      <c r="D100" s="12"/>
      <c r="E100" s="12"/>
      <c r="F100" s="12"/>
    </row>
    <row r="101" spans="1:6" ht="12.75" customHeight="1">
      <c r="A101" s="3" t="s">
        <v>2615</v>
      </c>
      <c r="B101" s="11"/>
      <c r="C101" s="11"/>
      <c r="D101" s="11"/>
      <c r="E101" s="11"/>
      <c r="F101" s="11"/>
    </row>
    <row r="102" spans="1:6" ht="12.75" customHeight="1">
      <c r="A102" s="4" t="s">
        <v>2616</v>
      </c>
      <c r="B102" s="12">
        <v>5052677.3600000003</v>
      </c>
      <c r="C102" s="12">
        <v>5052677.3600000003</v>
      </c>
      <c r="D102" s="12">
        <v>5009931.5199999996</v>
      </c>
      <c r="E102" s="12"/>
      <c r="F102" s="12">
        <v>42745.84</v>
      </c>
    </row>
    <row r="103" spans="1:6" ht="12.75" customHeight="1">
      <c r="A103" s="3" t="s">
        <v>2617</v>
      </c>
      <c r="B103" s="11"/>
      <c r="C103" s="11"/>
      <c r="D103" s="11"/>
      <c r="E103" s="11"/>
      <c r="F103" s="11"/>
    </row>
    <row r="104" spans="1:6" ht="12.75" customHeight="1">
      <c r="A104" s="4" t="s">
        <v>2618</v>
      </c>
      <c r="B104" s="12"/>
      <c r="C104" s="12"/>
      <c r="D104" s="12"/>
      <c r="E104" s="12"/>
      <c r="F104" s="12"/>
    </row>
    <row r="105" spans="1:6" ht="12.75" customHeight="1">
      <c r="A105" s="3" t="s">
        <v>2619</v>
      </c>
      <c r="B105" s="11"/>
      <c r="C105" s="11"/>
      <c r="D105" s="11"/>
      <c r="E105" s="11"/>
      <c r="F105" s="11"/>
    </row>
    <row r="106" spans="1:6" ht="12.75" customHeight="1">
      <c r="A106" s="4" t="s">
        <v>2620</v>
      </c>
      <c r="B106" s="12"/>
      <c r="C106" s="12"/>
      <c r="D106" s="12"/>
      <c r="E106" s="12"/>
      <c r="F106" s="12"/>
    </row>
    <row r="107" spans="1:6" ht="12.75" customHeight="1">
      <c r="A107" s="3" t="s">
        <v>2621</v>
      </c>
      <c r="B107" s="11"/>
      <c r="C107" s="11"/>
      <c r="D107" s="11"/>
      <c r="E107" s="11"/>
      <c r="F107" s="11"/>
    </row>
    <row r="108" spans="1:6" ht="12.75" customHeight="1">
      <c r="A108" s="4" t="s">
        <v>2622</v>
      </c>
      <c r="B108" s="12">
        <f>+'DCA-Anexo I-E'!B109+'DCA-Anexo I-E'!B110+'DCA-Anexo I-E'!B112+'DCA-Anexo I-E'!B111</f>
        <v>4146711.07</v>
      </c>
      <c r="C108" s="12">
        <f>+'DCA-Anexo I-E'!C109+'DCA-Anexo I-E'!C110+'DCA-Anexo I-E'!C112+'DCA-Anexo I-E'!C111</f>
        <v>4146711.07</v>
      </c>
      <c r="D108" s="12">
        <f>+'DCA-Anexo I-E'!D109+'DCA-Anexo I-E'!D110+'DCA-Anexo I-E'!D112+'DCA-Anexo I-E'!D111</f>
        <v>2902125.07</v>
      </c>
      <c r="E108" s="12">
        <f>+'DCA-Anexo I-E'!E109+'DCA-Anexo I-E'!E110+'DCA-Anexo I-E'!E112+'DCA-Anexo I-E'!E111</f>
        <v>0</v>
      </c>
      <c r="F108" s="12">
        <f>+'DCA-Anexo I-E'!F109+'DCA-Anexo I-E'!F110+'DCA-Anexo I-E'!F112+'DCA-Anexo I-E'!F111</f>
        <v>1244586</v>
      </c>
    </row>
    <row r="109" spans="1:6" ht="12.75" customHeight="1">
      <c r="A109" s="3" t="s">
        <v>2623</v>
      </c>
      <c r="B109" s="11"/>
      <c r="C109" s="11"/>
      <c r="D109" s="11"/>
      <c r="E109" s="11"/>
      <c r="F109" s="11"/>
    </row>
    <row r="110" spans="1:6" ht="12.75" customHeight="1">
      <c r="A110" s="4" t="s">
        <v>2624</v>
      </c>
      <c r="B110" s="12">
        <v>4146711.07</v>
      </c>
      <c r="C110" s="12">
        <v>4146711.07</v>
      </c>
      <c r="D110" s="12">
        <v>2902125.07</v>
      </c>
      <c r="E110" s="12"/>
      <c r="F110" s="12">
        <v>1244586</v>
      </c>
    </row>
    <row r="111" spans="1:6" ht="12.75" customHeight="1">
      <c r="A111" s="3" t="s">
        <v>2625</v>
      </c>
      <c r="B111" s="11"/>
      <c r="C111" s="11"/>
      <c r="D111" s="11"/>
      <c r="E111" s="11"/>
      <c r="F111" s="11"/>
    </row>
    <row r="112" spans="1:6" ht="12.75" customHeight="1">
      <c r="A112" s="4" t="s">
        <v>2626</v>
      </c>
      <c r="B112" s="12"/>
      <c r="C112" s="12"/>
      <c r="D112" s="12"/>
      <c r="E112" s="12"/>
      <c r="F112" s="12"/>
    </row>
    <row r="113" spans="1:6" ht="12.75" customHeight="1">
      <c r="A113" s="3" t="s">
        <v>2627</v>
      </c>
      <c r="B113" s="11">
        <f>+'DCA-Anexo I-E'!B114+'DCA-Anexo I-E'!B115+'DCA-Anexo I-E'!B116+'DCA-Anexo I-E'!B118+'DCA-Anexo I-E'!B117</f>
        <v>0</v>
      </c>
      <c r="C113" s="11">
        <f>+'DCA-Anexo I-E'!C114+'DCA-Anexo I-E'!C115+'DCA-Anexo I-E'!C116+'DCA-Anexo I-E'!C118+'DCA-Anexo I-E'!C117</f>
        <v>0</v>
      </c>
      <c r="D113" s="11">
        <f>+'DCA-Anexo I-E'!D114+'DCA-Anexo I-E'!D115+'DCA-Anexo I-E'!D116+'DCA-Anexo I-E'!D118+'DCA-Anexo I-E'!D117</f>
        <v>0</v>
      </c>
      <c r="E113" s="11">
        <f>+'DCA-Anexo I-E'!E114+'DCA-Anexo I-E'!E115+'DCA-Anexo I-E'!E116+'DCA-Anexo I-E'!E118+'DCA-Anexo I-E'!E117</f>
        <v>0</v>
      </c>
      <c r="F113" s="11">
        <f>+'DCA-Anexo I-E'!F114+'DCA-Anexo I-E'!F115+'DCA-Anexo I-E'!F116+'DCA-Anexo I-E'!F118+'DCA-Anexo I-E'!F117</f>
        <v>0</v>
      </c>
    </row>
    <row r="114" spans="1:6" ht="12.75" customHeight="1">
      <c r="A114" s="4" t="s">
        <v>2628</v>
      </c>
      <c r="B114" s="12"/>
      <c r="C114" s="12"/>
      <c r="D114" s="12"/>
      <c r="E114" s="12"/>
      <c r="F114" s="12"/>
    </row>
    <row r="115" spans="1:6" ht="12.75" customHeight="1">
      <c r="A115" s="3" t="s">
        <v>2629</v>
      </c>
      <c r="B115" s="11"/>
      <c r="C115" s="11"/>
      <c r="D115" s="11"/>
      <c r="E115" s="11"/>
      <c r="F115" s="11"/>
    </row>
    <row r="116" spans="1:6" ht="12.75" customHeight="1">
      <c r="A116" s="4" t="s">
        <v>2630</v>
      </c>
      <c r="B116" s="12"/>
      <c r="C116" s="12"/>
      <c r="D116" s="12"/>
      <c r="E116" s="12"/>
      <c r="F116" s="12"/>
    </row>
    <row r="117" spans="1:6" ht="12.75" customHeight="1">
      <c r="A117" s="3" t="s">
        <v>2631</v>
      </c>
      <c r="B117" s="11"/>
      <c r="C117" s="11"/>
      <c r="D117" s="11"/>
      <c r="E117" s="11"/>
      <c r="F117" s="11"/>
    </row>
    <row r="118" spans="1:6" ht="12.75" customHeight="1">
      <c r="A118" s="4" t="s">
        <v>2632</v>
      </c>
      <c r="B118" s="12"/>
      <c r="C118" s="12"/>
      <c r="D118" s="12"/>
      <c r="E118" s="12"/>
      <c r="F118" s="12"/>
    </row>
    <row r="119" spans="1:6" ht="12.75" customHeight="1">
      <c r="A119" s="3" t="s">
        <v>2633</v>
      </c>
      <c r="B119" s="11">
        <f>+'DCA-Anexo I-E'!B120+'DCA-Anexo I-E'!B121+'DCA-Anexo I-E'!B122+'DCA-Anexo I-E'!B124+'DCA-Anexo I-E'!B123</f>
        <v>18662701.530000001</v>
      </c>
      <c r="C119" s="11">
        <f>+'DCA-Anexo I-E'!C120+'DCA-Anexo I-E'!C121+'DCA-Anexo I-E'!C122+'DCA-Anexo I-E'!C124+'DCA-Anexo I-E'!C123</f>
        <v>18662701.530000001</v>
      </c>
      <c r="D119" s="11">
        <f>+'DCA-Anexo I-E'!D120+'DCA-Anexo I-E'!D121+'DCA-Anexo I-E'!D122+'DCA-Anexo I-E'!D124+'DCA-Anexo I-E'!D123</f>
        <v>17781511.760000002</v>
      </c>
      <c r="E119" s="11">
        <f>+'DCA-Anexo I-E'!E120+'DCA-Anexo I-E'!E121+'DCA-Anexo I-E'!E122+'DCA-Anexo I-E'!E124+'DCA-Anexo I-E'!E123</f>
        <v>0</v>
      </c>
      <c r="F119" s="11">
        <f>+'DCA-Anexo I-E'!F120+'DCA-Anexo I-E'!F121+'DCA-Anexo I-E'!F122+'DCA-Anexo I-E'!F124+'DCA-Anexo I-E'!F123</f>
        <v>881189.77</v>
      </c>
    </row>
    <row r="120" spans="1:6" ht="12.75" customHeight="1">
      <c r="A120" s="4" t="s">
        <v>2634</v>
      </c>
      <c r="B120" s="12">
        <v>1729864.01</v>
      </c>
      <c r="C120" s="12">
        <v>1729864.01</v>
      </c>
      <c r="D120" s="12">
        <v>1729864.01</v>
      </c>
      <c r="E120" s="12"/>
      <c r="F120" s="12"/>
    </row>
    <row r="121" spans="1:6" ht="12.75" customHeight="1">
      <c r="A121" s="3" t="s">
        <v>2635</v>
      </c>
      <c r="B121" s="11">
        <v>13547646.09</v>
      </c>
      <c r="C121" s="11">
        <v>13547646.09</v>
      </c>
      <c r="D121" s="11">
        <v>12951813.880000001</v>
      </c>
      <c r="E121" s="11"/>
      <c r="F121" s="11">
        <v>595832.21</v>
      </c>
    </row>
    <row r="122" spans="1:6" ht="12.75" customHeight="1">
      <c r="A122" s="4" t="s">
        <v>2636</v>
      </c>
      <c r="B122" s="12"/>
      <c r="C122" s="12"/>
      <c r="D122" s="12"/>
      <c r="E122" s="12"/>
      <c r="F122" s="12"/>
    </row>
    <row r="123" spans="1:6" ht="12.75" customHeight="1">
      <c r="A123" s="3" t="s">
        <v>2637</v>
      </c>
      <c r="B123" s="11">
        <v>3385191.43</v>
      </c>
      <c r="C123" s="11">
        <v>3385191.43</v>
      </c>
      <c r="D123" s="11">
        <v>3099833.87</v>
      </c>
      <c r="E123" s="11"/>
      <c r="F123" s="11">
        <v>285357.56</v>
      </c>
    </row>
    <row r="124" spans="1:6" ht="12.75" customHeight="1">
      <c r="A124" s="4" t="s">
        <v>2638</v>
      </c>
      <c r="B124" s="12"/>
      <c r="C124" s="12"/>
      <c r="D124" s="12"/>
      <c r="E124" s="12"/>
      <c r="F124" s="12"/>
    </row>
    <row r="125" spans="1:6" ht="12.75" customHeight="1">
      <c r="A125" s="3" t="s">
        <v>2639</v>
      </c>
      <c r="B125" s="11">
        <f>+'DCA-Anexo I-E'!B126+'DCA-Anexo I-E'!B127+'DCA-Anexo I-E'!B129+'DCA-Anexo I-E'!B128</f>
        <v>0</v>
      </c>
      <c r="C125" s="11">
        <f>+'DCA-Anexo I-E'!C126+'DCA-Anexo I-E'!C127+'DCA-Anexo I-E'!C129+'DCA-Anexo I-E'!C128</f>
        <v>0</v>
      </c>
      <c r="D125" s="11">
        <f>+'DCA-Anexo I-E'!D126+'DCA-Anexo I-E'!D127+'DCA-Anexo I-E'!D129+'DCA-Anexo I-E'!D128</f>
        <v>0</v>
      </c>
      <c r="E125" s="11">
        <f>+'DCA-Anexo I-E'!E126+'DCA-Anexo I-E'!E127+'DCA-Anexo I-E'!E129+'DCA-Anexo I-E'!E128</f>
        <v>0</v>
      </c>
      <c r="F125" s="11">
        <f>+'DCA-Anexo I-E'!F126+'DCA-Anexo I-E'!F127+'DCA-Anexo I-E'!F129+'DCA-Anexo I-E'!F128</f>
        <v>0</v>
      </c>
    </row>
    <row r="126" spans="1:6" ht="12.75" customHeight="1">
      <c r="A126" s="4" t="s">
        <v>2640</v>
      </c>
      <c r="B126" s="12"/>
      <c r="C126" s="12"/>
      <c r="D126" s="12"/>
      <c r="E126" s="12"/>
      <c r="F126" s="12"/>
    </row>
    <row r="127" spans="1:6" ht="12.75" customHeight="1">
      <c r="A127" s="3" t="s">
        <v>2641</v>
      </c>
      <c r="B127" s="11"/>
      <c r="C127" s="11"/>
      <c r="D127" s="11"/>
      <c r="E127" s="11"/>
      <c r="F127" s="11"/>
    </row>
    <row r="128" spans="1:6" ht="12.75" customHeight="1">
      <c r="A128" s="4" t="s">
        <v>2642</v>
      </c>
      <c r="B128" s="12"/>
      <c r="C128" s="12"/>
      <c r="D128" s="12"/>
      <c r="E128" s="12"/>
      <c r="F128" s="12"/>
    </row>
    <row r="129" spans="1:6" ht="12.75" customHeight="1">
      <c r="A129" s="3" t="s">
        <v>2643</v>
      </c>
      <c r="B129" s="11"/>
      <c r="C129" s="11"/>
      <c r="D129" s="11"/>
      <c r="E129" s="11"/>
      <c r="F129" s="11"/>
    </row>
    <row r="130" spans="1:6" ht="12.75" customHeight="1">
      <c r="A130" s="4" t="s">
        <v>2644</v>
      </c>
      <c r="B130" s="12">
        <f>+'DCA-Anexo I-E'!B131+'DCA-Anexo I-E'!B132+'DCA-Anexo I-E'!B134+'DCA-Anexo I-E'!B133</f>
        <v>1737851</v>
      </c>
      <c r="C130" s="12">
        <f>+'DCA-Anexo I-E'!C131+'DCA-Anexo I-E'!C132+'DCA-Anexo I-E'!C134+'DCA-Anexo I-E'!C133</f>
        <v>1737851</v>
      </c>
      <c r="D130" s="12">
        <f>+'DCA-Anexo I-E'!D131+'DCA-Anexo I-E'!D132+'DCA-Anexo I-E'!D134+'DCA-Anexo I-E'!D133</f>
        <v>1672705</v>
      </c>
      <c r="E130" s="12">
        <f>+'DCA-Anexo I-E'!E131+'DCA-Anexo I-E'!E132+'DCA-Anexo I-E'!E134+'DCA-Anexo I-E'!E133</f>
        <v>0</v>
      </c>
      <c r="F130" s="12">
        <f>+'DCA-Anexo I-E'!F131+'DCA-Anexo I-E'!F132+'DCA-Anexo I-E'!F134+'DCA-Anexo I-E'!F133</f>
        <v>65146</v>
      </c>
    </row>
    <row r="131" spans="1:6" ht="12.75" customHeight="1">
      <c r="A131" s="3" t="s">
        <v>2645</v>
      </c>
      <c r="B131" s="11">
        <v>1737851</v>
      </c>
      <c r="C131" s="11">
        <v>1737851</v>
      </c>
      <c r="D131" s="11">
        <v>1672705</v>
      </c>
      <c r="E131" s="11"/>
      <c r="F131" s="11">
        <v>65146</v>
      </c>
    </row>
    <row r="132" spans="1:6" ht="12.75" customHeight="1">
      <c r="A132" s="4" t="s">
        <v>2646</v>
      </c>
      <c r="B132" s="12"/>
      <c r="C132" s="12"/>
      <c r="D132" s="12"/>
      <c r="E132" s="12"/>
      <c r="F132" s="12"/>
    </row>
    <row r="133" spans="1:6" ht="12.75" customHeight="1">
      <c r="A133" s="3" t="s">
        <v>2647</v>
      </c>
      <c r="B133" s="11"/>
      <c r="C133" s="11"/>
      <c r="D133" s="11"/>
      <c r="E133" s="11"/>
      <c r="F133" s="11"/>
    </row>
    <row r="134" spans="1:6" ht="12.75" customHeight="1">
      <c r="A134" s="4" t="s">
        <v>2648</v>
      </c>
      <c r="B134" s="12"/>
      <c r="C134" s="12"/>
      <c r="D134" s="12"/>
      <c r="E134" s="12"/>
      <c r="F134" s="12"/>
    </row>
    <row r="135" spans="1:6" ht="12.75" customHeight="1">
      <c r="A135" s="3" t="s">
        <v>2649</v>
      </c>
      <c r="B135" s="11">
        <f>+'DCA-Anexo I-E'!B136+'DCA-Anexo I-E'!B137+'DCA-Anexo I-E'!B138+'DCA-Anexo I-E'!B139+'DCA-Anexo I-E'!B140+'DCA-Anexo I-E'!B142+'DCA-Anexo I-E'!B141</f>
        <v>0</v>
      </c>
      <c r="C135" s="11">
        <f>+'DCA-Anexo I-E'!C136+'DCA-Anexo I-E'!C137+'DCA-Anexo I-E'!C138+'DCA-Anexo I-E'!C139+'DCA-Anexo I-E'!C140+'DCA-Anexo I-E'!C142+'DCA-Anexo I-E'!C141</f>
        <v>0</v>
      </c>
      <c r="D135" s="11">
        <f>+'DCA-Anexo I-E'!D136+'DCA-Anexo I-E'!D137+'DCA-Anexo I-E'!D138+'DCA-Anexo I-E'!D139+'DCA-Anexo I-E'!D140+'DCA-Anexo I-E'!D142+'DCA-Anexo I-E'!D141</f>
        <v>0</v>
      </c>
      <c r="E135" s="11">
        <f>+'DCA-Anexo I-E'!E136+'DCA-Anexo I-E'!E137+'DCA-Anexo I-E'!E138+'DCA-Anexo I-E'!E139+'DCA-Anexo I-E'!E140+'DCA-Anexo I-E'!E142+'DCA-Anexo I-E'!E141</f>
        <v>0</v>
      </c>
      <c r="F135" s="11">
        <f>+'DCA-Anexo I-E'!F136+'DCA-Anexo I-E'!F137+'DCA-Anexo I-E'!F138+'DCA-Anexo I-E'!F139+'DCA-Anexo I-E'!F140+'DCA-Anexo I-E'!F142+'DCA-Anexo I-E'!F141</f>
        <v>0</v>
      </c>
    </row>
    <row r="136" spans="1:6" ht="12.75" customHeight="1">
      <c r="A136" s="4" t="s">
        <v>2650</v>
      </c>
      <c r="B136" s="12"/>
      <c r="C136" s="12"/>
      <c r="D136" s="12"/>
      <c r="E136" s="12"/>
      <c r="F136" s="12"/>
    </row>
    <row r="137" spans="1:6" ht="12.75" customHeight="1">
      <c r="A137" s="3" t="s">
        <v>2651</v>
      </c>
      <c r="B137" s="11"/>
      <c r="C137" s="11"/>
      <c r="D137" s="11"/>
      <c r="E137" s="11"/>
      <c r="F137" s="11"/>
    </row>
    <row r="138" spans="1:6" ht="12.75" customHeight="1">
      <c r="A138" s="4" t="s">
        <v>2652</v>
      </c>
      <c r="B138" s="12"/>
      <c r="C138" s="12"/>
      <c r="D138" s="12"/>
      <c r="E138" s="12"/>
      <c r="F138" s="12"/>
    </row>
    <row r="139" spans="1:6" ht="12.75" customHeight="1">
      <c r="A139" s="3" t="s">
        <v>2653</v>
      </c>
      <c r="B139" s="11"/>
      <c r="C139" s="11"/>
      <c r="D139" s="11"/>
      <c r="E139" s="11"/>
      <c r="F139" s="11"/>
    </row>
    <row r="140" spans="1:6" ht="12.75" customHeight="1">
      <c r="A140" s="4" t="s">
        <v>2654</v>
      </c>
      <c r="B140" s="12"/>
      <c r="C140" s="12"/>
      <c r="D140" s="12"/>
      <c r="E140" s="12"/>
      <c r="F140" s="12"/>
    </row>
    <row r="141" spans="1:6" ht="12.75" customHeight="1">
      <c r="A141" s="3" t="s">
        <v>2655</v>
      </c>
      <c r="B141" s="11"/>
      <c r="C141" s="11"/>
      <c r="D141" s="11"/>
      <c r="E141" s="11"/>
      <c r="F141" s="11"/>
    </row>
    <row r="142" spans="1:6" ht="12.75" customHeight="1">
      <c r="A142" s="4" t="s">
        <v>2656</v>
      </c>
      <c r="B142" s="12"/>
      <c r="C142" s="12"/>
      <c r="D142" s="12"/>
      <c r="E142" s="12"/>
      <c r="F142" s="12"/>
    </row>
    <row r="143" spans="1:6" ht="12.75" customHeight="1">
      <c r="A143" s="3" t="s">
        <v>2657</v>
      </c>
      <c r="B143" s="11">
        <f>+'DCA-Anexo I-E'!B144+'DCA-Anexo I-E'!B145+'DCA-Anexo I-E'!B146+'DCA-Anexo I-E'!B148+'DCA-Anexo I-E'!B147</f>
        <v>0</v>
      </c>
      <c r="C143" s="11">
        <f>+'DCA-Anexo I-E'!C144+'DCA-Anexo I-E'!C145+'DCA-Anexo I-E'!C146+'DCA-Anexo I-E'!C148+'DCA-Anexo I-E'!C147</f>
        <v>0</v>
      </c>
      <c r="D143" s="11">
        <f>+'DCA-Anexo I-E'!D144+'DCA-Anexo I-E'!D145+'DCA-Anexo I-E'!D146+'DCA-Anexo I-E'!D148+'DCA-Anexo I-E'!D147</f>
        <v>0</v>
      </c>
      <c r="E143" s="11">
        <f>+'DCA-Anexo I-E'!E144+'DCA-Anexo I-E'!E145+'DCA-Anexo I-E'!E146+'DCA-Anexo I-E'!E148+'DCA-Anexo I-E'!E147</f>
        <v>0</v>
      </c>
      <c r="F143" s="11">
        <f>+'DCA-Anexo I-E'!F144+'DCA-Anexo I-E'!F145+'DCA-Anexo I-E'!F146+'DCA-Anexo I-E'!F148+'DCA-Anexo I-E'!F147</f>
        <v>0</v>
      </c>
    </row>
    <row r="144" spans="1:6" ht="12.75" customHeight="1">
      <c r="A144" s="4" t="s">
        <v>2658</v>
      </c>
      <c r="B144" s="12"/>
      <c r="C144" s="12"/>
      <c r="D144" s="12"/>
      <c r="E144" s="12"/>
      <c r="F144" s="12"/>
    </row>
    <row r="145" spans="1:6" ht="12.75" customHeight="1">
      <c r="A145" s="3" t="s">
        <v>2659</v>
      </c>
      <c r="B145" s="11"/>
      <c r="C145" s="11"/>
      <c r="D145" s="11"/>
      <c r="E145" s="11"/>
      <c r="F145" s="11"/>
    </row>
    <row r="146" spans="1:6" ht="12.75" customHeight="1">
      <c r="A146" s="4" t="s">
        <v>2660</v>
      </c>
      <c r="B146" s="12"/>
      <c r="C146" s="12"/>
      <c r="D146" s="12"/>
      <c r="E146" s="12"/>
      <c r="F146" s="12"/>
    </row>
    <row r="147" spans="1:6" ht="12.75" customHeight="1">
      <c r="A147" s="3" t="s">
        <v>2661</v>
      </c>
      <c r="B147" s="11"/>
      <c r="C147" s="11"/>
      <c r="D147" s="11"/>
      <c r="E147" s="11"/>
      <c r="F147" s="11"/>
    </row>
    <row r="148" spans="1:6" ht="12.75" customHeight="1">
      <c r="A148" s="4" t="s">
        <v>2662</v>
      </c>
      <c r="B148" s="12"/>
      <c r="C148" s="12"/>
      <c r="D148" s="12"/>
      <c r="E148" s="12"/>
      <c r="F148" s="12"/>
    </row>
    <row r="149" spans="1:6" ht="12.75" customHeight="1">
      <c r="A149" s="3" t="s">
        <v>2663</v>
      </c>
      <c r="B149" s="11">
        <f>+'DCA-Anexo I-E'!B150+'DCA-Anexo I-E'!B151+'DCA-Anexo I-E'!B152+'DCA-Anexo I-E'!B153+'DCA-Anexo I-E'!B154+'DCA-Anexo I-E'!B156+'DCA-Anexo I-E'!B155</f>
        <v>1883968.07</v>
      </c>
      <c r="C149" s="11">
        <f>+'DCA-Anexo I-E'!C150+'DCA-Anexo I-E'!C151+'DCA-Anexo I-E'!C152+'DCA-Anexo I-E'!C153+'DCA-Anexo I-E'!C154+'DCA-Anexo I-E'!C156+'DCA-Anexo I-E'!C155</f>
        <v>1883968.07</v>
      </c>
      <c r="D149" s="11">
        <f>+'DCA-Anexo I-E'!D150+'DCA-Anexo I-E'!D151+'DCA-Anexo I-E'!D152+'DCA-Anexo I-E'!D153+'DCA-Anexo I-E'!D154+'DCA-Anexo I-E'!D156+'DCA-Anexo I-E'!D155</f>
        <v>1797440.15</v>
      </c>
      <c r="E149" s="11">
        <f>+'DCA-Anexo I-E'!E150+'DCA-Anexo I-E'!E151+'DCA-Anexo I-E'!E152+'DCA-Anexo I-E'!E153+'DCA-Anexo I-E'!E154+'DCA-Anexo I-E'!E156+'DCA-Anexo I-E'!E155</f>
        <v>0</v>
      </c>
      <c r="F149" s="11">
        <f>+'DCA-Anexo I-E'!F150+'DCA-Anexo I-E'!F151+'DCA-Anexo I-E'!F152+'DCA-Anexo I-E'!F153+'DCA-Anexo I-E'!F154+'DCA-Anexo I-E'!F156+'DCA-Anexo I-E'!F155</f>
        <v>86527.92</v>
      </c>
    </row>
    <row r="150" spans="1:6" ht="12.75" customHeight="1">
      <c r="A150" s="4" t="s">
        <v>2664</v>
      </c>
      <c r="B150" s="12"/>
      <c r="C150" s="12"/>
      <c r="D150" s="12"/>
      <c r="E150" s="12"/>
      <c r="F150" s="12"/>
    </row>
    <row r="151" spans="1:6" ht="12.75" customHeight="1">
      <c r="A151" s="3" t="s">
        <v>2665</v>
      </c>
      <c r="B151" s="11"/>
      <c r="C151" s="11"/>
      <c r="D151" s="11"/>
      <c r="E151" s="11"/>
      <c r="F151" s="11"/>
    </row>
    <row r="152" spans="1:6" ht="12.75" customHeight="1">
      <c r="A152" s="4" t="s">
        <v>2666</v>
      </c>
      <c r="B152" s="12"/>
      <c r="C152" s="12"/>
      <c r="D152" s="12"/>
      <c r="E152" s="12"/>
      <c r="F152" s="12"/>
    </row>
    <row r="153" spans="1:6" ht="12.75" customHeight="1">
      <c r="A153" s="3" t="s">
        <v>2667</v>
      </c>
      <c r="B153" s="11"/>
      <c r="C153" s="11"/>
      <c r="D153" s="11"/>
      <c r="E153" s="11"/>
      <c r="F153" s="11"/>
    </row>
    <row r="154" spans="1:6" ht="12.75" customHeight="1">
      <c r="A154" s="4" t="s">
        <v>2668</v>
      </c>
      <c r="B154" s="12"/>
      <c r="C154" s="12"/>
      <c r="D154" s="12"/>
      <c r="E154" s="12"/>
      <c r="F154" s="12"/>
    </row>
    <row r="155" spans="1:6" ht="12.75" customHeight="1">
      <c r="A155" s="3" t="s">
        <v>2669</v>
      </c>
      <c r="B155" s="11">
        <v>1883968.07</v>
      </c>
      <c r="C155" s="11">
        <v>1883968.07</v>
      </c>
      <c r="D155" s="11">
        <v>1797440.15</v>
      </c>
      <c r="E155" s="11"/>
      <c r="F155" s="11">
        <v>86527.92</v>
      </c>
    </row>
    <row r="156" spans="1:6" ht="12.75" customHeight="1">
      <c r="A156" s="4" t="s">
        <v>2670</v>
      </c>
      <c r="B156" s="12"/>
      <c r="C156" s="12"/>
      <c r="D156" s="12"/>
      <c r="E156" s="12"/>
      <c r="F156" s="12"/>
    </row>
    <row r="157" spans="1:6" ht="12.75" customHeight="1">
      <c r="A157" s="3" t="s">
        <v>2671</v>
      </c>
      <c r="B157" s="11">
        <f>+'DCA-Anexo I-E'!B158+'DCA-Anexo I-E'!B159+'DCA-Anexo I-E'!B161+'DCA-Anexo I-E'!B160</f>
        <v>0</v>
      </c>
      <c r="C157" s="11">
        <f>+'DCA-Anexo I-E'!C158+'DCA-Anexo I-E'!C159+'DCA-Anexo I-E'!C161+'DCA-Anexo I-E'!C160</f>
        <v>0</v>
      </c>
      <c r="D157" s="11">
        <f>+'DCA-Anexo I-E'!D158+'DCA-Anexo I-E'!D159+'DCA-Anexo I-E'!D161+'DCA-Anexo I-E'!D160</f>
        <v>0</v>
      </c>
      <c r="E157" s="11">
        <f>+'DCA-Anexo I-E'!E158+'DCA-Anexo I-E'!E159+'DCA-Anexo I-E'!E161+'DCA-Anexo I-E'!E160</f>
        <v>0</v>
      </c>
      <c r="F157" s="11">
        <f>+'DCA-Anexo I-E'!F158+'DCA-Anexo I-E'!F159+'DCA-Anexo I-E'!F161+'DCA-Anexo I-E'!F160</f>
        <v>0</v>
      </c>
    </row>
    <row r="158" spans="1:6" ht="12.75" customHeight="1">
      <c r="A158" s="4" t="s">
        <v>2672</v>
      </c>
      <c r="B158" s="12"/>
      <c r="C158" s="12"/>
      <c r="D158" s="12"/>
      <c r="E158" s="12"/>
      <c r="F158" s="12"/>
    </row>
    <row r="159" spans="1:6" ht="12.75" customHeight="1">
      <c r="A159" s="3" t="s">
        <v>2673</v>
      </c>
      <c r="B159" s="11"/>
      <c r="C159" s="11"/>
      <c r="D159" s="11"/>
      <c r="E159" s="11"/>
      <c r="F159" s="11"/>
    </row>
    <row r="160" spans="1:6" ht="12.75" customHeight="1">
      <c r="A160" s="4" t="s">
        <v>2674</v>
      </c>
      <c r="B160" s="12"/>
      <c r="C160" s="12"/>
      <c r="D160" s="12"/>
      <c r="E160" s="12"/>
      <c r="F160" s="12"/>
    </row>
    <row r="161" spans="1:6" ht="12.75" customHeight="1">
      <c r="A161" s="3" t="s">
        <v>2675</v>
      </c>
      <c r="B161" s="11"/>
      <c r="C161" s="11"/>
      <c r="D161" s="11"/>
      <c r="E161" s="11"/>
      <c r="F161" s="11"/>
    </row>
    <row r="162" spans="1:6" ht="12.75" customHeight="1">
      <c r="A162" s="4" t="s">
        <v>2676</v>
      </c>
      <c r="B162" s="12">
        <f>+'DCA-Anexo I-E'!B163+'DCA-Anexo I-E'!B164+'DCA-Anexo I-E'!B165+'DCA-Anexo I-E'!B166+'DCA-Anexo I-E'!B167+'DCA-Anexo I-E'!B169+'DCA-Anexo I-E'!B168</f>
        <v>0</v>
      </c>
      <c r="C162" s="12">
        <f>+'DCA-Anexo I-E'!C163+'DCA-Anexo I-E'!C164+'DCA-Anexo I-E'!C165+'DCA-Anexo I-E'!C166+'DCA-Anexo I-E'!C167+'DCA-Anexo I-E'!C169+'DCA-Anexo I-E'!C168</f>
        <v>0</v>
      </c>
      <c r="D162" s="12">
        <f>+'DCA-Anexo I-E'!D163+'DCA-Anexo I-E'!D164+'DCA-Anexo I-E'!D165+'DCA-Anexo I-E'!D166+'DCA-Anexo I-E'!D167+'DCA-Anexo I-E'!D169+'DCA-Anexo I-E'!D168</f>
        <v>0</v>
      </c>
      <c r="E162" s="12">
        <f>+'DCA-Anexo I-E'!E163+'DCA-Anexo I-E'!E164+'DCA-Anexo I-E'!E165+'DCA-Anexo I-E'!E166+'DCA-Anexo I-E'!E167+'DCA-Anexo I-E'!E169+'DCA-Anexo I-E'!E168</f>
        <v>0</v>
      </c>
      <c r="F162" s="12">
        <f>+'DCA-Anexo I-E'!F163+'DCA-Anexo I-E'!F164+'DCA-Anexo I-E'!F165+'DCA-Anexo I-E'!F166+'DCA-Anexo I-E'!F167+'DCA-Anexo I-E'!F169+'DCA-Anexo I-E'!F168</f>
        <v>0</v>
      </c>
    </row>
    <row r="163" spans="1:6" ht="12.75" customHeight="1">
      <c r="A163" s="3" t="s">
        <v>2677</v>
      </c>
      <c r="B163" s="11"/>
      <c r="C163" s="11"/>
      <c r="D163" s="11"/>
      <c r="E163" s="11"/>
      <c r="F163" s="11"/>
    </row>
    <row r="164" spans="1:6" ht="12.75" customHeight="1">
      <c r="A164" s="4" t="s">
        <v>2678</v>
      </c>
      <c r="B164" s="12"/>
      <c r="C164" s="12"/>
      <c r="D164" s="12"/>
      <c r="E164" s="12"/>
      <c r="F164" s="12"/>
    </row>
    <row r="165" spans="1:6" ht="12.75" customHeight="1">
      <c r="A165" s="3" t="s">
        <v>2679</v>
      </c>
      <c r="B165" s="11"/>
      <c r="C165" s="11"/>
      <c r="D165" s="11"/>
      <c r="E165" s="11"/>
      <c r="F165" s="11"/>
    </row>
    <row r="166" spans="1:6" ht="12.75" customHeight="1">
      <c r="A166" s="4" t="s">
        <v>2680</v>
      </c>
      <c r="B166" s="12"/>
      <c r="C166" s="12"/>
      <c r="D166" s="12"/>
      <c r="E166" s="12"/>
      <c r="F166" s="12"/>
    </row>
    <row r="167" spans="1:6" ht="12.75" customHeight="1">
      <c r="A167" s="3" t="s">
        <v>2681</v>
      </c>
      <c r="B167" s="11"/>
      <c r="C167" s="11"/>
      <c r="D167" s="11"/>
      <c r="E167" s="11"/>
      <c r="F167" s="11"/>
    </row>
    <row r="168" spans="1:6" ht="12.75" customHeight="1">
      <c r="A168" s="4" t="s">
        <v>2682</v>
      </c>
      <c r="B168" s="12"/>
      <c r="C168" s="12"/>
      <c r="D168" s="12"/>
      <c r="E168" s="12"/>
      <c r="F168" s="12"/>
    </row>
    <row r="169" spans="1:6" ht="12.75" customHeight="1">
      <c r="A169" s="3" t="s">
        <v>2683</v>
      </c>
      <c r="B169" s="11"/>
      <c r="C169" s="11"/>
      <c r="D169" s="11"/>
      <c r="E169" s="11"/>
      <c r="F169" s="11"/>
    </row>
    <row r="170" spans="1:6" ht="12.75" customHeight="1">
      <c r="A170" s="4" t="s">
        <v>2684</v>
      </c>
      <c r="B170" s="12">
        <f>+'DCA-Anexo I-E'!B171+'DCA-Anexo I-E'!B172+'DCA-Anexo I-E'!B173+'DCA-Anexo I-E'!B174+'DCA-Anexo I-E'!B175+'DCA-Anexo I-E'!B177+'DCA-Anexo I-E'!B176</f>
        <v>0</v>
      </c>
      <c r="C170" s="12">
        <f>+'DCA-Anexo I-E'!C171+'DCA-Anexo I-E'!C172+'DCA-Anexo I-E'!C173+'DCA-Anexo I-E'!C174+'DCA-Anexo I-E'!C175+'DCA-Anexo I-E'!C177+'DCA-Anexo I-E'!C176</f>
        <v>0</v>
      </c>
      <c r="D170" s="12">
        <f>+'DCA-Anexo I-E'!D171+'DCA-Anexo I-E'!D172+'DCA-Anexo I-E'!D173+'DCA-Anexo I-E'!D174+'DCA-Anexo I-E'!D175+'DCA-Anexo I-E'!D177+'DCA-Anexo I-E'!D176</f>
        <v>0</v>
      </c>
      <c r="E170" s="12">
        <f>+'DCA-Anexo I-E'!E171+'DCA-Anexo I-E'!E172+'DCA-Anexo I-E'!E173+'DCA-Anexo I-E'!E174+'DCA-Anexo I-E'!E175+'DCA-Anexo I-E'!E177+'DCA-Anexo I-E'!E176</f>
        <v>0</v>
      </c>
      <c r="F170" s="12">
        <f>+'DCA-Anexo I-E'!F171+'DCA-Anexo I-E'!F172+'DCA-Anexo I-E'!F173+'DCA-Anexo I-E'!F174+'DCA-Anexo I-E'!F175+'DCA-Anexo I-E'!F177+'DCA-Anexo I-E'!F176</f>
        <v>0</v>
      </c>
    </row>
    <row r="171" spans="1:6" ht="12.75" customHeight="1">
      <c r="A171" s="3" t="s">
        <v>2685</v>
      </c>
      <c r="B171" s="11"/>
      <c r="C171" s="11"/>
      <c r="D171" s="11"/>
      <c r="E171" s="11"/>
      <c r="F171" s="11"/>
    </row>
    <row r="172" spans="1:6" ht="12.75" customHeight="1">
      <c r="A172" s="4" t="s">
        <v>2686</v>
      </c>
      <c r="B172" s="12"/>
      <c r="C172" s="12"/>
      <c r="D172" s="12"/>
      <c r="E172" s="12"/>
      <c r="F172" s="12"/>
    </row>
    <row r="173" spans="1:6" ht="12.75" customHeight="1">
      <c r="A173" s="3" t="s">
        <v>2687</v>
      </c>
      <c r="B173" s="11"/>
      <c r="C173" s="11"/>
      <c r="D173" s="11"/>
      <c r="E173" s="11"/>
      <c r="F173" s="11"/>
    </row>
    <row r="174" spans="1:6" ht="12.75" customHeight="1">
      <c r="A174" s="4" t="s">
        <v>2688</v>
      </c>
      <c r="B174" s="12"/>
      <c r="C174" s="12"/>
      <c r="D174" s="12"/>
      <c r="E174" s="12"/>
      <c r="F174" s="12"/>
    </row>
    <row r="175" spans="1:6" ht="12.75" customHeight="1">
      <c r="A175" s="3" t="s">
        <v>2689</v>
      </c>
      <c r="B175" s="11"/>
      <c r="C175" s="11"/>
      <c r="D175" s="11"/>
      <c r="E175" s="11"/>
      <c r="F175" s="11"/>
    </row>
    <row r="176" spans="1:6" ht="12.75" customHeight="1">
      <c r="A176" s="4" t="s">
        <v>2690</v>
      </c>
      <c r="B176" s="12"/>
      <c r="C176" s="12"/>
      <c r="D176" s="12"/>
      <c r="E176" s="12"/>
      <c r="F176" s="12"/>
    </row>
    <row r="177" spans="1:6" ht="12.75" customHeight="1">
      <c r="A177" s="3" t="s">
        <v>2691</v>
      </c>
      <c r="B177" s="11"/>
      <c r="C177" s="11"/>
      <c r="D177" s="11"/>
      <c r="E177" s="11"/>
      <c r="F177" s="11"/>
    </row>
    <row r="178" spans="1:6" ht="12.75" customHeight="1">
      <c r="A178" s="4" t="s">
        <v>2692</v>
      </c>
      <c r="B178" s="12">
        <f>+'DCA-Anexo I-E'!B179+'DCA-Anexo I-E'!B180+'DCA-Anexo I-E'!B182+'DCA-Anexo I-E'!B181</f>
        <v>0</v>
      </c>
      <c r="C178" s="12">
        <f>+'DCA-Anexo I-E'!C179+'DCA-Anexo I-E'!C180+'DCA-Anexo I-E'!C182+'DCA-Anexo I-E'!C181</f>
        <v>0</v>
      </c>
      <c r="D178" s="12">
        <f>+'DCA-Anexo I-E'!D179+'DCA-Anexo I-E'!D180+'DCA-Anexo I-E'!D182+'DCA-Anexo I-E'!D181</f>
        <v>0</v>
      </c>
      <c r="E178" s="12">
        <f>+'DCA-Anexo I-E'!E179+'DCA-Anexo I-E'!E180+'DCA-Anexo I-E'!E182+'DCA-Anexo I-E'!E181</f>
        <v>0</v>
      </c>
      <c r="F178" s="12">
        <f>+'DCA-Anexo I-E'!F179+'DCA-Anexo I-E'!F180+'DCA-Anexo I-E'!F182+'DCA-Anexo I-E'!F181</f>
        <v>0</v>
      </c>
    </row>
    <row r="179" spans="1:6" ht="12.75" customHeight="1">
      <c r="A179" s="3" t="s">
        <v>2693</v>
      </c>
      <c r="B179" s="11"/>
      <c r="C179" s="11"/>
      <c r="D179" s="11"/>
      <c r="E179" s="11"/>
      <c r="F179" s="11"/>
    </row>
    <row r="180" spans="1:6" ht="12.75" customHeight="1">
      <c r="A180" s="4" t="s">
        <v>2694</v>
      </c>
      <c r="B180" s="12"/>
      <c r="C180" s="12"/>
      <c r="D180" s="12"/>
      <c r="E180" s="12"/>
      <c r="F180" s="12"/>
    </row>
    <row r="181" spans="1:6" ht="12.75" customHeight="1">
      <c r="A181" s="3" t="s">
        <v>2695</v>
      </c>
      <c r="B181" s="11"/>
      <c r="C181" s="11"/>
      <c r="D181" s="11"/>
      <c r="E181" s="11"/>
      <c r="F181" s="11"/>
    </row>
    <row r="182" spans="1:6" ht="12.75" customHeight="1">
      <c r="A182" s="4" t="s">
        <v>2696</v>
      </c>
      <c r="B182" s="12"/>
      <c r="C182" s="12"/>
      <c r="D182" s="12"/>
      <c r="E182" s="12"/>
      <c r="F182" s="12"/>
    </row>
    <row r="183" spans="1:6" ht="12.75" customHeight="1">
      <c r="A183" s="3" t="s">
        <v>2697</v>
      </c>
      <c r="B183" s="11">
        <f>+'DCA-Anexo I-E'!B184+'DCA-Anexo I-E'!B185+'DCA-Anexo I-E'!B186+'DCA-Anexo I-E'!B187+'DCA-Anexo I-E'!B189+'DCA-Anexo I-E'!B188</f>
        <v>0</v>
      </c>
      <c r="C183" s="11">
        <f>+'DCA-Anexo I-E'!C184+'DCA-Anexo I-E'!C185+'DCA-Anexo I-E'!C186+'DCA-Anexo I-E'!C187+'DCA-Anexo I-E'!C189+'DCA-Anexo I-E'!C188</f>
        <v>0</v>
      </c>
      <c r="D183" s="11">
        <f>+'DCA-Anexo I-E'!D184+'DCA-Anexo I-E'!D185+'DCA-Anexo I-E'!D186+'DCA-Anexo I-E'!D187+'DCA-Anexo I-E'!D189+'DCA-Anexo I-E'!D188</f>
        <v>0</v>
      </c>
      <c r="E183" s="11">
        <f>+'DCA-Anexo I-E'!E184+'DCA-Anexo I-E'!E185+'DCA-Anexo I-E'!E186+'DCA-Anexo I-E'!E187+'DCA-Anexo I-E'!E189+'DCA-Anexo I-E'!E188</f>
        <v>0</v>
      </c>
      <c r="F183" s="11">
        <f>+'DCA-Anexo I-E'!F184+'DCA-Anexo I-E'!F185+'DCA-Anexo I-E'!F186+'DCA-Anexo I-E'!F187+'DCA-Anexo I-E'!F189+'DCA-Anexo I-E'!F188</f>
        <v>0</v>
      </c>
    </row>
    <row r="184" spans="1:6" ht="12.75" customHeight="1">
      <c r="A184" s="4" t="s">
        <v>2698</v>
      </c>
      <c r="B184" s="12"/>
      <c r="C184" s="12"/>
      <c r="D184" s="12"/>
      <c r="E184" s="12"/>
      <c r="F184" s="12"/>
    </row>
    <row r="185" spans="1:6" ht="12.75" customHeight="1">
      <c r="A185" s="3" t="s">
        <v>2699</v>
      </c>
      <c r="B185" s="11"/>
      <c r="C185" s="11"/>
      <c r="D185" s="11"/>
      <c r="E185" s="11"/>
      <c r="F185" s="11"/>
    </row>
    <row r="186" spans="1:6" ht="12.75" customHeight="1">
      <c r="A186" s="4" t="s">
        <v>2700</v>
      </c>
      <c r="B186" s="12"/>
      <c r="C186" s="12"/>
      <c r="D186" s="12"/>
      <c r="E186" s="12"/>
      <c r="F186" s="12"/>
    </row>
    <row r="187" spans="1:6" ht="12.75" customHeight="1">
      <c r="A187" s="3" t="s">
        <v>2701</v>
      </c>
      <c r="B187" s="11"/>
      <c r="C187" s="11"/>
      <c r="D187" s="11"/>
      <c r="E187" s="11"/>
      <c r="F187" s="11"/>
    </row>
    <row r="188" spans="1:6" ht="12.75" customHeight="1">
      <c r="A188" s="4" t="s">
        <v>2702</v>
      </c>
      <c r="B188" s="12"/>
      <c r="C188" s="12"/>
      <c r="D188" s="12"/>
      <c r="E188" s="12"/>
      <c r="F188" s="12"/>
    </row>
    <row r="189" spans="1:6" ht="12.75" customHeight="1">
      <c r="A189" s="3" t="s">
        <v>2703</v>
      </c>
      <c r="B189" s="11"/>
      <c r="C189" s="11"/>
      <c r="D189" s="11"/>
      <c r="E189" s="11"/>
      <c r="F189" s="11"/>
    </row>
    <row r="190" spans="1:6" ht="12.75" customHeight="1">
      <c r="A190" s="4" t="s">
        <v>2704</v>
      </c>
      <c r="B190" s="12">
        <f>+'DCA-Anexo I-E'!B191+'DCA-Anexo I-E'!B192+'DCA-Anexo I-E'!B193+'DCA-Anexo I-E'!B194+'DCA-Anexo I-E'!B195+'DCA-Anexo I-E'!B197+'DCA-Anexo I-E'!B196</f>
        <v>9658993.3200000003</v>
      </c>
      <c r="C190" s="12">
        <f>+'DCA-Anexo I-E'!C191+'DCA-Anexo I-E'!C192+'DCA-Anexo I-E'!C193+'DCA-Anexo I-E'!C194+'DCA-Anexo I-E'!C195+'DCA-Anexo I-E'!C197+'DCA-Anexo I-E'!C196</f>
        <v>9658993.3200000003</v>
      </c>
      <c r="D190" s="12">
        <f>+'DCA-Anexo I-E'!D191+'DCA-Anexo I-E'!D192+'DCA-Anexo I-E'!D193+'DCA-Anexo I-E'!D194+'DCA-Anexo I-E'!D195+'DCA-Anexo I-E'!D197+'DCA-Anexo I-E'!D196</f>
        <v>8127828.5099999998</v>
      </c>
      <c r="E190" s="12">
        <f>+'DCA-Anexo I-E'!E191+'DCA-Anexo I-E'!E192+'DCA-Anexo I-E'!E193+'DCA-Anexo I-E'!E194+'DCA-Anexo I-E'!E195+'DCA-Anexo I-E'!E197+'DCA-Anexo I-E'!E196</f>
        <v>0</v>
      </c>
      <c r="F190" s="12">
        <f>+'DCA-Anexo I-E'!F191+'DCA-Anexo I-E'!F192+'DCA-Anexo I-E'!F193+'DCA-Anexo I-E'!F194+'DCA-Anexo I-E'!F195+'DCA-Anexo I-E'!F197+'DCA-Anexo I-E'!F196</f>
        <v>1531164.81</v>
      </c>
    </row>
    <row r="191" spans="1:6" ht="12.75" customHeight="1">
      <c r="A191" s="3" t="s">
        <v>2705</v>
      </c>
      <c r="B191" s="11"/>
      <c r="C191" s="11"/>
      <c r="D191" s="11"/>
      <c r="E191" s="11"/>
      <c r="F191" s="11"/>
    </row>
    <row r="192" spans="1:6" ht="12.75" customHeight="1">
      <c r="A192" s="4" t="s">
        <v>2706</v>
      </c>
      <c r="B192" s="12">
        <v>9658993.3200000003</v>
      </c>
      <c r="C192" s="12">
        <v>9658993.3200000003</v>
      </c>
      <c r="D192" s="12">
        <v>8127828.5099999998</v>
      </c>
      <c r="E192" s="12"/>
      <c r="F192" s="12">
        <v>1531164.81</v>
      </c>
    </row>
    <row r="193" spans="1:6" ht="12.75" customHeight="1">
      <c r="A193" s="3" t="s">
        <v>2707</v>
      </c>
      <c r="B193" s="11"/>
      <c r="C193" s="11"/>
      <c r="D193" s="11"/>
      <c r="E193" s="11"/>
      <c r="F193" s="11"/>
    </row>
    <row r="194" spans="1:6" ht="12.75" customHeight="1">
      <c r="A194" s="4" t="s">
        <v>2708</v>
      </c>
      <c r="B194" s="12"/>
      <c r="C194" s="12"/>
      <c r="D194" s="12"/>
      <c r="E194" s="12"/>
      <c r="F194" s="12"/>
    </row>
    <row r="195" spans="1:6" ht="12.75" customHeight="1">
      <c r="A195" s="3" t="s">
        <v>2709</v>
      </c>
      <c r="B195" s="11"/>
      <c r="C195" s="11"/>
      <c r="D195" s="11"/>
      <c r="E195" s="11"/>
      <c r="F195" s="11"/>
    </row>
    <row r="196" spans="1:6" ht="12.75" customHeight="1">
      <c r="A196" s="4" t="s">
        <v>2710</v>
      </c>
      <c r="B196" s="12"/>
      <c r="C196" s="12"/>
      <c r="D196" s="12"/>
      <c r="E196" s="12"/>
      <c r="F196" s="12"/>
    </row>
    <row r="197" spans="1:6" ht="12.75" customHeight="1">
      <c r="A197" s="3" t="s">
        <v>2711</v>
      </c>
      <c r="B197" s="11"/>
      <c r="C197" s="11"/>
      <c r="D197" s="11"/>
      <c r="E197" s="11"/>
      <c r="F197" s="11"/>
    </row>
    <row r="198" spans="1:6" ht="12.75" customHeight="1">
      <c r="A198" s="4" t="s">
        <v>2712</v>
      </c>
      <c r="B198" s="12">
        <f>+'DCA-Anexo I-E'!B199+'DCA-Anexo I-E'!B200+'DCA-Anexo I-E'!B201+'DCA-Anexo I-E'!B203+'DCA-Anexo I-E'!B202</f>
        <v>976165.57</v>
      </c>
      <c r="C198" s="12">
        <f>+'DCA-Anexo I-E'!C199+'DCA-Anexo I-E'!C200+'DCA-Anexo I-E'!C201+'DCA-Anexo I-E'!C203+'DCA-Anexo I-E'!C202</f>
        <v>976165.57</v>
      </c>
      <c r="D198" s="12">
        <f>+'DCA-Anexo I-E'!D199+'DCA-Anexo I-E'!D200+'DCA-Anexo I-E'!D201+'DCA-Anexo I-E'!D203+'DCA-Anexo I-E'!D202</f>
        <v>904872.86</v>
      </c>
      <c r="E198" s="12">
        <f>+'DCA-Anexo I-E'!E199+'DCA-Anexo I-E'!E200+'DCA-Anexo I-E'!E201+'DCA-Anexo I-E'!E203+'DCA-Anexo I-E'!E202</f>
        <v>0</v>
      </c>
      <c r="F198" s="12">
        <f>+'DCA-Anexo I-E'!F199+'DCA-Anexo I-E'!F200+'DCA-Anexo I-E'!F201+'DCA-Anexo I-E'!F203+'DCA-Anexo I-E'!F202</f>
        <v>71292.710000000006</v>
      </c>
    </row>
    <row r="199" spans="1:6" ht="12.75" customHeight="1">
      <c r="A199" s="3" t="s">
        <v>2713</v>
      </c>
      <c r="B199" s="11"/>
      <c r="C199" s="11"/>
      <c r="D199" s="11"/>
      <c r="E199" s="11"/>
      <c r="F199" s="11"/>
    </row>
    <row r="200" spans="1:6" ht="12.75" customHeight="1">
      <c r="A200" s="4" t="s">
        <v>2714</v>
      </c>
      <c r="B200" s="12">
        <v>976165.57</v>
      </c>
      <c r="C200" s="12">
        <v>976165.57</v>
      </c>
      <c r="D200" s="12">
        <v>904872.86</v>
      </c>
      <c r="E200" s="12"/>
      <c r="F200" s="12">
        <v>71292.710000000006</v>
      </c>
    </row>
    <row r="201" spans="1:6" ht="12.75" customHeight="1">
      <c r="A201" s="3" t="s">
        <v>2715</v>
      </c>
      <c r="B201" s="11"/>
      <c r="C201" s="11"/>
      <c r="D201" s="11"/>
      <c r="E201" s="11"/>
      <c r="F201" s="11"/>
    </row>
    <row r="202" spans="1:6" ht="12.75" customHeight="1">
      <c r="A202" s="4" t="s">
        <v>2716</v>
      </c>
      <c r="B202" s="12"/>
      <c r="C202" s="12"/>
      <c r="D202" s="12"/>
      <c r="E202" s="12"/>
      <c r="F202" s="12"/>
    </row>
    <row r="203" spans="1:6" ht="12.75" customHeight="1">
      <c r="A203" s="3" t="s">
        <v>2717</v>
      </c>
      <c r="B203" s="11"/>
      <c r="C203" s="11"/>
      <c r="D203" s="11"/>
      <c r="E203" s="11"/>
      <c r="F203" s="11"/>
    </row>
    <row r="204" spans="1:6" ht="12.75" customHeight="1">
      <c r="A204" s="4" t="s">
        <v>2718</v>
      </c>
      <c r="B204" s="12">
        <f>+'DCA-Anexo I-E'!B205+'DCA-Anexo I-E'!B206+'DCA-Anexo I-E'!B207+'DCA-Anexo I-E'!B208+'DCA-Anexo I-E'!B209+'DCA-Anexo I-E'!B210+'DCA-Anexo I-E'!B211+'DCA-Anexo I-E'!B212</f>
        <v>0</v>
      </c>
      <c r="C204" s="12">
        <f>+'DCA-Anexo I-E'!C205+'DCA-Anexo I-E'!C206+'DCA-Anexo I-E'!C207+'DCA-Anexo I-E'!C208+'DCA-Anexo I-E'!C209+'DCA-Anexo I-E'!C210+'DCA-Anexo I-E'!C211+'DCA-Anexo I-E'!C212</f>
        <v>0</v>
      </c>
      <c r="D204" s="12">
        <f>+'DCA-Anexo I-E'!D205+'DCA-Anexo I-E'!D206+'DCA-Anexo I-E'!D207+'DCA-Anexo I-E'!D208+'DCA-Anexo I-E'!D209+'DCA-Anexo I-E'!D210+'DCA-Anexo I-E'!D211+'DCA-Anexo I-E'!D212</f>
        <v>0</v>
      </c>
      <c r="E204" s="12">
        <f>+'DCA-Anexo I-E'!E205+'DCA-Anexo I-E'!E206+'DCA-Anexo I-E'!E207+'DCA-Anexo I-E'!E208+'DCA-Anexo I-E'!E209+'DCA-Anexo I-E'!E210+'DCA-Anexo I-E'!E211+'DCA-Anexo I-E'!E212</f>
        <v>0</v>
      </c>
      <c r="F204" s="12">
        <f>+'DCA-Anexo I-E'!F205+'DCA-Anexo I-E'!F206+'DCA-Anexo I-E'!F207+'DCA-Anexo I-E'!F208+'DCA-Anexo I-E'!F209+'DCA-Anexo I-E'!F210+'DCA-Anexo I-E'!F211+'DCA-Anexo I-E'!F212</f>
        <v>0</v>
      </c>
    </row>
    <row r="205" spans="1:6" ht="12.75" customHeight="1">
      <c r="A205" s="3" t="s">
        <v>2719</v>
      </c>
      <c r="B205" s="11"/>
      <c r="C205" s="11"/>
      <c r="D205" s="11"/>
      <c r="E205" s="11"/>
      <c r="F205" s="11"/>
    </row>
    <row r="206" spans="1:6" ht="12.75" customHeight="1">
      <c r="A206" s="4" t="s">
        <v>2720</v>
      </c>
      <c r="B206" s="12"/>
      <c r="C206" s="12"/>
      <c r="D206" s="12"/>
      <c r="E206" s="12"/>
      <c r="F206" s="12"/>
    </row>
    <row r="207" spans="1:6" ht="12.75" customHeight="1">
      <c r="A207" s="3" t="s">
        <v>2721</v>
      </c>
      <c r="B207" s="11"/>
      <c r="C207" s="11"/>
      <c r="D207" s="11"/>
      <c r="E207" s="11"/>
      <c r="F207" s="11"/>
    </row>
    <row r="208" spans="1:6" ht="12.75" customHeight="1">
      <c r="A208" s="4" t="s">
        <v>2722</v>
      </c>
      <c r="B208" s="12"/>
      <c r="C208" s="12"/>
      <c r="D208" s="12"/>
      <c r="E208" s="12"/>
      <c r="F208" s="12"/>
    </row>
    <row r="209" spans="1:6" ht="12.75" customHeight="1">
      <c r="A209" s="3" t="s">
        <v>2723</v>
      </c>
      <c r="B209" s="11"/>
      <c r="C209" s="11"/>
      <c r="D209" s="11"/>
      <c r="E209" s="11"/>
      <c r="F209" s="11"/>
    </row>
    <row r="210" spans="1:6" ht="12.75" customHeight="1">
      <c r="A210" s="4" t="s">
        <v>2724</v>
      </c>
      <c r="B210" s="12"/>
      <c r="C210" s="12"/>
      <c r="D210" s="12"/>
      <c r="E210" s="12"/>
      <c r="F210" s="12"/>
    </row>
    <row r="211" spans="1:6" ht="12.75" customHeight="1">
      <c r="A211" s="3" t="s">
        <v>2725</v>
      </c>
      <c r="B211" s="11"/>
      <c r="C211" s="11"/>
      <c r="D211" s="11"/>
      <c r="E211" s="11"/>
      <c r="F211" s="11"/>
    </row>
    <row r="212" spans="1:6" ht="12.75" customHeight="1">
      <c r="A212" s="4" t="s">
        <v>2726</v>
      </c>
      <c r="B212" s="12"/>
      <c r="C212" s="12"/>
      <c r="D212" s="12"/>
      <c r="E212" s="12"/>
      <c r="F212" s="12"/>
    </row>
    <row r="213" spans="1:6" ht="12.75" customHeight="1">
      <c r="A213" s="3" t="s">
        <v>2727</v>
      </c>
      <c r="B213" s="11"/>
      <c r="C213" s="11"/>
      <c r="D213" s="11"/>
      <c r="E213" s="11"/>
      <c r="F213" s="11"/>
    </row>
    <row r="216" spans="1:6" ht="12.75" customHeight="1">
      <c r="A216" s="7" t="s">
        <v>2529</v>
      </c>
    </row>
    <row r="217" spans="1:6" ht="12.75" customHeight="1">
      <c r="A217" s="7" t="s">
        <v>2728</v>
      </c>
    </row>
    <row r="218" spans="1:6" ht="12.75" customHeight="1">
      <c r="A218" s="7" t="s">
        <v>12</v>
      </c>
    </row>
    <row r="219" spans="1:6" ht="30" customHeight="1">
      <c r="A219" s="21" t="s">
        <v>2729</v>
      </c>
      <c r="B219" s="21" t="s">
        <v>14</v>
      </c>
    </row>
    <row r="220" spans="1:6" ht="30" customHeight="1">
      <c r="A220" s="22"/>
      <c r="B220" s="21" t="s">
        <v>15</v>
      </c>
    </row>
    <row r="221" spans="1:6" ht="12.75" customHeight="1">
      <c r="A221" s="3" t="s">
        <v>2729</v>
      </c>
      <c r="B221" s="5"/>
    </row>
    <row r="222" spans="1:6" ht="300" customHeight="1">
      <c r="A222" s="4" t="s">
        <v>1086</v>
      </c>
      <c r="B222" s="13"/>
    </row>
  </sheetData>
  <sheetProtection password="9C88" sheet="1" objects="1" scenarios="1"/>
  <mergeCells count="10">
    <mergeCell ref="A219:A220"/>
    <mergeCell ref="B219"/>
    <mergeCell ref="B220"/>
    <mergeCell ref="A17:A18"/>
    <mergeCell ref="B17:F17"/>
    <mergeCell ref="B18"/>
    <mergeCell ref="C18"/>
    <mergeCell ref="D18"/>
    <mergeCell ref="E18"/>
    <mergeCell ref="F18"/>
  </mergeCells>
  <pageMargins left="0.78740157499999996" right="0.78740157499999996" top="0.984251969" bottom="0.984251969" header="0.5" footer="0.5"/>
  <pageSetup orientation="portrait" horizontalDpi="300" verticalDpi="300"/>
  <headerFooter alignWithMargins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4D866-A0A1-421E-B5DE-0A6E02165D26}">
  <dimension ref="A1:J389"/>
  <sheetViews>
    <sheetView showGridLines="0" topLeftCell="A15" zoomScale="90" zoomScaleNormal="90" workbookViewId="0">
      <pane xSplit="1" topLeftCell="B1" activePane="topRight" state="frozen"/>
      <selection pane="topRight" activeCell="B20" sqref="B20"/>
    </sheetView>
  </sheetViews>
  <sheetFormatPr defaultRowHeight="13.2"/>
  <cols>
    <col min="1" max="1" width="86" customWidth="1"/>
    <col min="2" max="8" width="40" customWidth="1"/>
    <col min="9" max="9" width="35.5546875" customWidth="1"/>
    <col min="10" max="10" width="40" customWidth="1"/>
  </cols>
  <sheetData>
    <row r="1" spans="1:5" ht="74.099999999999994" customHeight="1">
      <c r="A1" s="8"/>
    </row>
    <row r="2" spans="1:5">
      <c r="A2" s="17" t="s">
        <v>0</v>
      </c>
    </row>
    <row r="3" spans="1:5" ht="20.100000000000001" customHeight="1">
      <c r="A3" s="1" t="s">
        <v>1</v>
      </c>
    </row>
    <row r="4" spans="1:5" ht="20.100000000000001" customHeight="1">
      <c r="A4" s="1" t="s">
        <v>2</v>
      </c>
    </row>
    <row r="5" spans="1:5" ht="20.100000000000001" customHeight="1">
      <c r="A5" s="1" t="s">
        <v>3</v>
      </c>
      <c r="E5" s="10"/>
    </row>
    <row r="7" spans="1:5">
      <c r="A7" s="2" t="s">
        <v>4</v>
      </c>
    </row>
    <row r="8" spans="1:5">
      <c r="A8" s="2" t="s">
        <v>5</v>
      </c>
    </row>
    <row r="9" spans="1:5">
      <c r="A9" s="2" t="s">
        <v>6</v>
      </c>
    </row>
    <row r="10" spans="1:5">
      <c r="A10" s="2" t="s">
        <v>7</v>
      </c>
    </row>
    <row r="11" spans="1:5">
      <c r="A11" s="2" t="s">
        <v>8</v>
      </c>
    </row>
    <row r="12" spans="1:5">
      <c r="A12" s="2" t="s">
        <v>9</v>
      </c>
    </row>
    <row r="14" spans="1:5" ht="25.5" customHeight="1">
      <c r="A14" s="7" t="s">
        <v>2730</v>
      </c>
    </row>
    <row r="15" spans="1:5" ht="12.75" customHeight="1">
      <c r="A15" s="7" t="s">
        <v>2158</v>
      </c>
    </row>
    <row r="16" spans="1:5" ht="12.75" customHeight="1">
      <c r="A16" s="7" t="s">
        <v>12</v>
      </c>
    </row>
    <row r="17" spans="1:10" ht="30" customHeight="1">
      <c r="A17" s="21" t="s">
        <v>2159</v>
      </c>
      <c r="B17" s="21" t="s">
        <v>2160</v>
      </c>
      <c r="C17" s="21"/>
      <c r="D17" s="21"/>
      <c r="E17" s="21"/>
      <c r="F17" s="21"/>
      <c r="G17" s="21"/>
      <c r="H17" s="21"/>
      <c r="I17" s="21"/>
      <c r="J17" s="21"/>
    </row>
    <row r="18" spans="1:10" ht="30" customHeight="1">
      <c r="A18" s="22"/>
      <c r="B18" s="21" t="s">
        <v>2731</v>
      </c>
      <c r="C18" s="21" t="s">
        <v>2732</v>
      </c>
      <c r="D18" s="21" t="s">
        <v>2733</v>
      </c>
      <c r="E18" s="21" t="s">
        <v>2734</v>
      </c>
      <c r="F18" s="21" t="s">
        <v>2735</v>
      </c>
      <c r="G18" s="21" t="s">
        <v>2736</v>
      </c>
      <c r="H18" s="21" t="s">
        <v>2737</v>
      </c>
      <c r="I18" s="21" t="s">
        <v>2738</v>
      </c>
      <c r="J18" s="21" t="s">
        <v>2739</v>
      </c>
    </row>
    <row r="19" spans="1:10" ht="12.75" customHeight="1">
      <c r="A19" s="3" t="s">
        <v>2159</v>
      </c>
      <c r="B19" s="5"/>
      <c r="C19" s="5"/>
      <c r="D19" s="5"/>
      <c r="E19" s="5"/>
      <c r="F19" s="5"/>
      <c r="G19" s="5"/>
      <c r="H19" s="5"/>
      <c r="I19" s="5"/>
      <c r="J19" s="5"/>
    </row>
    <row r="20" spans="1:10" ht="12.75" customHeight="1">
      <c r="A20" s="4" t="s">
        <v>2740</v>
      </c>
      <c r="B20" s="12">
        <f>+'DCA-Anexo I-F'!B21+'DCA-Anexo I-F'!B235</f>
        <v>62175.76</v>
      </c>
      <c r="C20" s="12">
        <f>+'DCA-Anexo I-F'!C21+'DCA-Anexo I-F'!C235</f>
        <v>20650.400000000001</v>
      </c>
      <c r="D20" s="12">
        <f>+'DCA-Anexo I-F'!D21+'DCA-Anexo I-F'!D235</f>
        <v>20650.400000000001</v>
      </c>
      <c r="E20" s="12">
        <f>+'DCA-Anexo I-F'!E21+'DCA-Anexo I-F'!E235</f>
        <v>20650.400000000001</v>
      </c>
      <c r="F20" s="12">
        <f>+'DCA-Anexo I-F'!F21+'DCA-Anexo I-F'!F235</f>
        <v>0</v>
      </c>
      <c r="G20" s="12">
        <f>+'DCA-Anexo I-F'!G21+'DCA-Anexo I-F'!G235</f>
        <v>678963.1</v>
      </c>
      <c r="H20" s="12">
        <f>+'DCA-Anexo I-F'!H21+'DCA-Anexo I-F'!H235</f>
        <v>513963.83999999997</v>
      </c>
      <c r="I20" s="12">
        <f>+'DCA-Anexo I-F'!I21+'DCA-Anexo I-F'!I235</f>
        <v>511422.29</v>
      </c>
      <c r="J20" s="12">
        <f>+'DCA-Anexo I-F'!J21+'DCA-Anexo I-F'!J235</f>
        <v>0</v>
      </c>
    </row>
    <row r="21" spans="1:10" ht="12.75" customHeight="1">
      <c r="A21" s="3" t="s">
        <v>2167</v>
      </c>
      <c r="B21" s="11">
        <f>+'DCA-Anexo I-F'!B22+'DCA-Anexo I-F'!B145+'DCA-Anexo I-F'!B103</f>
        <v>54275.76</v>
      </c>
      <c r="C21" s="11">
        <f>+'DCA-Anexo I-F'!C22+'DCA-Anexo I-F'!C145+'DCA-Anexo I-F'!C103</f>
        <v>20650.400000000001</v>
      </c>
      <c r="D21" s="11">
        <f>+'DCA-Anexo I-F'!D22+'DCA-Anexo I-F'!D145+'DCA-Anexo I-F'!D103</f>
        <v>20650.400000000001</v>
      </c>
      <c r="E21" s="11">
        <f>+'DCA-Anexo I-F'!E22+'DCA-Anexo I-F'!E145+'DCA-Anexo I-F'!E103</f>
        <v>20650.400000000001</v>
      </c>
      <c r="F21" s="11">
        <f>+'DCA-Anexo I-F'!F22+'DCA-Anexo I-F'!F145+'DCA-Anexo I-F'!F103</f>
        <v>0</v>
      </c>
      <c r="G21" s="11">
        <f>+'DCA-Anexo I-F'!G22+'DCA-Anexo I-F'!G145+'DCA-Anexo I-F'!G103</f>
        <v>636396.89</v>
      </c>
      <c r="H21" s="11">
        <f>+'DCA-Anexo I-F'!H22+'DCA-Anexo I-F'!H145+'DCA-Anexo I-F'!H103</f>
        <v>331717.08999999997</v>
      </c>
      <c r="I21" s="11">
        <f>+'DCA-Anexo I-F'!I22+'DCA-Anexo I-F'!I145+'DCA-Anexo I-F'!I103</f>
        <v>329175.53999999998</v>
      </c>
      <c r="J21" s="11">
        <f>+'DCA-Anexo I-F'!J22+'DCA-Anexo I-F'!J145+'DCA-Anexo I-F'!J103</f>
        <v>0</v>
      </c>
    </row>
    <row r="22" spans="1:10" ht="12.75" customHeight="1">
      <c r="A22" s="4" t="s">
        <v>2168</v>
      </c>
      <c r="B22" s="12">
        <f>+'DCA-Anexo I-F'!B101+'DCA-Anexo I-F'!B30+'DCA-Anexo I-F'!B39+'DCA-Anexo I-F'!B75+'DCA-Anexo I-F'!B26+'DCA-Anexo I-F'!B34+'DCA-Anexo I-F'!B102+'DCA-Anexo I-F'!B44+'DCA-Anexo I-F'!B24+'DCA-Anexo I-F'!B29+'DCA-Anexo I-F'!B25+'DCA-Anexo I-F'!B37+'DCA-Anexo I-F'!B28+'DCA-Anexo I-F'!B27+'DCA-Anexo I-F'!B42+'DCA-Anexo I-F'!B43+'DCA-Anexo I-F'!B99+'DCA-Anexo I-F'!B46+'DCA-Anexo I-F'!B32+'DCA-Anexo I-F'!B100+'DCA-Anexo I-F'!B35+'DCA-Anexo I-F'!B23+'DCA-Anexo I-F'!B41+'DCA-Anexo I-F'!B38+'DCA-Anexo I-F'!B98+'DCA-Anexo I-F'!B31+'DCA-Anexo I-F'!B33+'DCA-Anexo I-F'!B36+'DCA-Anexo I-F'!B45+'DCA-Anexo I-F'!B40+'DCA-Anexo I-F'!B97</f>
        <v>0</v>
      </c>
      <c r="C22" s="12">
        <f>+'DCA-Anexo I-F'!C101+'DCA-Anexo I-F'!C30+'DCA-Anexo I-F'!C39+'DCA-Anexo I-F'!C75+'DCA-Anexo I-F'!C26+'DCA-Anexo I-F'!C34+'DCA-Anexo I-F'!C102+'DCA-Anexo I-F'!C44+'DCA-Anexo I-F'!C24+'DCA-Anexo I-F'!C29+'DCA-Anexo I-F'!C25+'DCA-Anexo I-F'!C37+'DCA-Anexo I-F'!C28+'DCA-Anexo I-F'!C27+'DCA-Anexo I-F'!C42+'DCA-Anexo I-F'!C43+'DCA-Anexo I-F'!C99+'DCA-Anexo I-F'!C46+'DCA-Anexo I-F'!C32+'DCA-Anexo I-F'!C100+'DCA-Anexo I-F'!C35+'DCA-Anexo I-F'!C23+'DCA-Anexo I-F'!C41+'DCA-Anexo I-F'!C38+'DCA-Anexo I-F'!C98+'DCA-Anexo I-F'!C31+'DCA-Anexo I-F'!C33+'DCA-Anexo I-F'!C36+'DCA-Anexo I-F'!C45+'DCA-Anexo I-F'!C40+'DCA-Anexo I-F'!C97</f>
        <v>0</v>
      </c>
      <c r="D22" s="12">
        <f>+'DCA-Anexo I-F'!D101+'DCA-Anexo I-F'!D30+'DCA-Anexo I-F'!D39+'DCA-Anexo I-F'!D75+'DCA-Anexo I-F'!D26+'DCA-Anexo I-F'!D34+'DCA-Anexo I-F'!D102+'DCA-Anexo I-F'!D44+'DCA-Anexo I-F'!D24+'DCA-Anexo I-F'!D29+'DCA-Anexo I-F'!D25+'DCA-Anexo I-F'!D37+'DCA-Anexo I-F'!D28+'DCA-Anexo I-F'!D27+'DCA-Anexo I-F'!D42+'DCA-Anexo I-F'!D43+'DCA-Anexo I-F'!D99+'DCA-Anexo I-F'!D46+'DCA-Anexo I-F'!D32+'DCA-Anexo I-F'!D100+'DCA-Anexo I-F'!D35+'DCA-Anexo I-F'!D23+'DCA-Anexo I-F'!D41+'DCA-Anexo I-F'!D38+'DCA-Anexo I-F'!D98+'DCA-Anexo I-F'!D31+'DCA-Anexo I-F'!D33+'DCA-Anexo I-F'!D36+'DCA-Anexo I-F'!D45+'DCA-Anexo I-F'!D40+'DCA-Anexo I-F'!D97</f>
        <v>0</v>
      </c>
      <c r="E22" s="12">
        <f>+'DCA-Anexo I-F'!E101+'DCA-Anexo I-F'!E30+'DCA-Anexo I-F'!E39+'DCA-Anexo I-F'!E75+'DCA-Anexo I-F'!E26+'DCA-Anexo I-F'!E34+'DCA-Anexo I-F'!E102+'DCA-Anexo I-F'!E44+'DCA-Anexo I-F'!E24+'DCA-Anexo I-F'!E29+'DCA-Anexo I-F'!E25+'DCA-Anexo I-F'!E37+'DCA-Anexo I-F'!E28+'DCA-Anexo I-F'!E27+'DCA-Anexo I-F'!E42+'DCA-Anexo I-F'!E43+'DCA-Anexo I-F'!E99+'DCA-Anexo I-F'!E46+'DCA-Anexo I-F'!E32+'DCA-Anexo I-F'!E100+'DCA-Anexo I-F'!E35+'DCA-Anexo I-F'!E23+'DCA-Anexo I-F'!E41+'DCA-Anexo I-F'!E38+'DCA-Anexo I-F'!E98+'DCA-Anexo I-F'!E31+'DCA-Anexo I-F'!E33+'DCA-Anexo I-F'!E36+'DCA-Anexo I-F'!E45+'DCA-Anexo I-F'!E40+'DCA-Anexo I-F'!E97</f>
        <v>0</v>
      </c>
      <c r="F22" s="12">
        <f>+'DCA-Anexo I-F'!F101+'DCA-Anexo I-F'!F30+'DCA-Anexo I-F'!F39+'DCA-Anexo I-F'!F75+'DCA-Anexo I-F'!F26+'DCA-Anexo I-F'!F34+'DCA-Anexo I-F'!F102+'DCA-Anexo I-F'!F44+'DCA-Anexo I-F'!F24+'DCA-Anexo I-F'!F29+'DCA-Anexo I-F'!F25+'DCA-Anexo I-F'!F37+'DCA-Anexo I-F'!F28+'DCA-Anexo I-F'!F27+'DCA-Anexo I-F'!F42+'DCA-Anexo I-F'!F43+'DCA-Anexo I-F'!F99+'DCA-Anexo I-F'!F46+'DCA-Anexo I-F'!F32+'DCA-Anexo I-F'!F100+'DCA-Anexo I-F'!F35+'DCA-Anexo I-F'!F23+'DCA-Anexo I-F'!F41+'DCA-Anexo I-F'!F38+'DCA-Anexo I-F'!F98+'DCA-Anexo I-F'!F31+'DCA-Anexo I-F'!F33+'DCA-Anexo I-F'!F36+'DCA-Anexo I-F'!F45+'DCA-Anexo I-F'!F40+'DCA-Anexo I-F'!F97</f>
        <v>0</v>
      </c>
      <c r="G22" s="12">
        <f>+'DCA-Anexo I-F'!G101+'DCA-Anexo I-F'!G30+'DCA-Anexo I-F'!G39+'DCA-Anexo I-F'!G75+'DCA-Anexo I-F'!G26+'DCA-Anexo I-F'!G34+'DCA-Anexo I-F'!G102+'DCA-Anexo I-F'!G44+'DCA-Anexo I-F'!G24+'DCA-Anexo I-F'!G29+'DCA-Anexo I-F'!G25+'DCA-Anexo I-F'!G37+'DCA-Anexo I-F'!G28+'DCA-Anexo I-F'!G27+'DCA-Anexo I-F'!G42+'DCA-Anexo I-F'!G43+'DCA-Anexo I-F'!G99+'DCA-Anexo I-F'!G46+'DCA-Anexo I-F'!G32+'DCA-Anexo I-F'!G100+'DCA-Anexo I-F'!G35+'DCA-Anexo I-F'!G23+'DCA-Anexo I-F'!G41+'DCA-Anexo I-F'!G38+'DCA-Anexo I-F'!G98+'DCA-Anexo I-F'!G31+'DCA-Anexo I-F'!G33+'DCA-Anexo I-F'!G36+'DCA-Anexo I-F'!G45+'DCA-Anexo I-F'!G40+'DCA-Anexo I-F'!G97</f>
        <v>7130.4</v>
      </c>
      <c r="H22" s="12">
        <f>+'DCA-Anexo I-F'!H101+'DCA-Anexo I-F'!H30+'DCA-Anexo I-F'!H39+'DCA-Anexo I-F'!H75+'DCA-Anexo I-F'!H26+'DCA-Anexo I-F'!H34+'DCA-Anexo I-F'!H102+'DCA-Anexo I-F'!H44+'DCA-Anexo I-F'!H24+'DCA-Anexo I-F'!H29+'DCA-Anexo I-F'!H25+'DCA-Anexo I-F'!H37+'DCA-Anexo I-F'!H28+'DCA-Anexo I-F'!H27+'DCA-Anexo I-F'!H42+'DCA-Anexo I-F'!H43+'DCA-Anexo I-F'!H99+'DCA-Anexo I-F'!H46+'DCA-Anexo I-F'!H32+'DCA-Anexo I-F'!H100+'DCA-Anexo I-F'!H35+'DCA-Anexo I-F'!H23+'DCA-Anexo I-F'!H41+'DCA-Anexo I-F'!H38+'DCA-Anexo I-F'!H98+'DCA-Anexo I-F'!H31+'DCA-Anexo I-F'!H33+'DCA-Anexo I-F'!H36+'DCA-Anexo I-F'!H45+'DCA-Anexo I-F'!H40+'DCA-Anexo I-F'!H97</f>
        <v>75981.929999999993</v>
      </c>
      <c r="I22" s="12">
        <f>+'DCA-Anexo I-F'!I101+'DCA-Anexo I-F'!I30+'DCA-Anexo I-F'!I39+'DCA-Anexo I-F'!I75+'DCA-Anexo I-F'!I26+'DCA-Anexo I-F'!I34+'DCA-Anexo I-F'!I102+'DCA-Anexo I-F'!I44+'DCA-Anexo I-F'!I24+'DCA-Anexo I-F'!I29+'DCA-Anexo I-F'!I25+'DCA-Anexo I-F'!I37+'DCA-Anexo I-F'!I28+'DCA-Anexo I-F'!I27+'DCA-Anexo I-F'!I42+'DCA-Anexo I-F'!I43+'DCA-Anexo I-F'!I99+'DCA-Anexo I-F'!I46+'DCA-Anexo I-F'!I32+'DCA-Anexo I-F'!I100+'DCA-Anexo I-F'!I35+'DCA-Anexo I-F'!I23+'DCA-Anexo I-F'!I41+'DCA-Anexo I-F'!I38+'DCA-Anexo I-F'!I98+'DCA-Anexo I-F'!I31+'DCA-Anexo I-F'!I33+'DCA-Anexo I-F'!I36+'DCA-Anexo I-F'!I45+'DCA-Anexo I-F'!I40+'DCA-Anexo I-F'!I97</f>
        <v>75981.929999999993</v>
      </c>
      <c r="J22" s="12">
        <f>+'DCA-Anexo I-F'!J101+'DCA-Anexo I-F'!J30+'DCA-Anexo I-F'!J39+'DCA-Anexo I-F'!J75+'DCA-Anexo I-F'!J26+'DCA-Anexo I-F'!J34+'DCA-Anexo I-F'!J102+'DCA-Anexo I-F'!J44+'DCA-Anexo I-F'!J24+'DCA-Anexo I-F'!J29+'DCA-Anexo I-F'!J25+'DCA-Anexo I-F'!J37+'DCA-Anexo I-F'!J28+'DCA-Anexo I-F'!J27+'DCA-Anexo I-F'!J42+'DCA-Anexo I-F'!J43+'DCA-Anexo I-F'!J99+'DCA-Anexo I-F'!J46+'DCA-Anexo I-F'!J32+'DCA-Anexo I-F'!J100+'DCA-Anexo I-F'!J35+'DCA-Anexo I-F'!J23+'DCA-Anexo I-F'!J41+'DCA-Anexo I-F'!J38+'DCA-Anexo I-F'!J98+'DCA-Anexo I-F'!J31+'DCA-Anexo I-F'!J33+'DCA-Anexo I-F'!J36+'DCA-Anexo I-F'!J45+'DCA-Anexo I-F'!J40+'DCA-Anexo I-F'!J97</f>
        <v>0</v>
      </c>
    </row>
    <row r="23" spans="1:10" ht="12.75" customHeight="1">
      <c r="A23" s="3" t="s">
        <v>2169</v>
      </c>
      <c r="B23" s="11"/>
      <c r="C23" s="11"/>
      <c r="D23" s="11"/>
      <c r="E23" s="11"/>
      <c r="F23" s="11"/>
      <c r="G23" s="11"/>
      <c r="H23" s="11"/>
      <c r="I23" s="11"/>
      <c r="J23" s="11"/>
    </row>
    <row r="24" spans="1:10" ht="12.75" customHeight="1">
      <c r="A24" s="4" t="s">
        <v>2170</v>
      </c>
      <c r="B24" s="12"/>
      <c r="C24" s="12"/>
      <c r="D24" s="12"/>
      <c r="E24" s="12"/>
      <c r="F24" s="12"/>
      <c r="G24" s="12"/>
      <c r="H24" s="12"/>
      <c r="I24" s="12"/>
      <c r="J24" s="12"/>
    </row>
    <row r="25" spans="1:10" ht="12.75" customHeight="1">
      <c r="A25" s="3" t="s">
        <v>2171</v>
      </c>
      <c r="B25" s="11"/>
      <c r="C25" s="11"/>
      <c r="D25" s="11"/>
      <c r="E25" s="11"/>
      <c r="F25" s="11"/>
      <c r="G25" s="11"/>
      <c r="H25" s="11"/>
      <c r="I25" s="11"/>
      <c r="J25" s="11"/>
    </row>
    <row r="26" spans="1:10" ht="25.5" customHeight="1">
      <c r="A26" s="4" t="s">
        <v>2172</v>
      </c>
      <c r="B26" s="12"/>
      <c r="C26" s="12"/>
      <c r="D26" s="12"/>
      <c r="E26" s="12"/>
      <c r="F26" s="12"/>
      <c r="G26" s="12"/>
      <c r="H26" s="12"/>
      <c r="I26" s="12"/>
      <c r="J26" s="12"/>
    </row>
    <row r="27" spans="1:10" ht="25.5" customHeight="1">
      <c r="A27" s="3" t="s">
        <v>2173</v>
      </c>
      <c r="B27" s="11"/>
      <c r="C27" s="11"/>
      <c r="D27" s="11"/>
      <c r="E27" s="11"/>
      <c r="F27" s="11"/>
      <c r="G27" s="11"/>
      <c r="H27" s="11"/>
      <c r="I27" s="11"/>
      <c r="J27" s="11"/>
    </row>
    <row r="28" spans="1:10" ht="38.25" customHeight="1">
      <c r="A28" s="4" t="s">
        <v>2174</v>
      </c>
      <c r="B28" s="12"/>
      <c r="C28" s="12"/>
      <c r="D28" s="12"/>
      <c r="E28" s="12"/>
      <c r="F28" s="12"/>
      <c r="G28" s="12"/>
      <c r="H28" s="12"/>
      <c r="I28" s="12"/>
      <c r="J28" s="12"/>
    </row>
    <row r="29" spans="1:10" ht="51" customHeight="1">
      <c r="A29" s="3" t="s">
        <v>2175</v>
      </c>
      <c r="B29" s="11"/>
      <c r="C29" s="11"/>
      <c r="D29" s="11"/>
      <c r="E29" s="11"/>
      <c r="F29" s="11"/>
      <c r="G29" s="11"/>
      <c r="H29" s="11"/>
      <c r="I29" s="11"/>
      <c r="J29" s="11"/>
    </row>
    <row r="30" spans="1:10" ht="12.75" customHeight="1">
      <c r="A30" s="4" t="s">
        <v>2176</v>
      </c>
      <c r="B30" s="12"/>
      <c r="C30" s="12"/>
      <c r="D30" s="12"/>
      <c r="E30" s="12"/>
      <c r="F30" s="12"/>
      <c r="G30" s="12"/>
      <c r="H30" s="12"/>
      <c r="I30" s="12"/>
      <c r="J30" s="12"/>
    </row>
    <row r="31" spans="1:10" ht="12.75" customHeight="1">
      <c r="A31" s="3" t="s">
        <v>2177</v>
      </c>
      <c r="B31" s="11"/>
      <c r="C31" s="11"/>
      <c r="D31" s="11"/>
      <c r="E31" s="11"/>
      <c r="F31" s="11"/>
      <c r="G31" s="11"/>
      <c r="H31" s="11"/>
      <c r="I31" s="11"/>
      <c r="J31" s="11"/>
    </row>
    <row r="32" spans="1:10" ht="12.75" customHeight="1">
      <c r="A32" s="4" t="s">
        <v>2178</v>
      </c>
      <c r="B32" s="12"/>
      <c r="C32" s="12"/>
      <c r="D32" s="12"/>
      <c r="E32" s="12"/>
      <c r="F32" s="12"/>
      <c r="G32" s="12"/>
      <c r="H32" s="12"/>
      <c r="I32" s="12"/>
      <c r="J32" s="12"/>
    </row>
    <row r="33" spans="1:10" ht="38.25" customHeight="1">
      <c r="A33" s="3" t="s">
        <v>2179</v>
      </c>
      <c r="B33" s="11"/>
      <c r="C33" s="11"/>
      <c r="D33" s="11"/>
      <c r="E33" s="11"/>
      <c r="F33" s="11"/>
      <c r="G33" s="11"/>
      <c r="H33" s="11"/>
      <c r="I33" s="11"/>
      <c r="J33" s="11"/>
    </row>
    <row r="34" spans="1:10" ht="38.25" customHeight="1">
      <c r="A34" s="4" t="s">
        <v>2180</v>
      </c>
      <c r="B34" s="12"/>
      <c r="C34" s="12"/>
      <c r="D34" s="12"/>
      <c r="E34" s="12"/>
      <c r="F34" s="12"/>
      <c r="G34" s="12"/>
      <c r="H34" s="12"/>
      <c r="I34" s="12"/>
      <c r="J34" s="12"/>
    </row>
    <row r="35" spans="1:10" ht="25.5" customHeight="1">
      <c r="A35" s="3" t="s">
        <v>2181</v>
      </c>
      <c r="B35" s="11"/>
      <c r="C35" s="11"/>
      <c r="D35" s="11"/>
      <c r="E35" s="11"/>
      <c r="F35" s="11"/>
      <c r="G35" s="11"/>
      <c r="H35" s="11"/>
      <c r="I35" s="11"/>
      <c r="J35" s="11"/>
    </row>
    <row r="36" spans="1:10" ht="25.5" customHeight="1">
      <c r="A36" s="4" t="s">
        <v>2182</v>
      </c>
      <c r="B36" s="12"/>
      <c r="C36" s="12"/>
      <c r="D36" s="12"/>
      <c r="E36" s="12"/>
      <c r="F36" s="12"/>
      <c r="G36" s="12"/>
      <c r="H36" s="12"/>
      <c r="I36" s="12"/>
      <c r="J36" s="12"/>
    </row>
    <row r="37" spans="1:10" ht="12.75" customHeight="1">
      <c r="A37" s="3" t="s">
        <v>2183</v>
      </c>
      <c r="B37" s="11"/>
      <c r="C37" s="11"/>
      <c r="D37" s="11"/>
      <c r="E37" s="11"/>
      <c r="F37" s="11"/>
      <c r="G37" s="11"/>
      <c r="H37" s="11"/>
      <c r="I37" s="11"/>
      <c r="J37" s="11"/>
    </row>
    <row r="38" spans="1:10" ht="12.75" customHeight="1">
      <c r="A38" s="4" t="s">
        <v>2184</v>
      </c>
      <c r="B38" s="12"/>
      <c r="C38" s="12"/>
      <c r="D38" s="12"/>
      <c r="E38" s="12"/>
      <c r="F38" s="12"/>
      <c r="G38" s="12"/>
      <c r="H38" s="12"/>
      <c r="I38" s="12"/>
      <c r="J38" s="12"/>
    </row>
    <row r="39" spans="1:10" ht="25.5" customHeight="1">
      <c r="A39" s="3" t="s">
        <v>2185</v>
      </c>
      <c r="B39" s="11"/>
      <c r="C39" s="11"/>
      <c r="D39" s="11"/>
      <c r="E39" s="11"/>
      <c r="F39" s="11"/>
      <c r="G39" s="11"/>
      <c r="H39" s="11"/>
      <c r="I39" s="11"/>
      <c r="J39" s="11"/>
    </row>
    <row r="40" spans="1:10" ht="12.75" customHeight="1">
      <c r="A40" s="4" t="s">
        <v>2186</v>
      </c>
      <c r="B40" s="12"/>
      <c r="C40" s="12"/>
      <c r="D40" s="12"/>
      <c r="E40" s="12"/>
      <c r="F40" s="12"/>
      <c r="G40" s="12"/>
      <c r="H40" s="12"/>
      <c r="I40" s="12"/>
      <c r="J40" s="12"/>
    </row>
    <row r="41" spans="1:10" ht="38.25" customHeight="1">
      <c r="A41" s="3" t="s">
        <v>2187</v>
      </c>
      <c r="B41" s="11"/>
      <c r="C41" s="11"/>
      <c r="D41" s="11"/>
      <c r="E41" s="11"/>
      <c r="F41" s="11"/>
      <c r="G41" s="11"/>
      <c r="H41" s="11"/>
      <c r="I41" s="11"/>
      <c r="J41" s="11"/>
    </row>
    <row r="42" spans="1:10" ht="38.25" customHeight="1">
      <c r="A42" s="4" t="s">
        <v>2188</v>
      </c>
      <c r="B42" s="12"/>
      <c r="C42" s="12"/>
      <c r="D42" s="12"/>
      <c r="E42" s="12"/>
      <c r="F42" s="12"/>
      <c r="G42" s="12"/>
      <c r="H42" s="12"/>
      <c r="I42" s="12"/>
      <c r="J42" s="12"/>
    </row>
    <row r="43" spans="1:10" ht="38.25" customHeight="1">
      <c r="A43" s="3" t="s">
        <v>2189</v>
      </c>
      <c r="B43" s="11"/>
      <c r="C43" s="11"/>
      <c r="D43" s="11"/>
      <c r="E43" s="11"/>
      <c r="F43" s="11"/>
      <c r="G43" s="11"/>
      <c r="H43" s="11"/>
      <c r="I43" s="11"/>
      <c r="J43" s="11"/>
    </row>
    <row r="44" spans="1:10" ht="38.25" customHeight="1">
      <c r="A44" s="4" t="s">
        <v>2190</v>
      </c>
      <c r="B44" s="12"/>
      <c r="C44" s="12"/>
      <c r="D44" s="12"/>
      <c r="E44" s="12"/>
      <c r="F44" s="12"/>
      <c r="G44" s="12"/>
      <c r="H44" s="12"/>
      <c r="I44" s="12"/>
      <c r="J44" s="12"/>
    </row>
    <row r="45" spans="1:10" ht="12.75" customHeight="1">
      <c r="A45" s="3" t="s">
        <v>2191</v>
      </c>
      <c r="B45" s="11"/>
      <c r="C45" s="11"/>
      <c r="D45" s="11"/>
      <c r="E45" s="11"/>
      <c r="F45" s="11"/>
      <c r="G45" s="11"/>
      <c r="H45" s="11"/>
      <c r="I45" s="11"/>
      <c r="J45" s="11"/>
    </row>
    <row r="46" spans="1:10" ht="12.75" customHeight="1">
      <c r="A46" s="4" t="s">
        <v>2192</v>
      </c>
      <c r="B46" s="12">
        <f>+'DCA-Anexo I-F'!B47+'DCA-Anexo I-F'!B48+'DCA-Anexo I-F'!B49+'DCA-Anexo I-F'!B50+'DCA-Anexo I-F'!B51+'DCA-Anexo I-F'!B52+'DCA-Anexo I-F'!B53+'DCA-Anexo I-F'!B66+'DCA-Anexo I-F'!B67+'DCA-Anexo I-F'!B68+'DCA-Anexo I-F'!B69+'DCA-Anexo I-F'!B70+'DCA-Anexo I-F'!B71+'DCA-Anexo I-F'!B72+'DCA-Anexo I-F'!B73+'DCA-Anexo I-F'!B74+'DCA-Anexo I-F'!B54</f>
        <v>0</v>
      </c>
      <c r="C46" s="12">
        <f>+'DCA-Anexo I-F'!C47+'DCA-Anexo I-F'!C48+'DCA-Anexo I-F'!C49+'DCA-Anexo I-F'!C50+'DCA-Anexo I-F'!C51+'DCA-Anexo I-F'!C52+'DCA-Anexo I-F'!C53+'DCA-Anexo I-F'!C66+'DCA-Anexo I-F'!C67+'DCA-Anexo I-F'!C68+'DCA-Anexo I-F'!C69+'DCA-Anexo I-F'!C70+'DCA-Anexo I-F'!C71+'DCA-Anexo I-F'!C72+'DCA-Anexo I-F'!C73+'DCA-Anexo I-F'!C74+'DCA-Anexo I-F'!C54</f>
        <v>0</v>
      </c>
      <c r="D46" s="12">
        <f>+'DCA-Anexo I-F'!D47+'DCA-Anexo I-F'!D48+'DCA-Anexo I-F'!D49+'DCA-Anexo I-F'!D50+'DCA-Anexo I-F'!D51+'DCA-Anexo I-F'!D52+'DCA-Anexo I-F'!D53+'DCA-Anexo I-F'!D66+'DCA-Anexo I-F'!D67+'DCA-Anexo I-F'!D68+'DCA-Anexo I-F'!D69+'DCA-Anexo I-F'!D70+'DCA-Anexo I-F'!D71+'DCA-Anexo I-F'!D72+'DCA-Anexo I-F'!D73+'DCA-Anexo I-F'!D74+'DCA-Anexo I-F'!D54</f>
        <v>0</v>
      </c>
      <c r="E46" s="12">
        <f>+'DCA-Anexo I-F'!E47+'DCA-Anexo I-F'!E48+'DCA-Anexo I-F'!E49+'DCA-Anexo I-F'!E50+'DCA-Anexo I-F'!E51+'DCA-Anexo I-F'!E52+'DCA-Anexo I-F'!E53+'DCA-Anexo I-F'!E66+'DCA-Anexo I-F'!E67+'DCA-Anexo I-F'!E68+'DCA-Anexo I-F'!E69+'DCA-Anexo I-F'!E70+'DCA-Anexo I-F'!E71+'DCA-Anexo I-F'!E72+'DCA-Anexo I-F'!E73+'DCA-Anexo I-F'!E74+'DCA-Anexo I-F'!E54</f>
        <v>0</v>
      </c>
      <c r="F46" s="12">
        <f>+'DCA-Anexo I-F'!F47+'DCA-Anexo I-F'!F48+'DCA-Anexo I-F'!F49+'DCA-Anexo I-F'!F50+'DCA-Anexo I-F'!F51+'DCA-Anexo I-F'!F52+'DCA-Anexo I-F'!F53+'DCA-Anexo I-F'!F66+'DCA-Anexo I-F'!F67+'DCA-Anexo I-F'!F68+'DCA-Anexo I-F'!F69+'DCA-Anexo I-F'!F70+'DCA-Anexo I-F'!F71+'DCA-Anexo I-F'!F72+'DCA-Anexo I-F'!F73+'DCA-Anexo I-F'!F74+'DCA-Anexo I-F'!F54</f>
        <v>0</v>
      </c>
      <c r="G46" s="12">
        <f>+'DCA-Anexo I-F'!G47+'DCA-Anexo I-F'!G48+'DCA-Anexo I-F'!G49+'DCA-Anexo I-F'!G50+'DCA-Anexo I-F'!G51+'DCA-Anexo I-F'!G52+'DCA-Anexo I-F'!G53+'DCA-Anexo I-F'!G66+'DCA-Anexo I-F'!G67+'DCA-Anexo I-F'!G68+'DCA-Anexo I-F'!G69+'DCA-Anexo I-F'!G70+'DCA-Anexo I-F'!G71+'DCA-Anexo I-F'!G72+'DCA-Anexo I-F'!G73+'DCA-Anexo I-F'!G74+'DCA-Anexo I-F'!G54</f>
        <v>7130.4</v>
      </c>
      <c r="H46" s="12">
        <f>+'DCA-Anexo I-F'!H47+'DCA-Anexo I-F'!H48+'DCA-Anexo I-F'!H49+'DCA-Anexo I-F'!H50+'DCA-Anexo I-F'!H51+'DCA-Anexo I-F'!H52+'DCA-Anexo I-F'!H53+'DCA-Anexo I-F'!H66+'DCA-Anexo I-F'!H67+'DCA-Anexo I-F'!H68+'DCA-Anexo I-F'!H69+'DCA-Anexo I-F'!H70+'DCA-Anexo I-F'!H71+'DCA-Anexo I-F'!H72+'DCA-Anexo I-F'!H73+'DCA-Anexo I-F'!H74+'DCA-Anexo I-F'!H54</f>
        <v>75981.929999999993</v>
      </c>
      <c r="I46" s="12">
        <f>+'DCA-Anexo I-F'!I47+'DCA-Anexo I-F'!I48+'DCA-Anexo I-F'!I49+'DCA-Anexo I-F'!I50+'DCA-Anexo I-F'!I51+'DCA-Anexo I-F'!I52+'DCA-Anexo I-F'!I53+'DCA-Anexo I-F'!I66+'DCA-Anexo I-F'!I67+'DCA-Anexo I-F'!I68+'DCA-Anexo I-F'!I69+'DCA-Anexo I-F'!I70+'DCA-Anexo I-F'!I71+'DCA-Anexo I-F'!I72+'DCA-Anexo I-F'!I73+'DCA-Anexo I-F'!I74+'DCA-Anexo I-F'!I54</f>
        <v>75981.929999999993</v>
      </c>
      <c r="J46" s="12">
        <f>+'DCA-Anexo I-F'!J47+'DCA-Anexo I-F'!J48+'DCA-Anexo I-F'!J49+'DCA-Anexo I-F'!J50+'DCA-Anexo I-F'!J51+'DCA-Anexo I-F'!J52+'DCA-Anexo I-F'!J53+'DCA-Anexo I-F'!J66+'DCA-Anexo I-F'!J67+'DCA-Anexo I-F'!J68+'DCA-Anexo I-F'!J69+'DCA-Anexo I-F'!J70+'DCA-Anexo I-F'!J71+'DCA-Anexo I-F'!J72+'DCA-Anexo I-F'!J73+'DCA-Anexo I-F'!J74+'DCA-Anexo I-F'!J54</f>
        <v>0</v>
      </c>
    </row>
    <row r="47" spans="1:10" ht="25.5" customHeight="1">
      <c r="A47" s="3" t="s">
        <v>2193</v>
      </c>
      <c r="B47" s="11"/>
      <c r="C47" s="11"/>
      <c r="D47" s="11"/>
      <c r="E47" s="11"/>
      <c r="F47" s="11"/>
      <c r="G47" s="11"/>
      <c r="H47" s="11"/>
      <c r="I47" s="11"/>
      <c r="J47" s="11"/>
    </row>
    <row r="48" spans="1:10" ht="12.75" customHeight="1">
      <c r="A48" s="4" t="s">
        <v>2194</v>
      </c>
      <c r="B48" s="12"/>
      <c r="C48" s="12"/>
      <c r="D48" s="12"/>
      <c r="E48" s="12"/>
      <c r="F48" s="12"/>
      <c r="G48" s="12"/>
      <c r="H48" s="12"/>
      <c r="I48" s="12"/>
      <c r="J48" s="12"/>
    </row>
    <row r="49" spans="1:10" ht="12.75" customHeight="1">
      <c r="A49" s="3" t="s">
        <v>2195</v>
      </c>
      <c r="B49" s="11"/>
      <c r="C49" s="11"/>
      <c r="D49" s="11"/>
      <c r="E49" s="11"/>
      <c r="F49" s="11"/>
      <c r="G49" s="11">
        <v>7130.4</v>
      </c>
      <c r="H49" s="11"/>
      <c r="I49" s="11"/>
      <c r="J49" s="11"/>
    </row>
    <row r="50" spans="1:10" ht="12.75" customHeight="1">
      <c r="A50" s="4" t="s">
        <v>2196</v>
      </c>
      <c r="B50" s="12"/>
      <c r="C50" s="12"/>
      <c r="D50" s="12"/>
      <c r="E50" s="12"/>
      <c r="F50" s="12"/>
      <c r="G50" s="12"/>
      <c r="H50" s="12"/>
      <c r="I50" s="12"/>
      <c r="J50" s="12"/>
    </row>
    <row r="51" spans="1:10" ht="12.75" customHeight="1">
      <c r="A51" s="3" t="s">
        <v>2197</v>
      </c>
      <c r="B51" s="11"/>
      <c r="C51" s="11"/>
      <c r="D51" s="11"/>
      <c r="E51" s="11"/>
      <c r="F51" s="11"/>
      <c r="G51" s="11"/>
      <c r="H51" s="11"/>
      <c r="I51" s="11"/>
      <c r="J51" s="11"/>
    </row>
    <row r="52" spans="1:10" ht="12.75" customHeight="1">
      <c r="A52" s="4" t="s">
        <v>2198</v>
      </c>
      <c r="B52" s="12"/>
      <c r="C52" s="12"/>
      <c r="D52" s="12"/>
      <c r="E52" s="12"/>
      <c r="F52" s="12">
        <v>0</v>
      </c>
      <c r="G52" s="12"/>
      <c r="H52" s="12">
        <v>75981.929999999993</v>
      </c>
      <c r="I52" s="12">
        <v>75981.929999999993</v>
      </c>
      <c r="J52" s="12"/>
    </row>
    <row r="53" spans="1:10" ht="12.75" customHeight="1">
      <c r="A53" s="3" t="s">
        <v>2199</v>
      </c>
      <c r="B53" s="11"/>
      <c r="C53" s="11"/>
      <c r="D53" s="11"/>
      <c r="E53" s="11"/>
      <c r="F53" s="11"/>
      <c r="G53" s="11"/>
      <c r="H53" s="11"/>
      <c r="I53" s="11"/>
      <c r="J53" s="11"/>
    </row>
    <row r="54" spans="1:10" ht="12.75" customHeight="1">
      <c r="A54" s="4" t="s">
        <v>2200</v>
      </c>
      <c r="B54" s="12">
        <f>+'DCA-Anexo I-F'!B56+'DCA-Anexo I-F'!B58+'DCA-Anexo I-F'!B59+'DCA-Anexo I-F'!B55+'DCA-Anexo I-F'!B65+'DCA-Anexo I-F'!B57+'DCA-Anexo I-F'!B60+'DCA-Anexo I-F'!B61+'DCA-Anexo I-F'!B62+'DCA-Anexo I-F'!B63+'DCA-Anexo I-F'!B64</f>
        <v>0</v>
      </c>
      <c r="C54" s="12">
        <f>+'DCA-Anexo I-F'!C56+'DCA-Anexo I-F'!C58+'DCA-Anexo I-F'!C59+'DCA-Anexo I-F'!C55+'DCA-Anexo I-F'!C65+'DCA-Anexo I-F'!C57+'DCA-Anexo I-F'!C60+'DCA-Anexo I-F'!C61+'DCA-Anexo I-F'!C62+'DCA-Anexo I-F'!C63+'DCA-Anexo I-F'!C64</f>
        <v>0</v>
      </c>
      <c r="D54" s="12">
        <f>+'DCA-Anexo I-F'!D56+'DCA-Anexo I-F'!D58+'DCA-Anexo I-F'!D59+'DCA-Anexo I-F'!D55+'DCA-Anexo I-F'!D65+'DCA-Anexo I-F'!D57+'DCA-Anexo I-F'!D60+'DCA-Anexo I-F'!D61+'DCA-Anexo I-F'!D62+'DCA-Anexo I-F'!D63+'DCA-Anexo I-F'!D64</f>
        <v>0</v>
      </c>
      <c r="E54" s="12">
        <f>+'DCA-Anexo I-F'!E56+'DCA-Anexo I-F'!E58+'DCA-Anexo I-F'!E59+'DCA-Anexo I-F'!E55+'DCA-Anexo I-F'!E65+'DCA-Anexo I-F'!E57+'DCA-Anexo I-F'!E60+'DCA-Anexo I-F'!E61+'DCA-Anexo I-F'!E62+'DCA-Anexo I-F'!E63+'DCA-Anexo I-F'!E64</f>
        <v>0</v>
      </c>
      <c r="F54" s="12">
        <f>+'DCA-Anexo I-F'!F56+'DCA-Anexo I-F'!F58+'DCA-Anexo I-F'!F59+'DCA-Anexo I-F'!F55+'DCA-Anexo I-F'!F65+'DCA-Anexo I-F'!F57+'DCA-Anexo I-F'!F60+'DCA-Anexo I-F'!F61+'DCA-Anexo I-F'!F62+'DCA-Anexo I-F'!F63+'DCA-Anexo I-F'!F64</f>
        <v>0</v>
      </c>
      <c r="G54" s="12">
        <f>+'DCA-Anexo I-F'!G56+'DCA-Anexo I-F'!G58+'DCA-Anexo I-F'!G59+'DCA-Anexo I-F'!G55+'DCA-Anexo I-F'!G65+'DCA-Anexo I-F'!G57+'DCA-Anexo I-F'!G60+'DCA-Anexo I-F'!G61+'DCA-Anexo I-F'!G62+'DCA-Anexo I-F'!G63+'DCA-Anexo I-F'!G64</f>
        <v>0</v>
      </c>
      <c r="H54" s="12">
        <f>+'DCA-Anexo I-F'!H56+'DCA-Anexo I-F'!H58+'DCA-Anexo I-F'!H59+'DCA-Anexo I-F'!H55+'DCA-Anexo I-F'!H65+'DCA-Anexo I-F'!H57+'DCA-Anexo I-F'!H60+'DCA-Anexo I-F'!H61+'DCA-Anexo I-F'!H62+'DCA-Anexo I-F'!H63+'DCA-Anexo I-F'!H64</f>
        <v>0</v>
      </c>
      <c r="I54" s="12">
        <f>+'DCA-Anexo I-F'!I56+'DCA-Anexo I-F'!I58+'DCA-Anexo I-F'!I59+'DCA-Anexo I-F'!I55+'DCA-Anexo I-F'!I65+'DCA-Anexo I-F'!I57+'DCA-Anexo I-F'!I60+'DCA-Anexo I-F'!I61+'DCA-Anexo I-F'!I62+'DCA-Anexo I-F'!I63+'DCA-Anexo I-F'!I64</f>
        <v>0</v>
      </c>
      <c r="J54" s="12">
        <f>+'DCA-Anexo I-F'!J56+'DCA-Anexo I-F'!J58+'DCA-Anexo I-F'!J59+'DCA-Anexo I-F'!J55+'DCA-Anexo I-F'!J65+'DCA-Anexo I-F'!J57+'DCA-Anexo I-F'!J60+'DCA-Anexo I-F'!J61+'DCA-Anexo I-F'!J62+'DCA-Anexo I-F'!J63+'DCA-Anexo I-F'!J64</f>
        <v>0</v>
      </c>
    </row>
    <row r="55" spans="1:10" ht="12.75" customHeight="1">
      <c r="A55" s="3" t="s">
        <v>2201</v>
      </c>
      <c r="B55" s="11"/>
      <c r="C55" s="11"/>
      <c r="D55" s="11"/>
      <c r="E55" s="11"/>
      <c r="F55" s="11"/>
      <c r="G55" s="11"/>
      <c r="H55" s="11"/>
      <c r="I55" s="11"/>
      <c r="J55" s="11"/>
    </row>
    <row r="56" spans="1:10" ht="12.75" customHeight="1">
      <c r="A56" s="4" t="s">
        <v>2202</v>
      </c>
      <c r="B56" s="12"/>
      <c r="C56" s="12"/>
      <c r="D56" s="12"/>
      <c r="E56" s="12"/>
      <c r="F56" s="12"/>
      <c r="G56" s="12"/>
      <c r="H56" s="12"/>
      <c r="I56" s="12"/>
      <c r="J56" s="12"/>
    </row>
    <row r="57" spans="1:10" ht="12.75" customHeight="1">
      <c r="A57" s="3" t="s">
        <v>2203</v>
      </c>
      <c r="B57" s="11"/>
      <c r="C57" s="11"/>
      <c r="D57" s="11"/>
      <c r="E57" s="11"/>
      <c r="F57" s="11"/>
      <c r="G57" s="11"/>
      <c r="H57" s="11"/>
      <c r="I57" s="11"/>
      <c r="J57" s="11"/>
    </row>
    <row r="58" spans="1:10" ht="12.75" customHeight="1">
      <c r="A58" s="4" t="s">
        <v>2204</v>
      </c>
      <c r="B58" s="12"/>
      <c r="C58" s="12"/>
      <c r="D58" s="12"/>
      <c r="E58" s="12"/>
      <c r="F58" s="12"/>
      <c r="G58" s="12"/>
      <c r="H58" s="12"/>
      <c r="I58" s="12"/>
      <c r="J58" s="12"/>
    </row>
    <row r="59" spans="1:10" ht="12.75" customHeight="1">
      <c r="A59" s="3" t="s">
        <v>2205</v>
      </c>
      <c r="B59" s="11"/>
      <c r="C59" s="11"/>
      <c r="D59" s="11"/>
      <c r="E59" s="11"/>
      <c r="F59" s="11"/>
      <c r="G59" s="11"/>
      <c r="H59" s="11"/>
      <c r="I59" s="11"/>
      <c r="J59" s="11"/>
    </row>
    <row r="60" spans="1:10" ht="12.75" customHeight="1">
      <c r="A60" s="4" t="s">
        <v>2206</v>
      </c>
      <c r="B60" s="12"/>
      <c r="C60" s="12"/>
      <c r="D60" s="12"/>
      <c r="E60" s="12"/>
      <c r="F60" s="12"/>
      <c r="G60" s="12"/>
      <c r="H60" s="12"/>
      <c r="I60" s="12"/>
      <c r="J60" s="12"/>
    </row>
    <row r="61" spans="1:10" ht="12.75" customHeight="1">
      <c r="A61" s="3" t="s">
        <v>2207</v>
      </c>
      <c r="B61" s="11"/>
      <c r="C61" s="11"/>
      <c r="D61" s="11"/>
      <c r="E61" s="11"/>
      <c r="F61" s="11"/>
      <c r="G61" s="11"/>
      <c r="H61" s="11"/>
      <c r="I61" s="11"/>
      <c r="J61" s="11"/>
    </row>
    <row r="62" spans="1:10" ht="12.75" customHeight="1">
      <c r="A62" s="4" t="s">
        <v>2208</v>
      </c>
      <c r="B62" s="12"/>
      <c r="C62" s="12"/>
      <c r="D62" s="12"/>
      <c r="E62" s="12"/>
      <c r="F62" s="12"/>
      <c r="G62" s="12"/>
      <c r="H62" s="12"/>
      <c r="I62" s="12"/>
      <c r="J62" s="12"/>
    </row>
    <row r="63" spans="1:10" ht="12.75" customHeight="1">
      <c r="A63" s="3" t="s">
        <v>2209</v>
      </c>
      <c r="B63" s="11"/>
      <c r="C63" s="11"/>
      <c r="D63" s="11"/>
      <c r="E63" s="11"/>
      <c r="F63" s="11"/>
      <c r="G63" s="11"/>
      <c r="H63" s="11"/>
      <c r="I63" s="11"/>
      <c r="J63" s="11"/>
    </row>
    <row r="64" spans="1:10" ht="12.75" customHeight="1">
      <c r="A64" s="4" t="s">
        <v>2210</v>
      </c>
      <c r="B64" s="12"/>
      <c r="C64" s="12"/>
      <c r="D64" s="12"/>
      <c r="E64" s="12"/>
      <c r="F64" s="12"/>
      <c r="G64" s="12"/>
      <c r="H64" s="12"/>
      <c r="I64" s="12"/>
      <c r="J64" s="12"/>
    </row>
    <row r="65" spans="1:10" ht="12.75" customHeight="1">
      <c r="A65" s="3" t="s">
        <v>2211</v>
      </c>
      <c r="B65" s="11"/>
      <c r="C65" s="11"/>
      <c r="D65" s="11"/>
      <c r="E65" s="11"/>
      <c r="F65" s="11"/>
      <c r="G65" s="11"/>
      <c r="H65" s="11"/>
      <c r="I65" s="11"/>
      <c r="J65" s="11"/>
    </row>
    <row r="66" spans="1:10" ht="12.75" customHeight="1">
      <c r="A66" s="4" t="s">
        <v>2212</v>
      </c>
      <c r="B66" s="12"/>
      <c r="C66" s="12"/>
      <c r="D66" s="12"/>
      <c r="E66" s="12"/>
      <c r="F66" s="12"/>
      <c r="G66" s="12"/>
      <c r="H66" s="12"/>
      <c r="I66" s="12"/>
      <c r="J66" s="12"/>
    </row>
    <row r="67" spans="1:10" ht="12.75" customHeight="1">
      <c r="A67" s="3" t="s">
        <v>2213</v>
      </c>
      <c r="B67" s="11"/>
      <c r="C67" s="11"/>
      <c r="D67" s="11"/>
      <c r="E67" s="11"/>
      <c r="F67" s="11"/>
      <c r="G67" s="11"/>
      <c r="H67" s="11"/>
      <c r="I67" s="11"/>
      <c r="J67" s="11"/>
    </row>
    <row r="68" spans="1:10" ht="12.75" customHeight="1">
      <c r="A68" s="4" t="s">
        <v>2214</v>
      </c>
      <c r="B68" s="12"/>
      <c r="C68" s="12"/>
      <c r="D68" s="12"/>
      <c r="E68" s="12"/>
      <c r="F68" s="12"/>
      <c r="G68" s="12"/>
      <c r="H68" s="12"/>
      <c r="I68" s="12"/>
      <c r="J68" s="12"/>
    </row>
    <row r="69" spans="1:10" ht="12.75" customHeight="1">
      <c r="A69" s="3" t="s">
        <v>2215</v>
      </c>
      <c r="B69" s="11"/>
      <c r="C69" s="11"/>
      <c r="D69" s="11"/>
      <c r="E69" s="11"/>
      <c r="F69" s="11"/>
      <c r="G69" s="11"/>
      <c r="H69" s="11"/>
      <c r="I69" s="11"/>
      <c r="J69" s="11"/>
    </row>
    <row r="70" spans="1:10" ht="12.75" customHeight="1">
      <c r="A70" s="4" t="s">
        <v>2216</v>
      </c>
      <c r="B70" s="12"/>
      <c r="C70" s="12"/>
      <c r="D70" s="12"/>
      <c r="E70" s="12"/>
      <c r="F70" s="12"/>
      <c r="G70" s="12"/>
      <c r="H70" s="12"/>
      <c r="I70" s="12"/>
      <c r="J70" s="12"/>
    </row>
    <row r="71" spans="1:10" ht="12.75" customHeight="1">
      <c r="A71" s="3" t="s">
        <v>2217</v>
      </c>
      <c r="B71" s="11"/>
      <c r="C71" s="11"/>
      <c r="D71" s="11"/>
      <c r="E71" s="11"/>
      <c r="F71" s="11"/>
      <c r="G71" s="11"/>
      <c r="H71" s="11"/>
      <c r="I71" s="11"/>
      <c r="J71" s="11"/>
    </row>
    <row r="72" spans="1:10" ht="12.75" customHeight="1">
      <c r="A72" s="4" t="s">
        <v>2218</v>
      </c>
      <c r="B72" s="12"/>
      <c r="C72" s="12"/>
      <c r="D72" s="12"/>
      <c r="E72" s="12"/>
      <c r="F72" s="12"/>
      <c r="G72" s="12"/>
      <c r="H72" s="12"/>
      <c r="I72" s="12"/>
      <c r="J72" s="12"/>
    </row>
    <row r="73" spans="1:10" ht="12.75" customHeight="1">
      <c r="A73" s="3" t="s">
        <v>2219</v>
      </c>
      <c r="B73" s="11"/>
      <c r="C73" s="11"/>
      <c r="D73" s="11"/>
      <c r="E73" s="11"/>
      <c r="F73" s="11"/>
      <c r="G73" s="11"/>
      <c r="H73" s="11"/>
      <c r="I73" s="11"/>
      <c r="J73" s="11"/>
    </row>
    <row r="74" spans="1:10" ht="12.75" customHeight="1">
      <c r="A74" s="4" t="s">
        <v>2220</v>
      </c>
      <c r="B74" s="12"/>
      <c r="C74" s="12"/>
      <c r="D74" s="12"/>
      <c r="E74" s="12"/>
      <c r="F74" s="12"/>
      <c r="G74" s="12"/>
      <c r="H74" s="12"/>
      <c r="I74" s="12"/>
      <c r="J74" s="12"/>
    </row>
    <row r="75" spans="1:10" ht="38.25" customHeight="1">
      <c r="A75" s="3" t="s">
        <v>2221</v>
      </c>
      <c r="B75" s="11">
        <f>+'DCA-Anexo I-F'!B94+'DCA-Anexo I-F'!B78+'DCA-Anexo I-F'!B92+'DCA-Anexo I-F'!B95+'DCA-Anexo I-F'!B96+'DCA-Anexo I-F'!B76+'DCA-Anexo I-F'!B93+'DCA-Anexo I-F'!B77+'DCA-Anexo I-F'!B91</f>
        <v>0</v>
      </c>
      <c r="C75" s="11">
        <f>+'DCA-Anexo I-F'!C94+'DCA-Anexo I-F'!C78+'DCA-Anexo I-F'!C92+'DCA-Anexo I-F'!C95+'DCA-Anexo I-F'!C96+'DCA-Anexo I-F'!C76+'DCA-Anexo I-F'!C93+'DCA-Anexo I-F'!C77+'DCA-Anexo I-F'!C91</f>
        <v>0</v>
      </c>
      <c r="D75" s="11">
        <f>+'DCA-Anexo I-F'!D94+'DCA-Anexo I-F'!D78+'DCA-Anexo I-F'!D92+'DCA-Anexo I-F'!D95+'DCA-Anexo I-F'!D96+'DCA-Anexo I-F'!D76+'DCA-Anexo I-F'!D93+'DCA-Anexo I-F'!D77+'DCA-Anexo I-F'!D91</f>
        <v>0</v>
      </c>
      <c r="E75" s="11">
        <f>+'DCA-Anexo I-F'!E94+'DCA-Anexo I-F'!E78+'DCA-Anexo I-F'!E92+'DCA-Anexo I-F'!E95+'DCA-Anexo I-F'!E96+'DCA-Anexo I-F'!E76+'DCA-Anexo I-F'!E93+'DCA-Anexo I-F'!E77+'DCA-Anexo I-F'!E91</f>
        <v>0</v>
      </c>
      <c r="F75" s="11">
        <f>+'DCA-Anexo I-F'!F94+'DCA-Anexo I-F'!F78+'DCA-Anexo I-F'!F92+'DCA-Anexo I-F'!F95+'DCA-Anexo I-F'!F96+'DCA-Anexo I-F'!F76+'DCA-Anexo I-F'!F93+'DCA-Anexo I-F'!F77+'DCA-Anexo I-F'!F91</f>
        <v>0</v>
      </c>
      <c r="G75" s="11">
        <f>+'DCA-Anexo I-F'!G94+'DCA-Anexo I-F'!G78+'DCA-Anexo I-F'!G92+'DCA-Anexo I-F'!G95+'DCA-Anexo I-F'!G96+'DCA-Anexo I-F'!G76+'DCA-Anexo I-F'!G93+'DCA-Anexo I-F'!G77+'DCA-Anexo I-F'!G91</f>
        <v>0</v>
      </c>
      <c r="H75" s="11">
        <f>+'DCA-Anexo I-F'!H94+'DCA-Anexo I-F'!H78+'DCA-Anexo I-F'!H92+'DCA-Anexo I-F'!H95+'DCA-Anexo I-F'!H96+'DCA-Anexo I-F'!H76+'DCA-Anexo I-F'!H93+'DCA-Anexo I-F'!H77+'DCA-Anexo I-F'!H91</f>
        <v>0</v>
      </c>
      <c r="I75" s="11">
        <f>+'DCA-Anexo I-F'!I94+'DCA-Anexo I-F'!I78+'DCA-Anexo I-F'!I92+'DCA-Anexo I-F'!I95+'DCA-Anexo I-F'!I96+'DCA-Anexo I-F'!I76+'DCA-Anexo I-F'!I93+'DCA-Anexo I-F'!I77+'DCA-Anexo I-F'!I91</f>
        <v>0</v>
      </c>
      <c r="J75" s="11">
        <f>+'DCA-Anexo I-F'!J94+'DCA-Anexo I-F'!J78+'DCA-Anexo I-F'!J92+'DCA-Anexo I-F'!J95+'DCA-Anexo I-F'!J96+'DCA-Anexo I-F'!J76+'DCA-Anexo I-F'!J93+'DCA-Anexo I-F'!J77+'DCA-Anexo I-F'!J91</f>
        <v>0</v>
      </c>
    </row>
    <row r="76" spans="1:10" ht="12.75" customHeight="1">
      <c r="A76" s="4" t="s">
        <v>2222</v>
      </c>
      <c r="B76" s="12"/>
      <c r="C76" s="12"/>
      <c r="D76" s="12"/>
      <c r="E76" s="12"/>
      <c r="F76" s="12"/>
      <c r="G76" s="12"/>
      <c r="H76" s="12"/>
      <c r="I76" s="12"/>
      <c r="J76" s="12"/>
    </row>
    <row r="77" spans="1:10" ht="12.75" customHeight="1">
      <c r="A77" s="3" t="s">
        <v>2223</v>
      </c>
      <c r="B77" s="11"/>
      <c r="C77" s="11"/>
      <c r="D77" s="11"/>
      <c r="E77" s="11"/>
      <c r="F77" s="11"/>
      <c r="G77" s="11"/>
      <c r="H77" s="11"/>
      <c r="I77" s="11"/>
      <c r="J77" s="11"/>
    </row>
    <row r="78" spans="1:10" ht="12.75" customHeight="1">
      <c r="A78" s="4" t="s">
        <v>2224</v>
      </c>
      <c r="B78" s="12">
        <f>+'DCA-Anexo I-F'!B79+'DCA-Anexo I-F'!B80+'DCA-Anexo I-F'!B81+'DCA-Anexo I-F'!B82+'DCA-Anexo I-F'!B83+'DCA-Anexo I-F'!B84+'DCA-Anexo I-F'!B85+'DCA-Anexo I-F'!B86+'DCA-Anexo I-F'!B87+'DCA-Anexo I-F'!B88+'DCA-Anexo I-F'!B89+'DCA-Anexo I-F'!B90</f>
        <v>0</v>
      </c>
      <c r="C78" s="12">
        <f>+'DCA-Anexo I-F'!C79+'DCA-Anexo I-F'!C80+'DCA-Anexo I-F'!C81+'DCA-Anexo I-F'!C82+'DCA-Anexo I-F'!C83+'DCA-Anexo I-F'!C84+'DCA-Anexo I-F'!C85+'DCA-Anexo I-F'!C86+'DCA-Anexo I-F'!C87+'DCA-Anexo I-F'!C88+'DCA-Anexo I-F'!C89+'DCA-Anexo I-F'!C90</f>
        <v>0</v>
      </c>
      <c r="D78" s="12">
        <f>+'DCA-Anexo I-F'!D79+'DCA-Anexo I-F'!D80+'DCA-Anexo I-F'!D81+'DCA-Anexo I-F'!D82+'DCA-Anexo I-F'!D83+'DCA-Anexo I-F'!D84+'DCA-Anexo I-F'!D85+'DCA-Anexo I-F'!D86+'DCA-Anexo I-F'!D87+'DCA-Anexo I-F'!D88+'DCA-Anexo I-F'!D89+'DCA-Anexo I-F'!D90</f>
        <v>0</v>
      </c>
      <c r="E78" s="12">
        <f>+'DCA-Anexo I-F'!E79+'DCA-Anexo I-F'!E80+'DCA-Anexo I-F'!E81+'DCA-Anexo I-F'!E82+'DCA-Anexo I-F'!E83+'DCA-Anexo I-F'!E84+'DCA-Anexo I-F'!E85+'DCA-Anexo I-F'!E86+'DCA-Anexo I-F'!E87+'DCA-Anexo I-F'!E88+'DCA-Anexo I-F'!E89+'DCA-Anexo I-F'!E90</f>
        <v>0</v>
      </c>
      <c r="F78" s="12">
        <f>+'DCA-Anexo I-F'!F79+'DCA-Anexo I-F'!F80+'DCA-Anexo I-F'!F81+'DCA-Anexo I-F'!F82+'DCA-Anexo I-F'!F83+'DCA-Anexo I-F'!F84+'DCA-Anexo I-F'!F85+'DCA-Anexo I-F'!F86+'DCA-Anexo I-F'!F87+'DCA-Anexo I-F'!F88+'DCA-Anexo I-F'!F89+'DCA-Anexo I-F'!F90</f>
        <v>0</v>
      </c>
      <c r="G78" s="12">
        <f>+'DCA-Anexo I-F'!G79+'DCA-Anexo I-F'!G80+'DCA-Anexo I-F'!G81+'DCA-Anexo I-F'!G82+'DCA-Anexo I-F'!G83+'DCA-Anexo I-F'!G84+'DCA-Anexo I-F'!G85+'DCA-Anexo I-F'!G86+'DCA-Anexo I-F'!G87+'DCA-Anexo I-F'!G88+'DCA-Anexo I-F'!G89+'DCA-Anexo I-F'!G90</f>
        <v>0</v>
      </c>
      <c r="H78" s="12">
        <f>+'DCA-Anexo I-F'!H79+'DCA-Anexo I-F'!H80+'DCA-Anexo I-F'!H81+'DCA-Anexo I-F'!H82+'DCA-Anexo I-F'!H83+'DCA-Anexo I-F'!H84+'DCA-Anexo I-F'!H85+'DCA-Anexo I-F'!H86+'DCA-Anexo I-F'!H87+'DCA-Anexo I-F'!H88+'DCA-Anexo I-F'!H89+'DCA-Anexo I-F'!H90</f>
        <v>0</v>
      </c>
      <c r="I78" s="12">
        <f>+'DCA-Anexo I-F'!I79+'DCA-Anexo I-F'!I80+'DCA-Anexo I-F'!I81+'DCA-Anexo I-F'!I82+'DCA-Anexo I-F'!I83+'DCA-Anexo I-F'!I84+'DCA-Anexo I-F'!I85+'DCA-Anexo I-F'!I86+'DCA-Anexo I-F'!I87+'DCA-Anexo I-F'!I88+'DCA-Anexo I-F'!I89+'DCA-Anexo I-F'!I90</f>
        <v>0</v>
      </c>
      <c r="J78" s="12">
        <f>+'DCA-Anexo I-F'!J79+'DCA-Anexo I-F'!J80+'DCA-Anexo I-F'!J81+'DCA-Anexo I-F'!J82+'DCA-Anexo I-F'!J83+'DCA-Anexo I-F'!J84+'DCA-Anexo I-F'!J85+'DCA-Anexo I-F'!J86+'DCA-Anexo I-F'!J87+'DCA-Anexo I-F'!J88+'DCA-Anexo I-F'!J89+'DCA-Anexo I-F'!J90</f>
        <v>0</v>
      </c>
    </row>
    <row r="79" spans="1:10" ht="12.75" customHeight="1">
      <c r="A79" s="3" t="s">
        <v>2225</v>
      </c>
      <c r="B79" s="11"/>
      <c r="C79" s="11"/>
      <c r="D79" s="11"/>
      <c r="E79" s="11"/>
      <c r="F79" s="11"/>
      <c r="G79" s="11"/>
      <c r="H79" s="11"/>
      <c r="I79" s="11"/>
      <c r="J79" s="11"/>
    </row>
    <row r="80" spans="1:10" ht="12.75" customHeight="1">
      <c r="A80" s="4" t="s">
        <v>2226</v>
      </c>
      <c r="B80" s="12"/>
      <c r="C80" s="12"/>
      <c r="D80" s="12"/>
      <c r="E80" s="12"/>
      <c r="F80" s="12"/>
      <c r="G80" s="12"/>
      <c r="H80" s="12"/>
      <c r="I80" s="12"/>
      <c r="J80" s="12"/>
    </row>
    <row r="81" spans="1:10" ht="25.5" customHeight="1">
      <c r="A81" s="3" t="s">
        <v>2227</v>
      </c>
      <c r="B81" s="11"/>
      <c r="C81" s="11"/>
      <c r="D81" s="11"/>
      <c r="E81" s="11"/>
      <c r="F81" s="11"/>
      <c r="G81" s="11"/>
      <c r="H81" s="11"/>
      <c r="I81" s="11"/>
      <c r="J81" s="11"/>
    </row>
    <row r="82" spans="1:10" ht="12.75" customHeight="1">
      <c r="A82" s="4" t="s">
        <v>2228</v>
      </c>
      <c r="B82" s="12"/>
      <c r="C82" s="12"/>
      <c r="D82" s="12"/>
      <c r="E82" s="12"/>
      <c r="F82" s="12"/>
      <c r="G82" s="12"/>
      <c r="H82" s="12"/>
      <c r="I82" s="12"/>
      <c r="J82" s="12"/>
    </row>
    <row r="83" spans="1:10" ht="25.5" customHeight="1">
      <c r="A83" s="3" t="s">
        <v>2229</v>
      </c>
      <c r="B83" s="11"/>
      <c r="C83" s="11"/>
      <c r="D83" s="11"/>
      <c r="E83" s="11"/>
      <c r="F83" s="11"/>
      <c r="G83" s="11"/>
      <c r="H83" s="11"/>
      <c r="I83" s="11"/>
      <c r="J83" s="11"/>
    </row>
    <row r="84" spans="1:10" ht="25.5" customHeight="1">
      <c r="A84" s="4" t="s">
        <v>2230</v>
      </c>
      <c r="B84" s="12"/>
      <c r="C84" s="12"/>
      <c r="D84" s="12"/>
      <c r="E84" s="12"/>
      <c r="F84" s="12"/>
      <c r="G84" s="12"/>
      <c r="H84" s="12"/>
      <c r="I84" s="12"/>
      <c r="J84" s="12"/>
    </row>
    <row r="85" spans="1:10" ht="25.5" customHeight="1">
      <c r="A85" s="3" t="s">
        <v>2231</v>
      </c>
      <c r="B85" s="11"/>
      <c r="C85" s="11"/>
      <c r="D85" s="11"/>
      <c r="E85" s="11"/>
      <c r="F85" s="11"/>
      <c r="G85" s="11"/>
      <c r="H85" s="11"/>
      <c r="I85" s="11"/>
      <c r="J85" s="11"/>
    </row>
    <row r="86" spans="1:10" ht="25.5" customHeight="1">
      <c r="A86" s="4" t="s">
        <v>2232</v>
      </c>
      <c r="B86" s="12"/>
      <c r="C86" s="12"/>
      <c r="D86" s="12"/>
      <c r="E86" s="12"/>
      <c r="F86" s="12"/>
      <c r="G86" s="12"/>
      <c r="H86" s="12"/>
      <c r="I86" s="12"/>
      <c r="J86" s="12"/>
    </row>
    <row r="87" spans="1:10" ht="25.5" customHeight="1">
      <c r="A87" s="3" t="s">
        <v>2233</v>
      </c>
      <c r="B87" s="11"/>
      <c r="C87" s="11"/>
      <c r="D87" s="11"/>
      <c r="E87" s="11"/>
      <c r="F87" s="11"/>
      <c r="G87" s="11"/>
      <c r="H87" s="11"/>
      <c r="I87" s="11"/>
      <c r="J87" s="11"/>
    </row>
    <row r="88" spans="1:10" ht="25.5" customHeight="1">
      <c r="A88" s="4" t="s">
        <v>2234</v>
      </c>
      <c r="B88" s="12"/>
      <c r="C88" s="12"/>
      <c r="D88" s="12"/>
      <c r="E88" s="12"/>
      <c r="F88" s="12"/>
      <c r="G88" s="12"/>
      <c r="H88" s="12"/>
      <c r="I88" s="12"/>
      <c r="J88" s="12"/>
    </row>
    <row r="89" spans="1:10" ht="25.5" customHeight="1">
      <c r="A89" s="3" t="s">
        <v>2235</v>
      </c>
      <c r="B89" s="11"/>
      <c r="C89" s="11"/>
      <c r="D89" s="11"/>
      <c r="E89" s="11"/>
      <c r="F89" s="11"/>
      <c r="G89" s="11"/>
      <c r="H89" s="11"/>
      <c r="I89" s="11"/>
      <c r="J89" s="11"/>
    </row>
    <row r="90" spans="1:10" ht="12.75" customHeight="1">
      <c r="A90" s="4" t="s">
        <v>2236</v>
      </c>
      <c r="B90" s="12"/>
      <c r="C90" s="12"/>
      <c r="D90" s="12"/>
      <c r="E90" s="12"/>
      <c r="F90" s="12"/>
      <c r="G90" s="12"/>
      <c r="H90" s="12"/>
      <c r="I90" s="12"/>
      <c r="J90" s="12"/>
    </row>
    <row r="91" spans="1:10" ht="12.75" customHeight="1">
      <c r="A91" s="3" t="s">
        <v>2237</v>
      </c>
      <c r="B91" s="11"/>
      <c r="C91" s="11"/>
      <c r="D91" s="11"/>
      <c r="E91" s="11"/>
      <c r="F91" s="11"/>
      <c r="G91" s="11"/>
      <c r="H91" s="11"/>
      <c r="I91" s="11"/>
      <c r="J91" s="11"/>
    </row>
    <row r="92" spans="1:10" ht="12.75" customHeight="1">
      <c r="A92" s="4" t="s">
        <v>2238</v>
      </c>
      <c r="B92" s="12"/>
      <c r="C92" s="12"/>
      <c r="D92" s="12"/>
      <c r="E92" s="12"/>
      <c r="F92" s="12"/>
      <c r="G92" s="12"/>
      <c r="H92" s="12"/>
      <c r="I92" s="12"/>
      <c r="J92" s="12"/>
    </row>
    <row r="93" spans="1:10" ht="12.75" customHeight="1">
      <c r="A93" s="3" t="s">
        <v>2239</v>
      </c>
      <c r="B93" s="11"/>
      <c r="C93" s="11"/>
      <c r="D93" s="11"/>
      <c r="E93" s="11"/>
      <c r="F93" s="11"/>
      <c r="G93" s="11"/>
      <c r="H93" s="11"/>
      <c r="I93" s="11"/>
      <c r="J93" s="11"/>
    </row>
    <row r="94" spans="1:10" ht="12.75" customHeight="1">
      <c r="A94" s="4" t="s">
        <v>2240</v>
      </c>
      <c r="B94" s="12"/>
      <c r="C94" s="12"/>
      <c r="D94" s="12"/>
      <c r="E94" s="12"/>
      <c r="F94" s="12"/>
      <c r="G94" s="12"/>
      <c r="H94" s="12"/>
      <c r="I94" s="12"/>
      <c r="J94" s="12"/>
    </row>
    <row r="95" spans="1:10" ht="12.75" customHeight="1">
      <c r="A95" s="3" t="s">
        <v>2241</v>
      </c>
      <c r="B95" s="11"/>
      <c r="C95" s="11"/>
      <c r="D95" s="11"/>
      <c r="E95" s="11"/>
      <c r="F95" s="11"/>
      <c r="G95" s="11"/>
      <c r="H95" s="11"/>
      <c r="I95" s="11"/>
      <c r="J95" s="11"/>
    </row>
    <row r="96" spans="1:10" ht="12.75" customHeight="1">
      <c r="A96" s="4" t="s">
        <v>2242</v>
      </c>
      <c r="B96" s="12"/>
      <c r="C96" s="12"/>
      <c r="D96" s="12"/>
      <c r="E96" s="12"/>
      <c r="F96" s="12"/>
      <c r="G96" s="12"/>
      <c r="H96" s="12"/>
      <c r="I96" s="12"/>
      <c r="J96" s="12"/>
    </row>
    <row r="97" spans="1:10" ht="25.5" customHeight="1">
      <c r="A97" s="3" t="s">
        <v>2243</v>
      </c>
      <c r="B97" s="11"/>
      <c r="C97" s="11"/>
      <c r="D97" s="11"/>
      <c r="E97" s="11"/>
      <c r="F97" s="11"/>
      <c r="G97" s="11"/>
      <c r="H97" s="11"/>
      <c r="I97" s="11"/>
      <c r="J97" s="11"/>
    </row>
    <row r="98" spans="1:10" ht="38.25" customHeight="1">
      <c r="A98" s="4" t="s">
        <v>2244</v>
      </c>
      <c r="B98" s="12"/>
      <c r="C98" s="12"/>
      <c r="D98" s="12"/>
      <c r="E98" s="12"/>
      <c r="F98" s="12"/>
      <c r="G98" s="12"/>
      <c r="H98" s="12"/>
      <c r="I98" s="12"/>
      <c r="J98" s="12"/>
    </row>
    <row r="99" spans="1:10" ht="38.25" customHeight="1">
      <c r="A99" s="3" t="s">
        <v>2245</v>
      </c>
      <c r="B99" s="11"/>
      <c r="C99" s="11"/>
      <c r="D99" s="11"/>
      <c r="E99" s="11"/>
      <c r="F99" s="11"/>
      <c r="G99" s="11"/>
      <c r="H99" s="11"/>
      <c r="I99" s="11"/>
      <c r="J99" s="11"/>
    </row>
    <row r="100" spans="1:10" ht="25.5" customHeight="1">
      <c r="A100" s="4" t="s">
        <v>2246</v>
      </c>
      <c r="B100" s="12"/>
      <c r="C100" s="12"/>
      <c r="D100" s="12"/>
      <c r="E100" s="12"/>
      <c r="F100" s="12"/>
      <c r="G100" s="12"/>
      <c r="H100" s="12"/>
      <c r="I100" s="12"/>
      <c r="J100" s="12"/>
    </row>
    <row r="101" spans="1:10" ht="25.5" customHeight="1">
      <c r="A101" s="3" t="s">
        <v>2247</v>
      </c>
      <c r="B101" s="11"/>
      <c r="C101" s="11"/>
      <c r="D101" s="11"/>
      <c r="E101" s="11"/>
      <c r="F101" s="11"/>
      <c r="G101" s="11"/>
      <c r="H101" s="11"/>
      <c r="I101" s="11"/>
      <c r="J101" s="11"/>
    </row>
    <row r="102" spans="1:10" ht="12.75" customHeight="1">
      <c r="A102" s="4" t="s">
        <v>2248</v>
      </c>
      <c r="B102" s="12"/>
      <c r="C102" s="12"/>
      <c r="D102" s="12"/>
      <c r="E102" s="12"/>
      <c r="F102" s="12"/>
      <c r="G102" s="12"/>
      <c r="H102" s="12"/>
      <c r="I102" s="12"/>
      <c r="J102" s="12"/>
    </row>
    <row r="103" spans="1:10" ht="12.75" customHeight="1">
      <c r="A103" s="3" t="s">
        <v>2249</v>
      </c>
      <c r="B103" s="11">
        <f>+'DCA-Anexo I-F'!B104+'DCA-Anexo I-F'!B105+'DCA-Anexo I-F'!B106+'DCA-Anexo I-F'!B107+'DCA-Anexo I-F'!B108+'DCA-Anexo I-F'!B109+'DCA-Anexo I-F'!B110+'DCA-Anexo I-F'!B111+'DCA-Anexo I-F'!B112+'DCA-Anexo I-F'!B113+'DCA-Anexo I-F'!B114+'DCA-Anexo I-F'!B115+'DCA-Anexo I-F'!B116+'DCA-Anexo I-F'!B117+'DCA-Anexo I-F'!B118+'DCA-Anexo I-F'!B119+'DCA-Anexo I-F'!B121+'DCA-Anexo I-F'!B124+'DCA-Anexo I-F'!B125+'DCA-Anexo I-F'!B126+'DCA-Anexo I-F'!B138+'DCA-Anexo I-F'!B140+'DCA-Anexo I-F'!B141+'DCA-Anexo I-F'!B127+'DCA-Anexo I-F'!B142+'DCA-Anexo I-F'!B143+'DCA-Anexo I-F'!B144+'DCA-Anexo I-F'!B120+'DCA-Anexo I-F'!B122+'DCA-Anexo I-F'!B123+'DCA-Anexo I-F'!B139</f>
        <v>0</v>
      </c>
      <c r="C103" s="11">
        <f>+'DCA-Anexo I-F'!C104+'DCA-Anexo I-F'!C105+'DCA-Anexo I-F'!C106+'DCA-Anexo I-F'!C107+'DCA-Anexo I-F'!C108+'DCA-Anexo I-F'!C109+'DCA-Anexo I-F'!C110+'DCA-Anexo I-F'!C111+'DCA-Anexo I-F'!C112+'DCA-Anexo I-F'!C113+'DCA-Anexo I-F'!C114+'DCA-Anexo I-F'!C115+'DCA-Anexo I-F'!C116+'DCA-Anexo I-F'!C117+'DCA-Anexo I-F'!C118+'DCA-Anexo I-F'!C119+'DCA-Anexo I-F'!C121+'DCA-Anexo I-F'!C124+'DCA-Anexo I-F'!C125+'DCA-Anexo I-F'!C126+'DCA-Anexo I-F'!C138+'DCA-Anexo I-F'!C140+'DCA-Anexo I-F'!C141+'DCA-Anexo I-F'!C127+'DCA-Anexo I-F'!C142+'DCA-Anexo I-F'!C143+'DCA-Anexo I-F'!C144+'DCA-Anexo I-F'!C120+'DCA-Anexo I-F'!C122+'DCA-Anexo I-F'!C123+'DCA-Anexo I-F'!C139</f>
        <v>0</v>
      </c>
      <c r="D103" s="11">
        <f>+'DCA-Anexo I-F'!D104+'DCA-Anexo I-F'!D105+'DCA-Anexo I-F'!D106+'DCA-Anexo I-F'!D107+'DCA-Anexo I-F'!D108+'DCA-Anexo I-F'!D109+'DCA-Anexo I-F'!D110+'DCA-Anexo I-F'!D111+'DCA-Anexo I-F'!D112+'DCA-Anexo I-F'!D113+'DCA-Anexo I-F'!D114+'DCA-Anexo I-F'!D115+'DCA-Anexo I-F'!D116+'DCA-Anexo I-F'!D117+'DCA-Anexo I-F'!D118+'DCA-Anexo I-F'!D119+'DCA-Anexo I-F'!D121+'DCA-Anexo I-F'!D124+'DCA-Anexo I-F'!D125+'DCA-Anexo I-F'!D126+'DCA-Anexo I-F'!D138+'DCA-Anexo I-F'!D140+'DCA-Anexo I-F'!D141+'DCA-Anexo I-F'!D127+'DCA-Anexo I-F'!D142+'DCA-Anexo I-F'!D143+'DCA-Anexo I-F'!D144+'DCA-Anexo I-F'!D120+'DCA-Anexo I-F'!D122+'DCA-Anexo I-F'!D123+'DCA-Anexo I-F'!D139</f>
        <v>0</v>
      </c>
      <c r="E103" s="11">
        <f>+'DCA-Anexo I-F'!E104+'DCA-Anexo I-F'!E105+'DCA-Anexo I-F'!E106+'DCA-Anexo I-F'!E107+'DCA-Anexo I-F'!E108+'DCA-Anexo I-F'!E109+'DCA-Anexo I-F'!E110+'DCA-Anexo I-F'!E111+'DCA-Anexo I-F'!E112+'DCA-Anexo I-F'!E113+'DCA-Anexo I-F'!E114+'DCA-Anexo I-F'!E115+'DCA-Anexo I-F'!E116+'DCA-Anexo I-F'!E117+'DCA-Anexo I-F'!E118+'DCA-Anexo I-F'!E119+'DCA-Anexo I-F'!E121+'DCA-Anexo I-F'!E124+'DCA-Anexo I-F'!E125+'DCA-Anexo I-F'!E126+'DCA-Anexo I-F'!E138+'DCA-Anexo I-F'!E140+'DCA-Anexo I-F'!E141+'DCA-Anexo I-F'!E127+'DCA-Anexo I-F'!E142+'DCA-Anexo I-F'!E143+'DCA-Anexo I-F'!E144+'DCA-Anexo I-F'!E120+'DCA-Anexo I-F'!E122+'DCA-Anexo I-F'!E123+'DCA-Anexo I-F'!E139</f>
        <v>0</v>
      </c>
      <c r="F103" s="11">
        <f>+'DCA-Anexo I-F'!F104+'DCA-Anexo I-F'!F105+'DCA-Anexo I-F'!F106+'DCA-Anexo I-F'!F107+'DCA-Anexo I-F'!F108+'DCA-Anexo I-F'!F109+'DCA-Anexo I-F'!F110+'DCA-Anexo I-F'!F111+'DCA-Anexo I-F'!F112+'DCA-Anexo I-F'!F113+'DCA-Anexo I-F'!F114+'DCA-Anexo I-F'!F115+'DCA-Anexo I-F'!F116+'DCA-Anexo I-F'!F117+'DCA-Anexo I-F'!F118+'DCA-Anexo I-F'!F119+'DCA-Anexo I-F'!F121+'DCA-Anexo I-F'!F124+'DCA-Anexo I-F'!F125+'DCA-Anexo I-F'!F126+'DCA-Anexo I-F'!F138+'DCA-Anexo I-F'!F140+'DCA-Anexo I-F'!F141+'DCA-Anexo I-F'!F127+'DCA-Anexo I-F'!F142+'DCA-Anexo I-F'!F143+'DCA-Anexo I-F'!F144+'DCA-Anexo I-F'!F120+'DCA-Anexo I-F'!F122+'DCA-Anexo I-F'!F123+'DCA-Anexo I-F'!F139</f>
        <v>0</v>
      </c>
      <c r="G103" s="11">
        <f>+'DCA-Anexo I-F'!G104+'DCA-Anexo I-F'!G105+'DCA-Anexo I-F'!G106+'DCA-Anexo I-F'!G107+'DCA-Anexo I-F'!G108+'DCA-Anexo I-F'!G109+'DCA-Anexo I-F'!G110+'DCA-Anexo I-F'!G111+'DCA-Anexo I-F'!G112+'DCA-Anexo I-F'!G113+'DCA-Anexo I-F'!G114+'DCA-Anexo I-F'!G115+'DCA-Anexo I-F'!G116+'DCA-Anexo I-F'!G117+'DCA-Anexo I-F'!G118+'DCA-Anexo I-F'!G119+'DCA-Anexo I-F'!G121+'DCA-Anexo I-F'!G124+'DCA-Anexo I-F'!G125+'DCA-Anexo I-F'!G126+'DCA-Anexo I-F'!G138+'DCA-Anexo I-F'!G140+'DCA-Anexo I-F'!G141+'DCA-Anexo I-F'!G127+'DCA-Anexo I-F'!G142+'DCA-Anexo I-F'!G143+'DCA-Anexo I-F'!G144+'DCA-Anexo I-F'!G120+'DCA-Anexo I-F'!G122+'DCA-Anexo I-F'!G123+'DCA-Anexo I-F'!G139</f>
        <v>0</v>
      </c>
      <c r="H103" s="11">
        <f>+'DCA-Anexo I-F'!H104+'DCA-Anexo I-F'!H105+'DCA-Anexo I-F'!H106+'DCA-Anexo I-F'!H107+'DCA-Anexo I-F'!H108+'DCA-Anexo I-F'!H109+'DCA-Anexo I-F'!H110+'DCA-Anexo I-F'!H111+'DCA-Anexo I-F'!H112+'DCA-Anexo I-F'!H113+'DCA-Anexo I-F'!H114+'DCA-Anexo I-F'!H115+'DCA-Anexo I-F'!H116+'DCA-Anexo I-F'!H117+'DCA-Anexo I-F'!H118+'DCA-Anexo I-F'!H119+'DCA-Anexo I-F'!H121+'DCA-Anexo I-F'!H124+'DCA-Anexo I-F'!H125+'DCA-Anexo I-F'!H126+'DCA-Anexo I-F'!H138+'DCA-Anexo I-F'!H140+'DCA-Anexo I-F'!H141+'DCA-Anexo I-F'!H127+'DCA-Anexo I-F'!H142+'DCA-Anexo I-F'!H143+'DCA-Anexo I-F'!H144+'DCA-Anexo I-F'!H120+'DCA-Anexo I-F'!H122+'DCA-Anexo I-F'!H123+'DCA-Anexo I-F'!H139</f>
        <v>0</v>
      </c>
      <c r="I103" s="11">
        <f>+'DCA-Anexo I-F'!I104+'DCA-Anexo I-F'!I105+'DCA-Anexo I-F'!I106+'DCA-Anexo I-F'!I107+'DCA-Anexo I-F'!I108+'DCA-Anexo I-F'!I109+'DCA-Anexo I-F'!I110+'DCA-Anexo I-F'!I111+'DCA-Anexo I-F'!I112+'DCA-Anexo I-F'!I113+'DCA-Anexo I-F'!I114+'DCA-Anexo I-F'!I115+'DCA-Anexo I-F'!I116+'DCA-Anexo I-F'!I117+'DCA-Anexo I-F'!I118+'DCA-Anexo I-F'!I119+'DCA-Anexo I-F'!I121+'DCA-Anexo I-F'!I124+'DCA-Anexo I-F'!I125+'DCA-Anexo I-F'!I126+'DCA-Anexo I-F'!I138+'DCA-Anexo I-F'!I140+'DCA-Anexo I-F'!I141+'DCA-Anexo I-F'!I127+'DCA-Anexo I-F'!I142+'DCA-Anexo I-F'!I143+'DCA-Anexo I-F'!I144+'DCA-Anexo I-F'!I120+'DCA-Anexo I-F'!I122+'DCA-Anexo I-F'!I123+'DCA-Anexo I-F'!I139</f>
        <v>0</v>
      </c>
      <c r="J103" s="11">
        <f>+'DCA-Anexo I-F'!J104+'DCA-Anexo I-F'!J105+'DCA-Anexo I-F'!J106+'DCA-Anexo I-F'!J107+'DCA-Anexo I-F'!J108+'DCA-Anexo I-F'!J109+'DCA-Anexo I-F'!J110+'DCA-Anexo I-F'!J111+'DCA-Anexo I-F'!J112+'DCA-Anexo I-F'!J113+'DCA-Anexo I-F'!J114+'DCA-Anexo I-F'!J115+'DCA-Anexo I-F'!J116+'DCA-Anexo I-F'!J117+'DCA-Anexo I-F'!J118+'DCA-Anexo I-F'!J119+'DCA-Anexo I-F'!J121+'DCA-Anexo I-F'!J124+'DCA-Anexo I-F'!J125+'DCA-Anexo I-F'!J126+'DCA-Anexo I-F'!J138+'DCA-Anexo I-F'!J140+'DCA-Anexo I-F'!J141+'DCA-Anexo I-F'!J127+'DCA-Anexo I-F'!J142+'DCA-Anexo I-F'!J143+'DCA-Anexo I-F'!J144+'DCA-Anexo I-F'!J120+'DCA-Anexo I-F'!J122+'DCA-Anexo I-F'!J123+'DCA-Anexo I-F'!J139</f>
        <v>0</v>
      </c>
    </row>
    <row r="104" spans="1:10" ht="12.75" customHeight="1">
      <c r="A104" s="4" t="s">
        <v>2250</v>
      </c>
      <c r="B104" s="12"/>
      <c r="C104" s="12"/>
      <c r="D104" s="12"/>
      <c r="E104" s="12"/>
      <c r="F104" s="12"/>
      <c r="G104" s="12"/>
      <c r="H104" s="12"/>
      <c r="I104" s="12"/>
      <c r="J104" s="12"/>
    </row>
    <row r="105" spans="1:10" ht="12.75" customHeight="1">
      <c r="A105" s="3" t="s">
        <v>2251</v>
      </c>
      <c r="B105" s="11"/>
      <c r="C105" s="11"/>
      <c r="D105" s="11"/>
      <c r="E105" s="11"/>
      <c r="F105" s="11"/>
      <c r="G105" s="11"/>
      <c r="H105" s="11"/>
      <c r="I105" s="11"/>
      <c r="J105" s="11"/>
    </row>
    <row r="106" spans="1:10" ht="12.75" customHeight="1">
      <c r="A106" s="4" t="s">
        <v>2252</v>
      </c>
      <c r="B106" s="12"/>
      <c r="C106" s="12"/>
      <c r="D106" s="12"/>
      <c r="E106" s="12"/>
      <c r="F106" s="12"/>
      <c r="G106" s="12"/>
      <c r="H106" s="12"/>
      <c r="I106" s="12"/>
      <c r="J106" s="12"/>
    </row>
    <row r="107" spans="1:10" ht="25.5" customHeight="1">
      <c r="A107" s="3" t="s">
        <v>2253</v>
      </c>
      <c r="B107" s="11"/>
      <c r="C107" s="11"/>
      <c r="D107" s="11"/>
      <c r="E107" s="11"/>
      <c r="F107" s="11"/>
      <c r="G107" s="11"/>
      <c r="H107" s="11"/>
      <c r="I107" s="11"/>
      <c r="J107" s="11"/>
    </row>
    <row r="108" spans="1:10" ht="25.5" customHeight="1">
      <c r="A108" s="4" t="s">
        <v>2254</v>
      </c>
      <c r="B108" s="12"/>
      <c r="C108" s="12"/>
      <c r="D108" s="12"/>
      <c r="E108" s="12"/>
      <c r="F108" s="12"/>
      <c r="G108" s="12"/>
      <c r="H108" s="12"/>
      <c r="I108" s="12"/>
      <c r="J108" s="12"/>
    </row>
    <row r="109" spans="1:10" ht="38.25" customHeight="1">
      <c r="A109" s="3" t="s">
        <v>2255</v>
      </c>
      <c r="B109" s="11"/>
      <c r="C109" s="11"/>
      <c r="D109" s="11"/>
      <c r="E109" s="11"/>
      <c r="F109" s="11"/>
      <c r="G109" s="11"/>
      <c r="H109" s="11"/>
      <c r="I109" s="11"/>
      <c r="J109" s="11"/>
    </row>
    <row r="110" spans="1:10" ht="38.25" customHeight="1">
      <c r="A110" s="4" t="s">
        <v>2256</v>
      </c>
      <c r="B110" s="12"/>
      <c r="C110" s="12"/>
      <c r="D110" s="12"/>
      <c r="E110" s="12"/>
      <c r="F110" s="12"/>
      <c r="G110" s="12"/>
      <c r="H110" s="12"/>
      <c r="I110" s="12"/>
      <c r="J110" s="12"/>
    </row>
    <row r="111" spans="1:10" ht="12.75" customHeight="1">
      <c r="A111" s="3" t="s">
        <v>2257</v>
      </c>
      <c r="B111" s="11"/>
      <c r="C111" s="11"/>
      <c r="D111" s="11"/>
      <c r="E111" s="11"/>
      <c r="F111" s="11"/>
      <c r="G111" s="11"/>
      <c r="H111" s="11"/>
      <c r="I111" s="11"/>
      <c r="J111" s="11"/>
    </row>
    <row r="112" spans="1:10" ht="12.75" customHeight="1">
      <c r="A112" s="4" t="s">
        <v>2258</v>
      </c>
      <c r="B112" s="12"/>
      <c r="C112" s="12"/>
      <c r="D112" s="12"/>
      <c r="E112" s="12"/>
      <c r="F112" s="12"/>
      <c r="G112" s="12"/>
      <c r="H112" s="12"/>
      <c r="I112" s="12"/>
      <c r="J112" s="12"/>
    </row>
    <row r="113" spans="1:10" ht="12.75" customHeight="1">
      <c r="A113" s="3" t="s">
        <v>2259</v>
      </c>
      <c r="B113" s="11"/>
      <c r="C113" s="11"/>
      <c r="D113" s="11"/>
      <c r="E113" s="11"/>
      <c r="F113" s="11"/>
      <c r="G113" s="11"/>
      <c r="H113" s="11"/>
      <c r="I113" s="11"/>
      <c r="J113" s="11"/>
    </row>
    <row r="114" spans="1:10" ht="38.25" customHeight="1">
      <c r="A114" s="4" t="s">
        <v>2260</v>
      </c>
      <c r="B114" s="12"/>
      <c r="C114" s="12"/>
      <c r="D114" s="12"/>
      <c r="E114" s="12"/>
      <c r="F114" s="12"/>
      <c r="G114" s="12"/>
      <c r="H114" s="12"/>
      <c r="I114" s="12"/>
      <c r="J114" s="12"/>
    </row>
    <row r="115" spans="1:10" ht="25.5" customHeight="1">
      <c r="A115" s="3" t="s">
        <v>2261</v>
      </c>
      <c r="B115" s="11"/>
      <c r="C115" s="11"/>
      <c r="D115" s="11"/>
      <c r="E115" s="11"/>
      <c r="F115" s="11"/>
      <c r="G115" s="11"/>
      <c r="H115" s="11"/>
      <c r="I115" s="11"/>
      <c r="J115" s="11"/>
    </row>
    <row r="116" spans="1:10" ht="25.5" customHeight="1">
      <c r="A116" s="4" t="s">
        <v>2262</v>
      </c>
      <c r="B116" s="12"/>
      <c r="C116" s="12"/>
      <c r="D116" s="12"/>
      <c r="E116" s="12"/>
      <c r="F116" s="12"/>
      <c r="G116" s="12"/>
      <c r="H116" s="12"/>
      <c r="I116" s="12"/>
      <c r="J116" s="12"/>
    </row>
    <row r="117" spans="1:10" ht="25.5" customHeight="1">
      <c r="A117" s="3" t="s">
        <v>2263</v>
      </c>
      <c r="B117" s="11"/>
      <c r="C117" s="11"/>
      <c r="D117" s="11"/>
      <c r="E117" s="11"/>
      <c r="F117" s="11"/>
      <c r="G117" s="11"/>
      <c r="H117" s="11"/>
      <c r="I117" s="11"/>
      <c r="J117" s="11"/>
    </row>
    <row r="118" spans="1:10" ht="12.75" customHeight="1">
      <c r="A118" s="4" t="s">
        <v>2264</v>
      </c>
      <c r="B118" s="12"/>
      <c r="C118" s="12"/>
      <c r="D118" s="12"/>
      <c r="E118" s="12"/>
      <c r="F118" s="12"/>
      <c r="G118" s="12"/>
      <c r="H118" s="12"/>
      <c r="I118" s="12"/>
      <c r="J118" s="12"/>
    </row>
    <row r="119" spans="1:10" ht="12.75" customHeight="1">
      <c r="A119" s="3" t="s">
        <v>2265</v>
      </c>
      <c r="B119" s="11"/>
      <c r="C119" s="11"/>
      <c r="D119" s="11"/>
      <c r="E119" s="11"/>
      <c r="F119" s="11"/>
      <c r="G119" s="11"/>
      <c r="H119" s="11"/>
      <c r="I119" s="11"/>
      <c r="J119" s="11"/>
    </row>
    <row r="120" spans="1:10" ht="25.5" customHeight="1">
      <c r="A120" s="4" t="s">
        <v>2266</v>
      </c>
      <c r="B120" s="12"/>
      <c r="C120" s="12"/>
      <c r="D120" s="12"/>
      <c r="E120" s="12"/>
      <c r="F120" s="12"/>
      <c r="G120" s="12"/>
      <c r="H120" s="12"/>
      <c r="I120" s="12"/>
      <c r="J120" s="12"/>
    </row>
    <row r="121" spans="1:10" ht="12.75" customHeight="1">
      <c r="A121" s="3" t="s">
        <v>2267</v>
      </c>
      <c r="B121" s="11"/>
      <c r="C121" s="11"/>
      <c r="D121" s="11"/>
      <c r="E121" s="11"/>
      <c r="F121" s="11"/>
      <c r="G121" s="11"/>
      <c r="H121" s="11"/>
      <c r="I121" s="11"/>
      <c r="J121" s="11"/>
    </row>
    <row r="122" spans="1:10" ht="38.25" customHeight="1">
      <c r="A122" s="4" t="s">
        <v>2268</v>
      </c>
      <c r="B122" s="12"/>
      <c r="C122" s="12"/>
      <c r="D122" s="12"/>
      <c r="E122" s="12"/>
      <c r="F122" s="12"/>
      <c r="G122" s="12"/>
      <c r="H122" s="12"/>
      <c r="I122" s="12"/>
      <c r="J122" s="12"/>
    </row>
    <row r="123" spans="1:10" ht="38.25" customHeight="1">
      <c r="A123" s="3" t="s">
        <v>2269</v>
      </c>
      <c r="B123" s="11"/>
      <c r="C123" s="11"/>
      <c r="D123" s="11"/>
      <c r="E123" s="11"/>
      <c r="F123" s="11"/>
      <c r="G123" s="11"/>
      <c r="H123" s="11"/>
      <c r="I123" s="11"/>
      <c r="J123" s="11"/>
    </row>
    <row r="124" spans="1:10" ht="38.25" customHeight="1">
      <c r="A124" s="4" t="s">
        <v>2270</v>
      </c>
      <c r="B124" s="12"/>
      <c r="C124" s="12"/>
      <c r="D124" s="12"/>
      <c r="E124" s="12"/>
      <c r="F124" s="12"/>
      <c r="G124" s="12"/>
      <c r="H124" s="12"/>
      <c r="I124" s="12"/>
      <c r="J124" s="12"/>
    </row>
    <row r="125" spans="1:10" ht="25.5" customHeight="1">
      <c r="A125" s="3" t="s">
        <v>2271</v>
      </c>
      <c r="B125" s="11"/>
      <c r="C125" s="11"/>
      <c r="D125" s="11"/>
      <c r="E125" s="11"/>
      <c r="F125" s="11"/>
      <c r="G125" s="11"/>
      <c r="H125" s="11"/>
      <c r="I125" s="11"/>
      <c r="J125" s="11"/>
    </row>
    <row r="126" spans="1:10" ht="12.75" customHeight="1">
      <c r="A126" s="4" t="s">
        <v>2272</v>
      </c>
      <c r="B126" s="12"/>
      <c r="C126" s="12"/>
      <c r="D126" s="12"/>
      <c r="E126" s="12"/>
      <c r="F126" s="12"/>
      <c r="G126" s="12"/>
      <c r="H126" s="12"/>
      <c r="I126" s="12"/>
      <c r="J126" s="12"/>
    </row>
    <row r="127" spans="1:10" ht="12.75" customHeight="1">
      <c r="A127" s="3" t="s">
        <v>2273</v>
      </c>
      <c r="B127" s="11">
        <f>+'DCA-Anexo I-F'!B129+'DCA-Anexo I-F'!B137+'DCA-Anexo I-F'!B132+'DCA-Anexo I-F'!B133+'DCA-Anexo I-F'!B128+'DCA-Anexo I-F'!B131+'DCA-Anexo I-F'!B135+'DCA-Anexo I-F'!B130+'DCA-Anexo I-F'!B136+'DCA-Anexo I-F'!B134</f>
        <v>0</v>
      </c>
      <c r="C127" s="11">
        <f>+'DCA-Anexo I-F'!C129+'DCA-Anexo I-F'!C137+'DCA-Anexo I-F'!C132+'DCA-Anexo I-F'!C133+'DCA-Anexo I-F'!C128+'DCA-Anexo I-F'!C131+'DCA-Anexo I-F'!C135+'DCA-Anexo I-F'!C130+'DCA-Anexo I-F'!C136+'DCA-Anexo I-F'!C134</f>
        <v>0</v>
      </c>
      <c r="D127" s="11">
        <f>+'DCA-Anexo I-F'!D129+'DCA-Anexo I-F'!D137+'DCA-Anexo I-F'!D132+'DCA-Anexo I-F'!D133+'DCA-Anexo I-F'!D128+'DCA-Anexo I-F'!D131+'DCA-Anexo I-F'!D135+'DCA-Anexo I-F'!D130+'DCA-Anexo I-F'!D136+'DCA-Anexo I-F'!D134</f>
        <v>0</v>
      </c>
      <c r="E127" s="11">
        <f>+'DCA-Anexo I-F'!E129+'DCA-Anexo I-F'!E137+'DCA-Anexo I-F'!E132+'DCA-Anexo I-F'!E133+'DCA-Anexo I-F'!E128+'DCA-Anexo I-F'!E131+'DCA-Anexo I-F'!E135+'DCA-Anexo I-F'!E130+'DCA-Anexo I-F'!E136+'DCA-Anexo I-F'!E134</f>
        <v>0</v>
      </c>
      <c r="F127" s="11">
        <f>+'DCA-Anexo I-F'!F129+'DCA-Anexo I-F'!F137+'DCA-Anexo I-F'!F132+'DCA-Anexo I-F'!F133+'DCA-Anexo I-F'!F128+'DCA-Anexo I-F'!F131+'DCA-Anexo I-F'!F135+'DCA-Anexo I-F'!F130+'DCA-Anexo I-F'!F136+'DCA-Anexo I-F'!F134</f>
        <v>0</v>
      </c>
      <c r="G127" s="11">
        <f>+'DCA-Anexo I-F'!G129+'DCA-Anexo I-F'!G137+'DCA-Anexo I-F'!G132+'DCA-Anexo I-F'!G133+'DCA-Anexo I-F'!G128+'DCA-Anexo I-F'!G131+'DCA-Anexo I-F'!G135+'DCA-Anexo I-F'!G130+'DCA-Anexo I-F'!G136+'DCA-Anexo I-F'!G134</f>
        <v>0</v>
      </c>
      <c r="H127" s="11">
        <f>+'DCA-Anexo I-F'!H129+'DCA-Anexo I-F'!H137+'DCA-Anexo I-F'!H132+'DCA-Anexo I-F'!H133+'DCA-Anexo I-F'!H128+'DCA-Anexo I-F'!H131+'DCA-Anexo I-F'!H135+'DCA-Anexo I-F'!H130+'DCA-Anexo I-F'!H136+'DCA-Anexo I-F'!H134</f>
        <v>0</v>
      </c>
      <c r="I127" s="11">
        <f>+'DCA-Anexo I-F'!I129+'DCA-Anexo I-F'!I137+'DCA-Anexo I-F'!I132+'DCA-Anexo I-F'!I133+'DCA-Anexo I-F'!I128+'DCA-Anexo I-F'!I131+'DCA-Anexo I-F'!I135+'DCA-Anexo I-F'!I130+'DCA-Anexo I-F'!I136+'DCA-Anexo I-F'!I134</f>
        <v>0</v>
      </c>
      <c r="J127" s="11">
        <f>+'DCA-Anexo I-F'!J129+'DCA-Anexo I-F'!J137+'DCA-Anexo I-F'!J132+'DCA-Anexo I-F'!J133+'DCA-Anexo I-F'!J128+'DCA-Anexo I-F'!J131+'DCA-Anexo I-F'!J135+'DCA-Anexo I-F'!J130+'DCA-Anexo I-F'!J136+'DCA-Anexo I-F'!J134</f>
        <v>0</v>
      </c>
    </row>
    <row r="128" spans="1:10" ht="12.75" customHeight="1">
      <c r="A128" s="4" t="s">
        <v>2274</v>
      </c>
      <c r="B128" s="12"/>
      <c r="C128" s="12"/>
      <c r="D128" s="12"/>
      <c r="E128" s="12"/>
      <c r="F128" s="12"/>
      <c r="G128" s="12"/>
      <c r="H128" s="12"/>
      <c r="I128" s="12"/>
      <c r="J128" s="12"/>
    </row>
    <row r="129" spans="1:10" ht="12.75" customHeight="1">
      <c r="A129" s="3" t="s">
        <v>2275</v>
      </c>
      <c r="B129" s="11"/>
      <c r="C129" s="11"/>
      <c r="D129" s="11"/>
      <c r="E129" s="11"/>
      <c r="F129" s="11"/>
      <c r="G129" s="11"/>
      <c r="H129" s="11"/>
      <c r="I129" s="11"/>
      <c r="J129" s="11"/>
    </row>
    <row r="130" spans="1:10" ht="12.75" customHeight="1">
      <c r="A130" s="4" t="s">
        <v>2276</v>
      </c>
      <c r="B130" s="12"/>
      <c r="C130" s="12"/>
      <c r="D130" s="12"/>
      <c r="E130" s="12"/>
      <c r="F130" s="12"/>
      <c r="G130" s="12"/>
      <c r="H130" s="12"/>
      <c r="I130" s="12"/>
      <c r="J130" s="12"/>
    </row>
    <row r="131" spans="1:10" ht="12.75" customHeight="1">
      <c r="A131" s="3" t="s">
        <v>2277</v>
      </c>
      <c r="B131" s="11"/>
      <c r="C131" s="11"/>
      <c r="D131" s="11"/>
      <c r="E131" s="11"/>
      <c r="F131" s="11"/>
      <c r="G131" s="11"/>
      <c r="H131" s="11"/>
      <c r="I131" s="11"/>
      <c r="J131" s="11"/>
    </row>
    <row r="132" spans="1:10" ht="25.5" customHeight="1">
      <c r="A132" s="4" t="s">
        <v>2278</v>
      </c>
      <c r="B132" s="12"/>
      <c r="C132" s="12"/>
      <c r="D132" s="12"/>
      <c r="E132" s="12"/>
      <c r="F132" s="12"/>
      <c r="G132" s="12"/>
      <c r="H132" s="12"/>
      <c r="I132" s="12"/>
      <c r="J132" s="12"/>
    </row>
    <row r="133" spans="1:10" ht="12.75" customHeight="1">
      <c r="A133" s="3" t="s">
        <v>2279</v>
      </c>
      <c r="B133" s="11"/>
      <c r="C133" s="11"/>
      <c r="D133" s="11"/>
      <c r="E133" s="11"/>
      <c r="F133" s="11"/>
      <c r="G133" s="11"/>
      <c r="H133" s="11"/>
      <c r="I133" s="11"/>
      <c r="J133" s="11"/>
    </row>
    <row r="134" spans="1:10" ht="12.75" customHeight="1">
      <c r="A134" s="4" t="s">
        <v>2280</v>
      </c>
      <c r="B134" s="12"/>
      <c r="C134" s="12"/>
      <c r="D134" s="12"/>
      <c r="E134" s="12"/>
      <c r="F134" s="12"/>
      <c r="G134" s="12"/>
      <c r="H134" s="12"/>
      <c r="I134" s="12"/>
      <c r="J134" s="12"/>
    </row>
    <row r="135" spans="1:10" ht="12.75" customHeight="1">
      <c r="A135" s="3" t="s">
        <v>2281</v>
      </c>
      <c r="B135" s="11"/>
      <c r="C135" s="11"/>
      <c r="D135" s="11"/>
      <c r="E135" s="11"/>
      <c r="F135" s="11"/>
      <c r="G135" s="11"/>
      <c r="H135" s="11"/>
      <c r="I135" s="11"/>
      <c r="J135" s="11"/>
    </row>
    <row r="136" spans="1:10" ht="12.75" customHeight="1">
      <c r="A136" s="4" t="s">
        <v>2282</v>
      </c>
      <c r="B136" s="12"/>
      <c r="C136" s="12"/>
      <c r="D136" s="12"/>
      <c r="E136" s="12"/>
      <c r="F136" s="12"/>
      <c r="G136" s="12"/>
      <c r="H136" s="12"/>
      <c r="I136" s="12"/>
      <c r="J136" s="12"/>
    </row>
    <row r="137" spans="1:10" ht="12.75" customHeight="1">
      <c r="A137" s="3" t="s">
        <v>2283</v>
      </c>
      <c r="B137" s="11"/>
      <c r="C137" s="11"/>
      <c r="D137" s="11"/>
      <c r="E137" s="11"/>
      <c r="F137" s="11"/>
      <c r="G137" s="11"/>
      <c r="H137" s="11"/>
      <c r="I137" s="11"/>
      <c r="J137" s="11"/>
    </row>
    <row r="138" spans="1:10" ht="25.5" customHeight="1">
      <c r="A138" s="4" t="s">
        <v>2284</v>
      </c>
      <c r="B138" s="12"/>
      <c r="C138" s="12"/>
      <c r="D138" s="12"/>
      <c r="E138" s="12"/>
      <c r="F138" s="12"/>
      <c r="G138" s="12"/>
      <c r="H138" s="12"/>
      <c r="I138" s="12"/>
      <c r="J138" s="12"/>
    </row>
    <row r="139" spans="1:10" ht="25.5" customHeight="1">
      <c r="A139" s="3" t="s">
        <v>2285</v>
      </c>
      <c r="B139" s="11"/>
      <c r="C139" s="11"/>
      <c r="D139" s="11"/>
      <c r="E139" s="11"/>
      <c r="F139" s="11"/>
      <c r="G139" s="11"/>
      <c r="H139" s="11"/>
      <c r="I139" s="11"/>
      <c r="J139" s="11"/>
    </row>
    <row r="140" spans="1:10" ht="38.25" customHeight="1">
      <c r="A140" s="4" t="s">
        <v>2286</v>
      </c>
      <c r="B140" s="12"/>
      <c r="C140" s="12"/>
      <c r="D140" s="12"/>
      <c r="E140" s="12"/>
      <c r="F140" s="12"/>
      <c r="G140" s="12"/>
      <c r="H140" s="12"/>
      <c r="I140" s="12"/>
      <c r="J140" s="12"/>
    </row>
    <row r="141" spans="1:10" ht="38.25" customHeight="1">
      <c r="A141" s="3" t="s">
        <v>2287</v>
      </c>
      <c r="B141" s="11"/>
      <c r="C141" s="11"/>
      <c r="D141" s="11"/>
      <c r="E141" s="11"/>
      <c r="F141" s="11"/>
      <c r="G141" s="11"/>
      <c r="H141" s="11"/>
      <c r="I141" s="11"/>
      <c r="J141" s="11"/>
    </row>
    <row r="142" spans="1:10" ht="25.5" customHeight="1">
      <c r="A142" s="4" t="s">
        <v>2288</v>
      </c>
      <c r="B142" s="12"/>
      <c r="C142" s="12"/>
      <c r="D142" s="12"/>
      <c r="E142" s="12"/>
      <c r="F142" s="12"/>
      <c r="G142" s="12"/>
      <c r="H142" s="12"/>
      <c r="I142" s="12"/>
      <c r="J142" s="12"/>
    </row>
    <row r="143" spans="1:10" ht="25.5" customHeight="1">
      <c r="A143" s="3" t="s">
        <v>2289</v>
      </c>
      <c r="B143" s="11"/>
      <c r="C143" s="11"/>
      <c r="D143" s="11"/>
      <c r="E143" s="11"/>
      <c r="F143" s="11"/>
      <c r="G143" s="11"/>
      <c r="H143" s="11"/>
      <c r="I143" s="11"/>
      <c r="J143" s="11"/>
    </row>
    <row r="144" spans="1:10" ht="12.75" customHeight="1">
      <c r="A144" s="4" t="s">
        <v>2290</v>
      </c>
      <c r="B144" s="12"/>
      <c r="C144" s="12"/>
      <c r="D144" s="12"/>
      <c r="E144" s="12"/>
      <c r="F144" s="12"/>
      <c r="G144" s="12"/>
      <c r="H144" s="12"/>
      <c r="I144" s="12"/>
      <c r="J144" s="12"/>
    </row>
    <row r="145" spans="1:10" ht="12.75" customHeight="1">
      <c r="A145" s="3" t="s">
        <v>2291</v>
      </c>
      <c r="B145" s="11">
        <f>+'DCA-Anexo I-F'!B180+'DCA-Anexo I-F'!B158+'DCA-Anexo I-F'!B157+'DCA-Anexo I-F'!B232+'DCA-Anexo I-F'!B148+'DCA-Anexo I-F'!B178+'DCA-Anexo I-F'!B234+'DCA-Anexo I-F'!B231+'DCA-Anexo I-F'!B167+'DCA-Anexo I-F'!B172+'DCA-Anexo I-F'!B156+'DCA-Anexo I-F'!B169+'DCA-Anexo I-F'!B175+'DCA-Anexo I-F'!B168+'DCA-Anexo I-F'!B146+'DCA-Anexo I-F'!B165+'DCA-Anexo I-F'!B154+'DCA-Anexo I-F'!B230+'DCA-Anexo I-F'!B147+'DCA-Anexo I-F'!B174+'DCA-Anexo I-F'!B233+'DCA-Anexo I-F'!B177+'DCA-Anexo I-F'!B166+'DCA-Anexo I-F'!B170+'DCA-Anexo I-F'!B155+'DCA-Anexo I-F'!B179+'DCA-Anexo I-F'!B173+'DCA-Anexo I-F'!B176+'DCA-Anexo I-F'!B171+'DCA-Anexo I-F'!B228+'DCA-Anexo I-F'!B229</f>
        <v>54275.76</v>
      </c>
      <c r="C145" s="11">
        <f>+'DCA-Anexo I-F'!C180+'DCA-Anexo I-F'!C158+'DCA-Anexo I-F'!C157+'DCA-Anexo I-F'!C232+'DCA-Anexo I-F'!C148+'DCA-Anexo I-F'!C178+'DCA-Anexo I-F'!C234+'DCA-Anexo I-F'!C231+'DCA-Anexo I-F'!C167+'DCA-Anexo I-F'!C172+'DCA-Anexo I-F'!C156+'DCA-Anexo I-F'!C169+'DCA-Anexo I-F'!C175+'DCA-Anexo I-F'!C168+'DCA-Anexo I-F'!C146+'DCA-Anexo I-F'!C165+'DCA-Anexo I-F'!C154+'DCA-Anexo I-F'!C230+'DCA-Anexo I-F'!C147+'DCA-Anexo I-F'!C174+'DCA-Anexo I-F'!C233+'DCA-Anexo I-F'!C177+'DCA-Anexo I-F'!C166+'DCA-Anexo I-F'!C170+'DCA-Anexo I-F'!C155+'DCA-Anexo I-F'!C179+'DCA-Anexo I-F'!C173+'DCA-Anexo I-F'!C176+'DCA-Anexo I-F'!C171+'DCA-Anexo I-F'!C228+'DCA-Anexo I-F'!C229</f>
        <v>20650.400000000001</v>
      </c>
      <c r="D145" s="11">
        <f>+'DCA-Anexo I-F'!D180+'DCA-Anexo I-F'!D158+'DCA-Anexo I-F'!D157+'DCA-Anexo I-F'!D232+'DCA-Anexo I-F'!D148+'DCA-Anexo I-F'!D178+'DCA-Anexo I-F'!D234+'DCA-Anexo I-F'!D231+'DCA-Anexo I-F'!D167+'DCA-Anexo I-F'!D172+'DCA-Anexo I-F'!D156+'DCA-Anexo I-F'!D169+'DCA-Anexo I-F'!D175+'DCA-Anexo I-F'!D168+'DCA-Anexo I-F'!D146+'DCA-Anexo I-F'!D165+'DCA-Anexo I-F'!D154+'DCA-Anexo I-F'!D230+'DCA-Anexo I-F'!D147+'DCA-Anexo I-F'!D174+'DCA-Anexo I-F'!D233+'DCA-Anexo I-F'!D177+'DCA-Anexo I-F'!D166+'DCA-Anexo I-F'!D170+'DCA-Anexo I-F'!D155+'DCA-Anexo I-F'!D179+'DCA-Anexo I-F'!D173+'DCA-Anexo I-F'!D176+'DCA-Anexo I-F'!D171+'DCA-Anexo I-F'!D228+'DCA-Anexo I-F'!D229</f>
        <v>20650.400000000001</v>
      </c>
      <c r="E145" s="11">
        <f>+'DCA-Anexo I-F'!E180+'DCA-Anexo I-F'!E158+'DCA-Anexo I-F'!E157+'DCA-Anexo I-F'!E232+'DCA-Anexo I-F'!E148+'DCA-Anexo I-F'!E178+'DCA-Anexo I-F'!E234+'DCA-Anexo I-F'!E231+'DCA-Anexo I-F'!E167+'DCA-Anexo I-F'!E172+'DCA-Anexo I-F'!E156+'DCA-Anexo I-F'!E169+'DCA-Anexo I-F'!E175+'DCA-Anexo I-F'!E168+'DCA-Anexo I-F'!E146+'DCA-Anexo I-F'!E165+'DCA-Anexo I-F'!E154+'DCA-Anexo I-F'!E230+'DCA-Anexo I-F'!E147+'DCA-Anexo I-F'!E174+'DCA-Anexo I-F'!E233+'DCA-Anexo I-F'!E177+'DCA-Anexo I-F'!E166+'DCA-Anexo I-F'!E170+'DCA-Anexo I-F'!E155+'DCA-Anexo I-F'!E179+'DCA-Anexo I-F'!E173+'DCA-Anexo I-F'!E176+'DCA-Anexo I-F'!E171+'DCA-Anexo I-F'!E228+'DCA-Anexo I-F'!E229</f>
        <v>20650.400000000001</v>
      </c>
      <c r="F145" s="11">
        <f>+'DCA-Anexo I-F'!F180+'DCA-Anexo I-F'!F158+'DCA-Anexo I-F'!F157+'DCA-Anexo I-F'!F232+'DCA-Anexo I-F'!F148+'DCA-Anexo I-F'!F178+'DCA-Anexo I-F'!F234+'DCA-Anexo I-F'!F231+'DCA-Anexo I-F'!F167+'DCA-Anexo I-F'!F172+'DCA-Anexo I-F'!F156+'DCA-Anexo I-F'!F169+'DCA-Anexo I-F'!F175+'DCA-Anexo I-F'!F168+'DCA-Anexo I-F'!F146+'DCA-Anexo I-F'!F165+'DCA-Anexo I-F'!F154+'DCA-Anexo I-F'!F230+'DCA-Anexo I-F'!F147+'DCA-Anexo I-F'!F174+'DCA-Anexo I-F'!F233+'DCA-Anexo I-F'!F177+'DCA-Anexo I-F'!F166+'DCA-Anexo I-F'!F170+'DCA-Anexo I-F'!F155+'DCA-Anexo I-F'!F179+'DCA-Anexo I-F'!F173+'DCA-Anexo I-F'!F176+'DCA-Anexo I-F'!F171+'DCA-Anexo I-F'!F228+'DCA-Anexo I-F'!F229</f>
        <v>0</v>
      </c>
      <c r="G145" s="11">
        <f>+'DCA-Anexo I-F'!G180+'DCA-Anexo I-F'!G158+'DCA-Anexo I-F'!G157+'DCA-Anexo I-F'!G232+'DCA-Anexo I-F'!G148+'DCA-Anexo I-F'!G178+'DCA-Anexo I-F'!G234+'DCA-Anexo I-F'!G231+'DCA-Anexo I-F'!G167+'DCA-Anexo I-F'!G172+'DCA-Anexo I-F'!G156+'DCA-Anexo I-F'!G169+'DCA-Anexo I-F'!G175+'DCA-Anexo I-F'!G168+'DCA-Anexo I-F'!G146+'DCA-Anexo I-F'!G165+'DCA-Anexo I-F'!G154+'DCA-Anexo I-F'!G230+'DCA-Anexo I-F'!G147+'DCA-Anexo I-F'!G174+'DCA-Anexo I-F'!G233+'DCA-Anexo I-F'!G177+'DCA-Anexo I-F'!G166+'DCA-Anexo I-F'!G170+'DCA-Anexo I-F'!G155+'DCA-Anexo I-F'!G179+'DCA-Anexo I-F'!G173+'DCA-Anexo I-F'!G176+'DCA-Anexo I-F'!G171+'DCA-Anexo I-F'!G228+'DCA-Anexo I-F'!G229</f>
        <v>629266.49</v>
      </c>
      <c r="H145" s="11">
        <f>+'DCA-Anexo I-F'!H180+'DCA-Anexo I-F'!H158+'DCA-Anexo I-F'!H157+'DCA-Anexo I-F'!H232+'DCA-Anexo I-F'!H148+'DCA-Anexo I-F'!H178+'DCA-Anexo I-F'!H234+'DCA-Anexo I-F'!H231+'DCA-Anexo I-F'!H167+'DCA-Anexo I-F'!H172+'DCA-Anexo I-F'!H156+'DCA-Anexo I-F'!H169+'DCA-Anexo I-F'!H175+'DCA-Anexo I-F'!H168+'DCA-Anexo I-F'!H146+'DCA-Anexo I-F'!H165+'DCA-Anexo I-F'!H154+'DCA-Anexo I-F'!H230+'DCA-Anexo I-F'!H147+'DCA-Anexo I-F'!H174+'DCA-Anexo I-F'!H233+'DCA-Anexo I-F'!H177+'DCA-Anexo I-F'!H166+'DCA-Anexo I-F'!H170+'DCA-Anexo I-F'!H155+'DCA-Anexo I-F'!H179+'DCA-Anexo I-F'!H173+'DCA-Anexo I-F'!H176+'DCA-Anexo I-F'!H171+'DCA-Anexo I-F'!H228+'DCA-Anexo I-F'!H229</f>
        <v>255735.16</v>
      </c>
      <c r="I145" s="11">
        <f>+'DCA-Anexo I-F'!I180+'DCA-Anexo I-F'!I158+'DCA-Anexo I-F'!I157+'DCA-Anexo I-F'!I232+'DCA-Anexo I-F'!I148+'DCA-Anexo I-F'!I178+'DCA-Anexo I-F'!I234+'DCA-Anexo I-F'!I231+'DCA-Anexo I-F'!I167+'DCA-Anexo I-F'!I172+'DCA-Anexo I-F'!I156+'DCA-Anexo I-F'!I169+'DCA-Anexo I-F'!I175+'DCA-Anexo I-F'!I168+'DCA-Anexo I-F'!I146+'DCA-Anexo I-F'!I165+'DCA-Anexo I-F'!I154+'DCA-Anexo I-F'!I230+'DCA-Anexo I-F'!I147+'DCA-Anexo I-F'!I174+'DCA-Anexo I-F'!I233+'DCA-Anexo I-F'!I177+'DCA-Anexo I-F'!I166+'DCA-Anexo I-F'!I170+'DCA-Anexo I-F'!I155+'DCA-Anexo I-F'!I179+'DCA-Anexo I-F'!I173+'DCA-Anexo I-F'!I176+'DCA-Anexo I-F'!I171+'DCA-Anexo I-F'!I228+'DCA-Anexo I-F'!I229</f>
        <v>253193.61</v>
      </c>
      <c r="J145" s="11">
        <f>+'DCA-Anexo I-F'!J180+'DCA-Anexo I-F'!J158+'DCA-Anexo I-F'!J157+'DCA-Anexo I-F'!J232+'DCA-Anexo I-F'!J148+'DCA-Anexo I-F'!J178+'DCA-Anexo I-F'!J234+'DCA-Anexo I-F'!J231+'DCA-Anexo I-F'!J167+'DCA-Anexo I-F'!J172+'DCA-Anexo I-F'!J156+'DCA-Anexo I-F'!J169+'DCA-Anexo I-F'!J175+'DCA-Anexo I-F'!J168+'DCA-Anexo I-F'!J146+'DCA-Anexo I-F'!J165+'DCA-Anexo I-F'!J154+'DCA-Anexo I-F'!J230+'DCA-Anexo I-F'!J147+'DCA-Anexo I-F'!J174+'DCA-Anexo I-F'!J233+'DCA-Anexo I-F'!J177+'DCA-Anexo I-F'!J166+'DCA-Anexo I-F'!J170+'DCA-Anexo I-F'!J155+'DCA-Anexo I-F'!J179+'DCA-Anexo I-F'!J173+'DCA-Anexo I-F'!J176+'DCA-Anexo I-F'!J171+'DCA-Anexo I-F'!J228+'DCA-Anexo I-F'!J229</f>
        <v>0</v>
      </c>
    </row>
    <row r="146" spans="1:10" ht="12.75" customHeight="1">
      <c r="A146" s="4" t="s">
        <v>2292</v>
      </c>
      <c r="B146" s="12"/>
      <c r="C146" s="12"/>
      <c r="D146" s="12"/>
      <c r="E146" s="12"/>
      <c r="F146" s="12"/>
      <c r="G146" s="12"/>
      <c r="H146" s="12"/>
      <c r="I146" s="12"/>
      <c r="J146" s="12"/>
    </row>
    <row r="147" spans="1:10" ht="12.75" customHeight="1">
      <c r="A147" s="3" t="s">
        <v>2293</v>
      </c>
      <c r="B147" s="11"/>
      <c r="C147" s="11"/>
      <c r="D147" s="11"/>
      <c r="E147" s="11"/>
      <c r="F147" s="11"/>
      <c r="G147" s="11"/>
      <c r="H147" s="11"/>
      <c r="I147" s="11"/>
      <c r="J147" s="11"/>
    </row>
    <row r="148" spans="1:10" ht="12.75" customHeight="1">
      <c r="A148" s="4" t="s">
        <v>2294</v>
      </c>
      <c r="B148" s="12">
        <f>+'DCA-Anexo I-F'!B153+'DCA-Anexo I-F'!B150+'DCA-Anexo I-F'!B149+'DCA-Anexo I-F'!B151+'DCA-Anexo I-F'!B152</f>
        <v>0</v>
      </c>
      <c r="C148" s="12">
        <f>+'DCA-Anexo I-F'!C153+'DCA-Anexo I-F'!C150+'DCA-Anexo I-F'!C149+'DCA-Anexo I-F'!C151+'DCA-Anexo I-F'!C152</f>
        <v>0</v>
      </c>
      <c r="D148" s="12">
        <f>+'DCA-Anexo I-F'!D153+'DCA-Anexo I-F'!D150+'DCA-Anexo I-F'!D149+'DCA-Anexo I-F'!D151+'DCA-Anexo I-F'!D152</f>
        <v>0</v>
      </c>
      <c r="E148" s="12">
        <f>+'DCA-Anexo I-F'!E153+'DCA-Anexo I-F'!E150+'DCA-Anexo I-F'!E149+'DCA-Anexo I-F'!E151+'DCA-Anexo I-F'!E152</f>
        <v>0</v>
      </c>
      <c r="F148" s="12">
        <f>+'DCA-Anexo I-F'!F153+'DCA-Anexo I-F'!F150+'DCA-Anexo I-F'!F149+'DCA-Anexo I-F'!F151+'DCA-Anexo I-F'!F152</f>
        <v>0</v>
      </c>
      <c r="G148" s="12">
        <f>+'DCA-Anexo I-F'!G153+'DCA-Anexo I-F'!G150+'DCA-Anexo I-F'!G149+'DCA-Anexo I-F'!G151+'DCA-Anexo I-F'!G152</f>
        <v>0</v>
      </c>
      <c r="H148" s="12">
        <f>+'DCA-Anexo I-F'!H153+'DCA-Anexo I-F'!H150+'DCA-Anexo I-F'!H149+'DCA-Anexo I-F'!H151+'DCA-Anexo I-F'!H152</f>
        <v>0</v>
      </c>
      <c r="I148" s="12">
        <f>+'DCA-Anexo I-F'!I153+'DCA-Anexo I-F'!I150+'DCA-Anexo I-F'!I149+'DCA-Anexo I-F'!I151+'DCA-Anexo I-F'!I152</f>
        <v>0</v>
      </c>
      <c r="J148" s="12">
        <f>+'DCA-Anexo I-F'!J153+'DCA-Anexo I-F'!J150+'DCA-Anexo I-F'!J149+'DCA-Anexo I-F'!J151+'DCA-Anexo I-F'!J152</f>
        <v>0</v>
      </c>
    </row>
    <row r="149" spans="1:10" ht="12.75" customHeight="1">
      <c r="A149" s="3" t="s">
        <v>2295</v>
      </c>
      <c r="B149" s="11"/>
      <c r="C149" s="11"/>
      <c r="D149" s="11"/>
      <c r="E149" s="11"/>
      <c r="F149" s="11"/>
      <c r="G149" s="11"/>
      <c r="H149" s="11"/>
      <c r="I149" s="11"/>
      <c r="J149" s="11"/>
    </row>
    <row r="150" spans="1:10" ht="12.75" customHeight="1">
      <c r="A150" s="4" t="s">
        <v>2296</v>
      </c>
      <c r="B150" s="12"/>
      <c r="C150" s="12"/>
      <c r="D150" s="12"/>
      <c r="E150" s="12"/>
      <c r="F150" s="12"/>
      <c r="G150" s="12"/>
      <c r="H150" s="12"/>
      <c r="I150" s="12"/>
      <c r="J150" s="12"/>
    </row>
    <row r="151" spans="1:10" ht="12.75" customHeight="1">
      <c r="A151" s="3" t="s">
        <v>2297</v>
      </c>
      <c r="B151" s="11"/>
      <c r="C151" s="11"/>
      <c r="D151" s="11"/>
      <c r="E151" s="11"/>
      <c r="F151" s="11"/>
      <c r="G151" s="11"/>
      <c r="H151" s="11"/>
      <c r="I151" s="11"/>
      <c r="J151" s="11"/>
    </row>
    <row r="152" spans="1:10" ht="12.75" customHeight="1">
      <c r="A152" s="4" t="s">
        <v>2298</v>
      </c>
      <c r="B152" s="12"/>
      <c r="C152" s="12"/>
      <c r="D152" s="12"/>
      <c r="E152" s="12"/>
      <c r="F152" s="12"/>
      <c r="G152" s="12"/>
      <c r="H152" s="12"/>
      <c r="I152" s="12"/>
      <c r="J152" s="12"/>
    </row>
    <row r="153" spans="1:10" ht="12.75" customHeight="1">
      <c r="A153" s="3" t="s">
        <v>2299</v>
      </c>
      <c r="B153" s="11"/>
      <c r="C153" s="11"/>
      <c r="D153" s="11"/>
      <c r="E153" s="11"/>
      <c r="F153" s="11"/>
      <c r="G153" s="11"/>
      <c r="H153" s="11"/>
      <c r="I153" s="11"/>
      <c r="J153" s="11"/>
    </row>
    <row r="154" spans="1:10" ht="25.5" customHeight="1">
      <c r="A154" s="4" t="s">
        <v>2300</v>
      </c>
      <c r="B154" s="12"/>
      <c r="C154" s="12"/>
      <c r="D154" s="12"/>
      <c r="E154" s="12"/>
      <c r="F154" s="12"/>
      <c r="G154" s="12"/>
      <c r="H154" s="12"/>
      <c r="I154" s="12"/>
      <c r="J154" s="12"/>
    </row>
    <row r="155" spans="1:10" ht="25.5" customHeight="1">
      <c r="A155" s="3" t="s">
        <v>2301</v>
      </c>
      <c r="B155" s="11"/>
      <c r="C155" s="11"/>
      <c r="D155" s="11"/>
      <c r="E155" s="11"/>
      <c r="F155" s="11"/>
      <c r="G155" s="11"/>
      <c r="H155" s="11"/>
      <c r="I155" s="11"/>
      <c r="J155" s="11"/>
    </row>
    <row r="156" spans="1:10" ht="38.25" customHeight="1">
      <c r="A156" s="4" t="s">
        <v>2302</v>
      </c>
      <c r="B156" s="12"/>
      <c r="C156" s="12"/>
      <c r="D156" s="12"/>
      <c r="E156" s="12"/>
      <c r="F156" s="12"/>
      <c r="G156" s="12"/>
      <c r="H156" s="12"/>
      <c r="I156" s="12"/>
      <c r="J156" s="12"/>
    </row>
    <row r="157" spans="1:10" ht="38.25" customHeight="1">
      <c r="A157" s="3" t="s">
        <v>2303</v>
      </c>
      <c r="B157" s="11"/>
      <c r="C157" s="11"/>
      <c r="D157" s="11"/>
      <c r="E157" s="11"/>
      <c r="F157" s="11"/>
      <c r="G157" s="11"/>
      <c r="H157" s="11"/>
      <c r="I157" s="11"/>
      <c r="J157" s="11"/>
    </row>
    <row r="158" spans="1:10" ht="12.75" customHeight="1">
      <c r="A158" s="4" t="s">
        <v>2304</v>
      </c>
      <c r="B158" s="12">
        <f>+'DCA-Anexo I-F'!B164+'DCA-Anexo I-F'!B160+'DCA-Anexo I-F'!B159+'DCA-Anexo I-F'!B161+'DCA-Anexo I-F'!B162+'DCA-Anexo I-F'!B163</f>
        <v>0</v>
      </c>
      <c r="C158" s="12">
        <f>+'DCA-Anexo I-F'!C164+'DCA-Anexo I-F'!C160+'DCA-Anexo I-F'!C159+'DCA-Anexo I-F'!C161+'DCA-Anexo I-F'!C162+'DCA-Anexo I-F'!C163</f>
        <v>0</v>
      </c>
      <c r="D158" s="12">
        <f>+'DCA-Anexo I-F'!D164+'DCA-Anexo I-F'!D160+'DCA-Anexo I-F'!D159+'DCA-Anexo I-F'!D161+'DCA-Anexo I-F'!D162+'DCA-Anexo I-F'!D163</f>
        <v>0</v>
      </c>
      <c r="E158" s="12">
        <f>+'DCA-Anexo I-F'!E164+'DCA-Anexo I-F'!E160+'DCA-Anexo I-F'!E159+'DCA-Anexo I-F'!E161+'DCA-Anexo I-F'!E162+'DCA-Anexo I-F'!E163</f>
        <v>0</v>
      </c>
      <c r="F158" s="12">
        <f>+'DCA-Anexo I-F'!F164+'DCA-Anexo I-F'!F160+'DCA-Anexo I-F'!F159+'DCA-Anexo I-F'!F161+'DCA-Anexo I-F'!F162+'DCA-Anexo I-F'!F163</f>
        <v>0</v>
      </c>
      <c r="G158" s="12">
        <f>+'DCA-Anexo I-F'!G164+'DCA-Anexo I-F'!G160+'DCA-Anexo I-F'!G159+'DCA-Anexo I-F'!G161+'DCA-Anexo I-F'!G162+'DCA-Anexo I-F'!G163</f>
        <v>0</v>
      </c>
      <c r="H158" s="12">
        <f>+'DCA-Anexo I-F'!H164+'DCA-Anexo I-F'!H160+'DCA-Anexo I-F'!H159+'DCA-Anexo I-F'!H161+'DCA-Anexo I-F'!H162+'DCA-Anexo I-F'!H163</f>
        <v>0</v>
      </c>
      <c r="I158" s="12">
        <f>+'DCA-Anexo I-F'!I164+'DCA-Anexo I-F'!I160+'DCA-Anexo I-F'!I159+'DCA-Anexo I-F'!I161+'DCA-Anexo I-F'!I162+'DCA-Anexo I-F'!I163</f>
        <v>0</v>
      </c>
      <c r="J158" s="12">
        <f>+'DCA-Anexo I-F'!J164+'DCA-Anexo I-F'!J160+'DCA-Anexo I-F'!J159+'DCA-Anexo I-F'!J161+'DCA-Anexo I-F'!J162+'DCA-Anexo I-F'!J163</f>
        <v>0</v>
      </c>
    </row>
    <row r="159" spans="1:10" ht="12.75" customHeight="1">
      <c r="A159" s="3" t="s">
        <v>2305</v>
      </c>
      <c r="B159" s="11"/>
      <c r="C159" s="11"/>
      <c r="D159" s="11"/>
      <c r="E159" s="11"/>
      <c r="F159" s="11"/>
      <c r="G159" s="11"/>
      <c r="H159" s="11"/>
      <c r="I159" s="11"/>
      <c r="J159" s="11"/>
    </row>
    <row r="160" spans="1:10" ht="12.75" customHeight="1">
      <c r="A160" s="4" t="s">
        <v>2306</v>
      </c>
      <c r="B160" s="12"/>
      <c r="C160" s="12"/>
      <c r="D160" s="12"/>
      <c r="E160" s="12"/>
      <c r="F160" s="12"/>
      <c r="G160" s="12"/>
      <c r="H160" s="12"/>
      <c r="I160" s="12"/>
      <c r="J160" s="12"/>
    </row>
    <row r="161" spans="1:10" ht="12.75" customHeight="1">
      <c r="A161" s="3" t="s">
        <v>2307</v>
      </c>
      <c r="B161" s="11"/>
      <c r="C161" s="11"/>
      <c r="D161" s="11"/>
      <c r="E161" s="11"/>
      <c r="F161" s="11"/>
      <c r="G161" s="11"/>
      <c r="H161" s="11"/>
      <c r="I161" s="11"/>
      <c r="J161" s="11"/>
    </row>
    <row r="162" spans="1:10" ht="12.75" customHeight="1">
      <c r="A162" s="4" t="s">
        <v>2308</v>
      </c>
      <c r="B162" s="12"/>
      <c r="C162" s="12"/>
      <c r="D162" s="12"/>
      <c r="E162" s="12"/>
      <c r="F162" s="12"/>
      <c r="G162" s="12"/>
      <c r="H162" s="12"/>
      <c r="I162" s="12"/>
      <c r="J162" s="12"/>
    </row>
    <row r="163" spans="1:10" ht="12.75" customHeight="1">
      <c r="A163" s="3" t="s">
        <v>2309</v>
      </c>
      <c r="B163" s="11"/>
      <c r="C163" s="11"/>
      <c r="D163" s="11"/>
      <c r="E163" s="11"/>
      <c r="F163" s="11"/>
      <c r="G163" s="11"/>
      <c r="H163" s="11"/>
      <c r="I163" s="11"/>
      <c r="J163" s="11"/>
    </row>
    <row r="164" spans="1:10" ht="12.75" customHeight="1">
      <c r="A164" s="4" t="s">
        <v>2310</v>
      </c>
      <c r="B164" s="12"/>
      <c r="C164" s="12"/>
      <c r="D164" s="12"/>
      <c r="E164" s="12"/>
      <c r="F164" s="12"/>
      <c r="G164" s="12"/>
      <c r="H164" s="12"/>
      <c r="I164" s="12"/>
      <c r="J164" s="12"/>
    </row>
    <row r="165" spans="1:10" ht="12.75" customHeight="1">
      <c r="A165" s="3" t="s">
        <v>2311</v>
      </c>
      <c r="B165" s="11"/>
      <c r="C165" s="11"/>
      <c r="D165" s="11"/>
      <c r="E165" s="11"/>
      <c r="F165" s="11"/>
      <c r="G165" s="11"/>
      <c r="H165" s="11"/>
      <c r="I165" s="11"/>
      <c r="J165" s="11"/>
    </row>
    <row r="166" spans="1:10" ht="12.75" customHeight="1">
      <c r="A166" s="4" t="s">
        <v>2312</v>
      </c>
      <c r="B166" s="12"/>
      <c r="C166" s="12"/>
      <c r="D166" s="12"/>
      <c r="E166" s="12"/>
      <c r="F166" s="12"/>
      <c r="G166" s="12"/>
      <c r="H166" s="12"/>
      <c r="I166" s="12"/>
      <c r="J166" s="12"/>
    </row>
    <row r="167" spans="1:10" ht="38.25" customHeight="1">
      <c r="A167" s="3" t="s">
        <v>2313</v>
      </c>
      <c r="B167" s="11"/>
      <c r="C167" s="11"/>
      <c r="D167" s="11"/>
      <c r="E167" s="11"/>
      <c r="F167" s="11"/>
      <c r="G167" s="11"/>
      <c r="H167" s="11"/>
      <c r="I167" s="11"/>
      <c r="J167" s="11"/>
    </row>
    <row r="168" spans="1:10" ht="25.5" customHeight="1">
      <c r="A168" s="4" t="s">
        <v>2314</v>
      </c>
      <c r="B168" s="12"/>
      <c r="C168" s="12"/>
      <c r="D168" s="12"/>
      <c r="E168" s="12"/>
      <c r="F168" s="12"/>
      <c r="G168" s="12"/>
      <c r="H168" s="12"/>
      <c r="I168" s="12"/>
      <c r="J168" s="12"/>
    </row>
    <row r="169" spans="1:10" ht="25.5" customHeight="1">
      <c r="A169" s="3" t="s">
        <v>2315</v>
      </c>
      <c r="B169" s="11"/>
      <c r="C169" s="11"/>
      <c r="D169" s="11"/>
      <c r="E169" s="11"/>
      <c r="F169" s="11"/>
      <c r="G169" s="11"/>
      <c r="H169" s="11"/>
      <c r="I169" s="11"/>
      <c r="J169" s="11"/>
    </row>
    <row r="170" spans="1:10" ht="25.5" customHeight="1">
      <c r="A170" s="4" t="s">
        <v>2316</v>
      </c>
      <c r="B170" s="12"/>
      <c r="C170" s="12"/>
      <c r="D170" s="12"/>
      <c r="E170" s="12"/>
      <c r="F170" s="12"/>
      <c r="G170" s="12"/>
      <c r="H170" s="12"/>
      <c r="I170" s="12"/>
      <c r="J170" s="12"/>
    </row>
    <row r="171" spans="1:10" ht="12.75" customHeight="1">
      <c r="A171" s="3" t="s">
        <v>2317</v>
      </c>
      <c r="B171" s="11"/>
      <c r="C171" s="11"/>
      <c r="D171" s="11"/>
      <c r="E171" s="11"/>
      <c r="F171" s="11"/>
      <c r="G171" s="11"/>
      <c r="H171" s="11"/>
      <c r="I171" s="11"/>
      <c r="J171" s="11"/>
    </row>
    <row r="172" spans="1:10" ht="12.75" customHeight="1">
      <c r="A172" s="4" t="s">
        <v>2318</v>
      </c>
      <c r="B172" s="12"/>
      <c r="C172" s="12"/>
      <c r="D172" s="12"/>
      <c r="E172" s="12"/>
      <c r="F172" s="12"/>
      <c r="G172" s="12"/>
      <c r="H172" s="12"/>
      <c r="I172" s="12"/>
      <c r="J172" s="12"/>
    </row>
    <row r="173" spans="1:10" ht="25.5" customHeight="1">
      <c r="A173" s="3" t="s">
        <v>2319</v>
      </c>
      <c r="B173" s="11"/>
      <c r="C173" s="11"/>
      <c r="D173" s="11"/>
      <c r="E173" s="11"/>
      <c r="F173" s="11"/>
      <c r="G173" s="11"/>
      <c r="H173" s="11"/>
      <c r="I173" s="11"/>
      <c r="J173" s="11"/>
    </row>
    <row r="174" spans="1:10" ht="12.75" customHeight="1">
      <c r="A174" s="4" t="s">
        <v>2320</v>
      </c>
      <c r="B174" s="12"/>
      <c r="C174" s="12"/>
      <c r="D174" s="12"/>
      <c r="E174" s="12"/>
      <c r="F174" s="12"/>
      <c r="G174" s="12"/>
      <c r="H174" s="12"/>
      <c r="I174" s="12"/>
      <c r="J174" s="12"/>
    </row>
    <row r="175" spans="1:10" ht="38.25" customHeight="1">
      <c r="A175" s="3" t="s">
        <v>2321</v>
      </c>
      <c r="B175" s="11"/>
      <c r="C175" s="11"/>
      <c r="D175" s="11"/>
      <c r="E175" s="11"/>
      <c r="F175" s="11"/>
      <c r="G175" s="11"/>
      <c r="H175" s="11"/>
      <c r="I175" s="11"/>
      <c r="J175" s="11"/>
    </row>
    <row r="176" spans="1:10" ht="38.25" customHeight="1">
      <c r="A176" s="4" t="s">
        <v>2322</v>
      </c>
      <c r="B176" s="12"/>
      <c r="C176" s="12"/>
      <c r="D176" s="12"/>
      <c r="E176" s="12"/>
      <c r="F176" s="12"/>
      <c r="G176" s="12"/>
      <c r="H176" s="12"/>
      <c r="I176" s="12"/>
      <c r="J176" s="12"/>
    </row>
    <row r="177" spans="1:10" ht="38.25" customHeight="1">
      <c r="A177" s="3" t="s">
        <v>2323</v>
      </c>
      <c r="B177" s="11"/>
      <c r="C177" s="11"/>
      <c r="D177" s="11"/>
      <c r="E177" s="11"/>
      <c r="F177" s="11"/>
      <c r="G177" s="11"/>
      <c r="H177" s="11"/>
      <c r="I177" s="11"/>
      <c r="J177" s="11"/>
    </row>
    <row r="178" spans="1:10" ht="25.5" customHeight="1">
      <c r="A178" s="4" t="s">
        <v>2324</v>
      </c>
      <c r="B178" s="12"/>
      <c r="C178" s="12"/>
      <c r="D178" s="12"/>
      <c r="E178" s="12"/>
      <c r="F178" s="12"/>
      <c r="G178" s="12"/>
      <c r="H178" s="12"/>
      <c r="I178" s="12"/>
      <c r="J178" s="12"/>
    </row>
    <row r="179" spans="1:10" ht="12.75" customHeight="1">
      <c r="A179" s="3" t="s">
        <v>2325</v>
      </c>
      <c r="B179" s="11"/>
      <c r="C179" s="11"/>
      <c r="D179" s="11"/>
      <c r="E179" s="11"/>
      <c r="F179" s="11"/>
      <c r="G179" s="11"/>
      <c r="H179" s="11"/>
      <c r="I179" s="11"/>
      <c r="J179" s="11"/>
    </row>
    <row r="180" spans="1:10" ht="12.75" customHeight="1">
      <c r="A180" s="4" t="s">
        <v>2326</v>
      </c>
      <c r="B180" s="12">
        <f>+'DCA-Anexo I-F'!B181+'DCA-Anexo I-F'!B182+'DCA-Anexo I-F'!B183+'DCA-Anexo I-F'!B184+'DCA-Anexo I-F'!B185+'DCA-Anexo I-F'!B186+'DCA-Anexo I-F'!B187+'DCA-Anexo I-F'!B188+'DCA-Anexo I-F'!B189+'DCA-Anexo I-F'!B190+'DCA-Anexo I-F'!B191+'DCA-Anexo I-F'!B192+'DCA-Anexo I-F'!B193+'DCA-Anexo I-F'!B194+'DCA-Anexo I-F'!B195+'DCA-Anexo I-F'!B196+'DCA-Anexo I-F'!B197+'DCA-Anexo I-F'!B198+'DCA-Anexo I-F'!B199+'DCA-Anexo I-F'!B200+'DCA-Anexo I-F'!B201+'DCA-Anexo I-F'!B202+'DCA-Anexo I-F'!B204+'DCA-Anexo I-F'!B205+'DCA-Anexo I-F'!B206+'DCA-Anexo I-F'!B207+'DCA-Anexo I-F'!B208+'DCA-Anexo I-F'!B209+'DCA-Anexo I-F'!B210+'DCA-Anexo I-F'!B211+'DCA-Anexo I-F'!B212+'DCA-Anexo I-F'!B213+'DCA-Anexo I-F'!B214+'DCA-Anexo I-F'!B215+'DCA-Anexo I-F'!B216+'DCA-Anexo I-F'!B218+'DCA-Anexo I-F'!B221+'DCA-Anexo I-F'!B222+'DCA-Anexo I-F'!B223+'DCA-Anexo I-F'!B224+'DCA-Anexo I-F'!B225+'DCA-Anexo I-F'!B226+'DCA-Anexo I-F'!B227+'DCA-Anexo I-F'!B203+'DCA-Anexo I-F'!B217+'DCA-Anexo I-F'!B219+'DCA-Anexo I-F'!B220</f>
        <v>54275.76</v>
      </c>
      <c r="C180" s="12">
        <f>+'DCA-Anexo I-F'!C181+'DCA-Anexo I-F'!C182+'DCA-Anexo I-F'!C183+'DCA-Anexo I-F'!C184+'DCA-Anexo I-F'!C185+'DCA-Anexo I-F'!C186+'DCA-Anexo I-F'!C187+'DCA-Anexo I-F'!C188+'DCA-Anexo I-F'!C189+'DCA-Anexo I-F'!C190+'DCA-Anexo I-F'!C191+'DCA-Anexo I-F'!C192+'DCA-Anexo I-F'!C193+'DCA-Anexo I-F'!C194+'DCA-Anexo I-F'!C195+'DCA-Anexo I-F'!C196+'DCA-Anexo I-F'!C197+'DCA-Anexo I-F'!C198+'DCA-Anexo I-F'!C199+'DCA-Anexo I-F'!C200+'DCA-Anexo I-F'!C201+'DCA-Anexo I-F'!C202+'DCA-Anexo I-F'!C204+'DCA-Anexo I-F'!C205+'DCA-Anexo I-F'!C206+'DCA-Anexo I-F'!C207+'DCA-Anexo I-F'!C208+'DCA-Anexo I-F'!C209+'DCA-Anexo I-F'!C210+'DCA-Anexo I-F'!C211+'DCA-Anexo I-F'!C212+'DCA-Anexo I-F'!C213+'DCA-Anexo I-F'!C214+'DCA-Anexo I-F'!C215+'DCA-Anexo I-F'!C216+'DCA-Anexo I-F'!C218+'DCA-Anexo I-F'!C221+'DCA-Anexo I-F'!C222+'DCA-Anexo I-F'!C223+'DCA-Anexo I-F'!C224+'DCA-Anexo I-F'!C225+'DCA-Anexo I-F'!C226+'DCA-Anexo I-F'!C227+'DCA-Anexo I-F'!C203+'DCA-Anexo I-F'!C217+'DCA-Anexo I-F'!C219+'DCA-Anexo I-F'!C220</f>
        <v>20650.400000000001</v>
      </c>
      <c r="D180" s="12">
        <f>+'DCA-Anexo I-F'!D181+'DCA-Anexo I-F'!D182+'DCA-Anexo I-F'!D183+'DCA-Anexo I-F'!D184+'DCA-Anexo I-F'!D185+'DCA-Anexo I-F'!D186+'DCA-Anexo I-F'!D187+'DCA-Anexo I-F'!D188+'DCA-Anexo I-F'!D189+'DCA-Anexo I-F'!D190+'DCA-Anexo I-F'!D191+'DCA-Anexo I-F'!D192+'DCA-Anexo I-F'!D193+'DCA-Anexo I-F'!D194+'DCA-Anexo I-F'!D195+'DCA-Anexo I-F'!D196+'DCA-Anexo I-F'!D197+'DCA-Anexo I-F'!D198+'DCA-Anexo I-F'!D199+'DCA-Anexo I-F'!D200+'DCA-Anexo I-F'!D201+'DCA-Anexo I-F'!D202+'DCA-Anexo I-F'!D204+'DCA-Anexo I-F'!D205+'DCA-Anexo I-F'!D206+'DCA-Anexo I-F'!D207+'DCA-Anexo I-F'!D208+'DCA-Anexo I-F'!D209+'DCA-Anexo I-F'!D210+'DCA-Anexo I-F'!D211+'DCA-Anexo I-F'!D212+'DCA-Anexo I-F'!D213+'DCA-Anexo I-F'!D214+'DCA-Anexo I-F'!D215+'DCA-Anexo I-F'!D216+'DCA-Anexo I-F'!D218+'DCA-Anexo I-F'!D221+'DCA-Anexo I-F'!D222+'DCA-Anexo I-F'!D223+'DCA-Anexo I-F'!D224+'DCA-Anexo I-F'!D225+'DCA-Anexo I-F'!D226+'DCA-Anexo I-F'!D227+'DCA-Anexo I-F'!D203+'DCA-Anexo I-F'!D217+'DCA-Anexo I-F'!D219+'DCA-Anexo I-F'!D220</f>
        <v>20650.400000000001</v>
      </c>
      <c r="E180" s="12">
        <f>+'DCA-Anexo I-F'!E181+'DCA-Anexo I-F'!E182+'DCA-Anexo I-F'!E183+'DCA-Anexo I-F'!E184+'DCA-Anexo I-F'!E185+'DCA-Anexo I-F'!E186+'DCA-Anexo I-F'!E187+'DCA-Anexo I-F'!E188+'DCA-Anexo I-F'!E189+'DCA-Anexo I-F'!E190+'DCA-Anexo I-F'!E191+'DCA-Anexo I-F'!E192+'DCA-Anexo I-F'!E193+'DCA-Anexo I-F'!E194+'DCA-Anexo I-F'!E195+'DCA-Anexo I-F'!E196+'DCA-Anexo I-F'!E197+'DCA-Anexo I-F'!E198+'DCA-Anexo I-F'!E199+'DCA-Anexo I-F'!E200+'DCA-Anexo I-F'!E201+'DCA-Anexo I-F'!E202+'DCA-Anexo I-F'!E204+'DCA-Anexo I-F'!E205+'DCA-Anexo I-F'!E206+'DCA-Anexo I-F'!E207+'DCA-Anexo I-F'!E208+'DCA-Anexo I-F'!E209+'DCA-Anexo I-F'!E210+'DCA-Anexo I-F'!E211+'DCA-Anexo I-F'!E212+'DCA-Anexo I-F'!E213+'DCA-Anexo I-F'!E214+'DCA-Anexo I-F'!E215+'DCA-Anexo I-F'!E216+'DCA-Anexo I-F'!E218+'DCA-Anexo I-F'!E221+'DCA-Anexo I-F'!E222+'DCA-Anexo I-F'!E223+'DCA-Anexo I-F'!E224+'DCA-Anexo I-F'!E225+'DCA-Anexo I-F'!E226+'DCA-Anexo I-F'!E227+'DCA-Anexo I-F'!E203+'DCA-Anexo I-F'!E217+'DCA-Anexo I-F'!E219+'DCA-Anexo I-F'!E220</f>
        <v>20650.400000000001</v>
      </c>
      <c r="F180" s="12">
        <f>+'DCA-Anexo I-F'!F181+'DCA-Anexo I-F'!F182+'DCA-Anexo I-F'!F183+'DCA-Anexo I-F'!F184+'DCA-Anexo I-F'!F185+'DCA-Anexo I-F'!F186+'DCA-Anexo I-F'!F187+'DCA-Anexo I-F'!F188+'DCA-Anexo I-F'!F189+'DCA-Anexo I-F'!F190+'DCA-Anexo I-F'!F191+'DCA-Anexo I-F'!F192+'DCA-Anexo I-F'!F193+'DCA-Anexo I-F'!F194+'DCA-Anexo I-F'!F195+'DCA-Anexo I-F'!F196+'DCA-Anexo I-F'!F197+'DCA-Anexo I-F'!F198+'DCA-Anexo I-F'!F199+'DCA-Anexo I-F'!F200+'DCA-Anexo I-F'!F201+'DCA-Anexo I-F'!F202+'DCA-Anexo I-F'!F204+'DCA-Anexo I-F'!F205+'DCA-Anexo I-F'!F206+'DCA-Anexo I-F'!F207+'DCA-Anexo I-F'!F208+'DCA-Anexo I-F'!F209+'DCA-Anexo I-F'!F210+'DCA-Anexo I-F'!F211+'DCA-Anexo I-F'!F212+'DCA-Anexo I-F'!F213+'DCA-Anexo I-F'!F214+'DCA-Anexo I-F'!F215+'DCA-Anexo I-F'!F216+'DCA-Anexo I-F'!F218+'DCA-Anexo I-F'!F221+'DCA-Anexo I-F'!F222+'DCA-Anexo I-F'!F223+'DCA-Anexo I-F'!F224+'DCA-Anexo I-F'!F225+'DCA-Anexo I-F'!F226+'DCA-Anexo I-F'!F227+'DCA-Anexo I-F'!F203+'DCA-Anexo I-F'!F217+'DCA-Anexo I-F'!F219+'DCA-Anexo I-F'!F220</f>
        <v>0</v>
      </c>
      <c r="G180" s="12">
        <f>+'DCA-Anexo I-F'!G181+'DCA-Anexo I-F'!G182+'DCA-Anexo I-F'!G183+'DCA-Anexo I-F'!G184+'DCA-Anexo I-F'!G185+'DCA-Anexo I-F'!G186+'DCA-Anexo I-F'!G187+'DCA-Anexo I-F'!G188+'DCA-Anexo I-F'!G189+'DCA-Anexo I-F'!G190+'DCA-Anexo I-F'!G191+'DCA-Anexo I-F'!G192+'DCA-Anexo I-F'!G193+'DCA-Anexo I-F'!G194+'DCA-Anexo I-F'!G195+'DCA-Anexo I-F'!G196+'DCA-Anexo I-F'!G197+'DCA-Anexo I-F'!G198+'DCA-Anexo I-F'!G199+'DCA-Anexo I-F'!G200+'DCA-Anexo I-F'!G201+'DCA-Anexo I-F'!G202+'DCA-Anexo I-F'!G204+'DCA-Anexo I-F'!G205+'DCA-Anexo I-F'!G206+'DCA-Anexo I-F'!G207+'DCA-Anexo I-F'!G208+'DCA-Anexo I-F'!G209+'DCA-Anexo I-F'!G210+'DCA-Anexo I-F'!G211+'DCA-Anexo I-F'!G212+'DCA-Anexo I-F'!G213+'DCA-Anexo I-F'!G214+'DCA-Anexo I-F'!G215+'DCA-Anexo I-F'!G216+'DCA-Anexo I-F'!G218+'DCA-Anexo I-F'!G221+'DCA-Anexo I-F'!G222+'DCA-Anexo I-F'!G223+'DCA-Anexo I-F'!G224+'DCA-Anexo I-F'!G225+'DCA-Anexo I-F'!G226+'DCA-Anexo I-F'!G227+'DCA-Anexo I-F'!G203+'DCA-Anexo I-F'!G217+'DCA-Anexo I-F'!G219+'DCA-Anexo I-F'!G220</f>
        <v>629266.49</v>
      </c>
      <c r="H180" s="12">
        <f>+'DCA-Anexo I-F'!H181+'DCA-Anexo I-F'!H182+'DCA-Anexo I-F'!H183+'DCA-Anexo I-F'!H184+'DCA-Anexo I-F'!H185+'DCA-Anexo I-F'!H186+'DCA-Anexo I-F'!H187+'DCA-Anexo I-F'!H188+'DCA-Anexo I-F'!H189+'DCA-Anexo I-F'!H190+'DCA-Anexo I-F'!H191+'DCA-Anexo I-F'!H192+'DCA-Anexo I-F'!H193+'DCA-Anexo I-F'!H194+'DCA-Anexo I-F'!H195+'DCA-Anexo I-F'!H196+'DCA-Anexo I-F'!H197+'DCA-Anexo I-F'!H198+'DCA-Anexo I-F'!H199+'DCA-Anexo I-F'!H200+'DCA-Anexo I-F'!H201+'DCA-Anexo I-F'!H202+'DCA-Anexo I-F'!H204+'DCA-Anexo I-F'!H205+'DCA-Anexo I-F'!H206+'DCA-Anexo I-F'!H207+'DCA-Anexo I-F'!H208+'DCA-Anexo I-F'!H209+'DCA-Anexo I-F'!H210+'DCA-Anexo I-F'!H211+'DCA-Anexo I-F'!H212+'DCA-Anexo I-F'!H213+'DCA-Anexo I-F'!H214+'DCA-Anexo I-F'!H215+'DCA-Anexo I-F'!H216+'DCA-Anexo I-F'!H218+'DCA-Anexo I-F'!H221+'DCA-Anexo I-F'!H222+'DCA-Anexo I-F'!H223+'DCA-Anexo I-F'!H224+'DCA-Anexo I-F'!H225+'DCA-Anexo I-F'!H226+'DCA-Anexo I-F'!H227+'DCA-Anexo I-F'!H203+'DCA-Anexo I-F'!H217+'DCA-Anexo I-F'!H219+'DCA-Anexo I-F'!H220</f>
        <v>255735.16</v>
      </c>
      <c r="I180" s="12">
        <f>+'DCA-Anexo I-F'!I181+'DCA-Anexo I-F'!I182+'DCA-Anexo I-F'!I183+'DCA-Anexo I-F'!I184+'DCA-Anexo I-F'!I185+'DCA-Anexo I-F'!I186+'DCA-Anexo I-F'!I187+'DCA-Anexo I-F'!I188+'DCA-Anexo I-F'!I189+'DCA-Anexo I-F'!I190+'DCA-Anexo I-F'!I191+'DCA-Anexo I-F'!I192+'DCA-Anexo I-F'!I193+'DCA-Anexo I-F'!I194+'DCA-Anexo I-F'!I195+'DCA-Anexo I-F'!I196+'DCA-Anexo I-F'!I197+'DCA-Anexo I-F'!I198+'DCA-Anexo I-F'!I199+'DCA-Anexo I-F'!I200+'DCA-Anexo I-F'!I201+'DCA-Anexo I-F'!I202+'DCA-Anexo I-F'!I204+'DCA-Anexo I-F'!I205+'DCA-Anexo I-F'!I206+'DCA-Anexo I-F'!I207+'DCA-Anexo I-F'!I208+'DCA-Anexo I-F'!I209+'DCA-Anexo I-F'!I210+'DCA-Anexo I-F'!I211+'DCA-Anexo I-F'!I212+'DCA-Anexo I-F'!I213+'DCA-Anexo I-F'!I214+'DCA-Anexo I-F'!I215+'DCA-Anexo I-F'!I216+'DCA-Anexo I-F'!I218+'DCA-Anexo I-F'!I221+'DCA-Anexo I-F'!I222+'DCA-Anexo I-F'!I223+'DCA-Anexo I-F'!I224+'DCA-Anexo I-F'!I225+'DCA-Anexo I-F'!I226+'DCA-Anexo I-F'!I227+'DCA-Anexo I-F'!I203+'DCA-Anexo I-F'!I217+'DCA-Anexo I-F'!I219+'DCA-Anexo I-F'!I220</f>
        <v>253193.61</v>
      </c>
      <c r="J180" s="12">
        <f>+'DCA-Anexo I-F'!J181+'DCA-Anexo I-F'!J182+'DCA-Anexo I-F'!J183+'DCA-Anexo I-F'!J184+'DCA-Anexo I-F'!J185+'DCA-Anexo I-F'!J186+'DCA-Anexo I-F'!J187+'DCA-Anexo I-F'!J188+'DCA-Anexo I-F'!J189+'DCA-Anexo I-F'!J190+'DCA-Anexo I-F'!J191+'DCA-Anexo I-F'!J192+'DCA-Anexo I-F'!J193+'DCA-Anexo I-F'!J194+'DCA-Anexo I-F'!J195+'DCA-Anexo I-F'!J196+'DCA-Anexo I-F'!J197+'DCA-Anexo I-F'!J198+'DCA-Anexo I-F'!J199+'DCA-Anexo I-F'!J200+'DCA-Anexo I-F'!J201+'DCA-Anexo I-F'!J202+'DCA-Anexo I-F'!J204+'DCA-Anexo I-F'!J205+'DCA-Anexo I-F'!J206+'DCA-Anexo I-F'!J207+'DCA-Anexo I-F'!J208+'DCA-Anexo I-F'!J209+'DCA-Anexo I-F'!J210+'DCA-Anexo I-F'!J211+'DCA-Anexo I-F'!J212+'DCA-Anexo I-F'!J213+'DCA-Anexo I-F'!J214+'DCA-Anexo I-F'!J215+'DCA-Anexo I-F'!J216+'DCA-Anexo I-F'!J218+'DCA-Anexo I-F'!J221+'DCA-Anexo I-F'!J222+'DCA-Anexo I-F'!J223+'DCA-Anexo I-F'!J224+'DCA-Anexo I-F'!J225+'DCA-Anexo I-F'!J226+'DCA-Anexo I-F'!J227+'DCA-Anexo I-F'!J203+'DCA-Anexo I-F'!J217+'DCA-Anexo I-F'!J219+'DCA-Anexo I-F'!J220</f>
        <v>0</v>
      </c>
    </row>
    <row r="181" spans="1:10" ht="12.75" customHeight="1">
      <c r="A181" s="3" t="s">
        <v>2327</v>
      </c>
      <c r="B181" s="11"/>
      <c r="C181" s="11"/>
      <c r="D181" s="11"/>
      <c r="E181" s="11"/>
      <c r="F181" s="11"/>
      <c r="G181" s="11"/>
      <c r="H181" s="11"/>
      <c r="I181" s="11"/>
      <c r="J181" s="11"/>
    </row>
    <row r="182" spans="1:10" ht="12.75" customHeight="1">
      <c r="A182" s="4" t="s">
        <v>2328</v>
      </c>
      <c r="B182" s="12"/>
      <c r="C182" s="12"/>
      <c r="D182" s="12"/>
      <c r="E182" s="12"/>
      <c r="F182" s="12"/>
      <c r="G182" s="12"/>
      <c r="H182" s="12"/>
      <c r="I182" s="12"/>
      <c r="J182" s="12"/>
    </row>
    <row r="183" spans="1:10" ht="12.75" customHeight="1">
      <c r="A183" s="3" t="s">
        <v>2329</v>
      </c>
      <c r="B183" s="11"/>
      <c r="C183" s="11"/>
      <c r="D183" s="11"/>
      <c r="E183" s="11"/>
      <c r="F183" s="11"/>
      <c r="G183" s="11"/>
      <c r="H183" s="11"/>
      <c r="I183" s="11"/>
      <c r="J183" s="11"/>
    </row>
    <row r="184" spans="1:10" ht="12.75" customHeight="1">
      <c r="A184" s="4" t="s">
        <v>2330</v>
      </c>
      <c r="B184" s="12"/>
      <c r="C184" s="12"/>
      <c r="D184" s="12"/>
      <c r="E184" s="12"/>
      <c r="F184" s="12"/>
      <c r="G184" s="12"/>
      <c r="H184" s="12"/>
      <c r="I184" s="12"/>
      <c r="J184" s="12"/>
    </row>
    <row r="185" spans="1:10" ht="12.75" customHeight="1">
      <c r="A185" s="3" t="s">
        <v>2331</v>
      </c>
      <c r="B185" s="11"/>
      <c r="C185" s="11"/>
      <c r="D185" s="11"/>
      <c r="E185" s="11"/>
      <c r="F185" s="11"/>
      <c r="G185" s="11"/>
      <c r="H185" s="11"/>
      <c r="I185" s="11"/>
      <c r="J185" s="11"/>
    </row>
    <row r="186" spans="1:10" ht="12.75" customHeight="1">
      <c r="A186" s="4" t="s">
        <v>2332</v>
      </c>
      <c r="B186" s="12"/>
      <c r="C186" s="12"/>
      <c r="D186" s="12"/>
      <c r="E186" s="12"/>
      <c r="F186" s="12"/>
      <c r="G186" s="12"/>
      <c r="H186" s="12"/>
      <c r="I186" s="12"/>
      <c r="J186" s="12"/>
    </row>
    <row r="187" spans="1:10" ht="12.75" customHeight="1">
      <c r="A187" s="3" t="s">
        <v>2333</v>
      </c>
      <c r="B187" s="11"/>
      <c r="C187" s="11"/>
      <c r="D187" s="11"/>
      <c r="E187" s="11"/>
      <c r="F187" s="11"/>
      <c r="G187" s="11"/>
      <c r="H187" s="11"/>
      <c r="I187" s="11"/>
      <c r="J187" s="11"/>
    </row>
    <row r="188" spans="1:10" ht="12.75" customHeight="1">
      <c r="A188" s="4" t="s">
        <v>2334</v>
      </c>
      <c r="B188" s="12"/>
      <c r="C188" s="12"/>
      <c r="D188" s="12"/>
      <c r="E188" s="12"/>
      <c r="F188" s="12"/>
      <c r="G188" s="12"/>
      <c r="H188" s="12"/>
      <c r="I188" s="12"/>
      <c r="J188" s="12"/>
    </row>
    <row r="189" spans="1:10" ht="12.75" customHeight="1">
      <c r="A189" s="3" t="s">
        <v>2335</v>
      </c>
      <c r="B189" s="11"/>
      <c r="C189" s="11"/>
      <c r="D189" s="11"/>
      <c r="E189" s="11"/>
      <c r="F189" s="11"/>
      <c r="G189" s="11"/>
      <c r="H189" s="11"/>
      <c r="I189" s="11"/>
      <c r="J189" s="11"/>
    </row>
    <row r="190" spans="1:10" ht="25.5" customHeight="1">
      <c r="A190" s="4" t="s">
        <v>2336</v>
      </c>
      <c r="B190" s="12"/>
      <c r="C190" s="12"/>
      <c r="D190" s="12"/>
      <c r="E190" s="12"/>
      <c r="F190" s="12"/>
      <c r="G190" s="12"/>
      <c r="H190" s="12"/>
      <c r="I190" s="12"/>
      <c r="J190" s="12"/>
    </row>
    <row r="191" spans="1:10" ht="12.75" customHeight="1">
      <c r="A191" s="3" t="s">
        <v>2337</v>
      </c>
      <c r="B191" s="11"/>
      <c r="C191" s="11"/>
      <c r="D191" s="11"/>
      <c r="E191" s="11"/>
      <c r="F191" s="11"/>
      <c r="G191" s="11"/>
      <c r="H191" s="11"/>
      <c r="I191" s="11"/>
      <c r="J191" s="11"/>
    </row>
    <row r="192" spans="1:10" ht="25.5" customHeight="1">
      <c r="A192" s="4" t="s">
        <v>2338</v>
      </c>
      <c r="B192" s="12"/>
      <c r="C192" s="12"/>
      <c r="D192" s="12"/>
      <c r="E192" s="12"/>
      <c r="F192" s="12"/>
      <c r="G192" s="12"/>
      <c r="H192" s="12"/>
      <c r="I192" s="12"/>
      <c r="J192" s="12"/>
    </row>
    <row r="193" spans="1:10" ht="12.75" customHeight="1">
      <c r="A193" s="3" t="s">
        <v>2339</v>
      </c>
      <c r="B193" s="11"/>
      <c r="C193" s="11"/>
      <c r="D193" s="11"/>
      <c r="E193" s="11"/>
      <c r="F193" s="11"/>
      <c r="G193" s="11"/>
      <c r="H193" s="11"/>
      <c r="I193" s="11"/>
      <c r="J193" s="11"/>
    </row>
    <row r="194" spans="1:10" ht="25.5" customHeight="1">
      <c r="A194" s="4" t="s">
        <v>2340</v>
      </c>
      <c r="B194" s="12"/>
      <c r="C194" s="12"/>
      <c r="D194" s="12"/>
      <c r="E194" s="12"/>
      <c r="F194" s="12"/>
      <c r="G194" s="12"/>
      <c r="H194" s="12"/>
      <c r="I194" s="12"/>
      <c r="J194" s="12"/>
    </row>
    <row r="195" spans="1:10" ht="12.75" customHeight="1">
      <c r="A195" s="3" t="s">
        <v>2341</v>
      </c>
      <c r="B195" s="11"/>
      <c r="C195" s="11"/>
      <c r="D195" s="11"/>
      <c r="E195" s="11"/>
      <c r="F195" s="11"/>
      <c r="G195" s="11"/>
      <c r="H195" s="11"/>
      <c r="I195" s="11"/>
      <c r="J195" s="11"/>
    </row>
    <row r="196" spans="1:10" ht="12.75" customHeight="1">
      <c r="A196" s="4" t="s">
        <v>2342</v>
      </c>
      <c r="B196" s="12"/>
      <c r="C196" s="12"/>
      <c r="D196" s="12"/>
      <c r="E196" s="12"/>
      <c r="F196" s="12"/>
      <c r="G196" s="12"/>
      <c r="H196" s="12"/>
      <c r="I196" s="12"/>
      <c r="J196" s="12"/>
    </row>
    <row r="197" spans="1:10" ht="25.5" customHeight="1">
      <c r="A197" s="3" t="s">
        <v>2343</v>
      </c>
      <c r="B197" s="11"/>
      <c r="C197" s="11"/>
      <c r="D197" s="11"/>
      <c r="E197" s="11"/>
      <c r="F197" s="11"/>
      <c r="G197" s="11"/>
      <c r="H197" s="11"/>
      <c r="I197" s="11"/>
      <c r="J197" s="11"/>
    </row>
    <row r="198" spans="1:10" ht="12.75" customHeight="1">
      <c r="A198" s="4" t="s">
        <v>2344</v>
      </c>
      <c r="B198" s="12"/>
      <c r="C198" s="12"/>
      <c r="D198" s="12"/>
      <c r="E198" s="12"/>
      <c r="F198" s="12"/>
      <c r="G198" s="12"/>
      <c r="H198" s="12"/>
      <c r="I198" s="12"/>
      <c r="J198" s="12"/>
    </row>
    <row r="199" spans="1:10" ht="12.75" customHeight="1">
      <c r="A199" s="3" t="s">
        <v>2345</v>
      </c>
      <c r="B199" s="11"/>
      <c r="C199" s="11"/>
      <c r="D199" s="11"/>
      <c r="E199" s="11"/>
      <c r="F199" s="11"/>
      <c r="G199" s="11"/>
      <c r="H199" s="11"/>
      <c r="I199" s="11"/>
      <c r="J199" s="11"/>
    </row>
    <row r="200" spans="1:10" ht="12.75" customHeight="1">
      <c r="A200" s="4" t="s">
        <v>2346</v>
      </c>
      <c r="B200" s="12"/>
      <c r="C200" s="12"/>
      <c r="D200" s="12"/>
      <c r="E200" s="12"/>
      <c r="F200" s="12"/>
      <c r="G200" s="12"/>
      <c r="H200" s="12"/>
      <c r="I200" s="12"/>
      <c r="J200" s="12"/>
    </row>
    <row r="201" spans="1:10" ht="12.75" customHeight="1">
      <c r="A201" s="3" t="s">
        <v>2347</v>
      </c>
      <c r="B201" s="11"/>
      <c r="C201" s="11"/>
      <c r="D201" s="11"/>
      <c r="E201" s="11"/>
      <c r="F201" s="11"/>
      <c r="G201" s="11"/>
      <c r="H201" s="11"/>
      <c r="I201" s="11"/>
      <c r="J201" s="11"/>
    </row>
    <row r="202" spans="1:10" ht="12.75" customHeight="1">
      <c r="A202" s="4" t="s">
        <v>2348</v>
      </c>
      <c r="B202" s="12">
        <v>54275.76</v>
      </c>
      <c r="C202" s="12">
        <v>20650.400000000001</v>
      </c>
      <c r="D202" s="12">
        <v>20650.400000000001</v>
      </c>
      <c r="E202" s="12">
        <v>20650.400000000001</v>
      </c>
      <c r="F202" s="12"/>
      <c r="G202" s="12">
        <v>629266.49</v>
      </c>
      <c r="H202" s="12">
        <v>255735.16</v>
      </c>
      <c r="I202" s="12">
        <v>253193.61</v>
      </c>
      <c r="J202" s="12"/>
    </row>
    <row r="203" spans="1:10" ht="25.5" customHeight="1">
      <c r="A203" s="3" t="s">
        <v>2349</v>
      </c>
      <c r="B203" s="11"/>
      <c r="C203" s="11"/>
      <c r="D203" s="11"/>
      <c r="E203" s="11"/>
      <c r="F203" s="11"/>
      <c r="G203" s="11"/>
      <c r="H203" s="11"/>
      <c r="I203" s="11"/>
      <c r="J203" s="11"/>
    </row>
    <row r="204" spans="1:10" ht="12.75" customHeight="1">
      <c r="A204" s="4" t="s">
        <v>2350</v>
      </c>
      <c r="B204" s="12"/>
      <c r="C204" s="12"/>
      <c r="D204" s="12"/>
      <c r="E204" s="12"/>
      <c r="F204" s="12"/>
      <c r="G204" s="12"/>
      <c r="H204" s="12"/>
      <c r="I204" s="12"/>
      <c r="J204" s="12"/>
    </row>
    <row r="205" spans="1:10" ht="12.75" customHeight="1">
      <c r="A205" s="3" t="s">
        <v>2351</v>
      </c>
      <c r="B205" s="11"/>
      <c r="C205" s="11"/>
      <c r="D205" s="11"/>
      <c r="E205" s="11"/>
      <c r="F205" s="11"/>
      <c r="G205" s="11"/>
      <c r="H205" s="11"/>
      <c r="I205" s="11"/>
      <c r="J205" s="11"/>
    </row>
    <row r="206" spans="1:10" ht="12.75" customHeight="1">
      <c r="A206" s="4" t="s">
        <v>2352</v>
      </c>
      <c r="B206" s="12"/>
      <c r="C206" s="12"/>
      <c r="D206" s="12"/>
      <c r="E206" s="12"/>
      <c r="F206" s="12"/>
      <c r="G206" s="12"/>
      <c r="H206" s="12"/>
      <c r="I206" s="12"/>
      <c r="J206" s="12"/>
    </row>
    <row r="207" spans="1:10" ht="12.75" customHeight="1">
      <c r="A207" s="3" t="s">
        <v>2353</v>
      </c>
      <c r="B207" s="11"/>
      <c r="C207" s="11"/>
      <c r="D207" s="11"/>
      <c r="E207" s="11"/>
      <c r="F207" s="11"/>
      <c r="G207" s="11"/>
      <c r="H207" s="11"/>
      <c r="I207" s="11"/>
      <c r="J207" s="11"/>
    </row>
    <row r="208" spans="1:10" ht="12.75" customHeight="1">
      <c r="A208" s="4" t="s">
        <v>2354</v>
      </c>
      <c r="B208" s="12"/>
      <c r="C208" s="12"/>
      <c r="D208" s="12"/>
      <c r="E208" s="12"/>
      <c r="F208" s="12"/>
      <c r="G208" s="12"/>
      <c r="H208" s="12"/>
      <c r="I208" s="12"/>
      <c r="J208" s="12"/>
    </row>
    <row r="209" spans="1:10" ht="12.75" customHeight="1">
      <c r="A209" s="3" t="s">
        <v>2355</v>
      </c>
      <c r="B209" s="11"/>
      <c r="C209" s="11"/>
      <c r="D209" s="11"/>
      <c r="E209" s="11"/>
      <c r="F209" s="11"/>
      <c r="G209" s="11"/>
      <c r="H209" s="11"/>
      <c r="I209" s="11"/>
      <c r="J209" s="11"/>
    </row>
    <row r="210" spans="1:10" ht="12.75" customHeight="1">
      <c r="A210" s="4" t="s">
        <v>2356</v>
      </c>
      <c r="B210" s="12"/>
      <c r="C210" s="12"/>
      <c r="D210" s="12"/>
      <c r="E210" s="12"/>
      <c r="F210" s="12"/>
      <c r="G210" s="12"/>
      <c r="H210" s="12"/>
      <c r="I210" s="12"/>
      <c r="J210" s="12"/>
    </row>
    <row r="211" spans="1:10" ht="12.75" customHeight="1">
      <c r="A211" s="3" t="s">
        <v>2357</v>
      </c>
      <c r="B211" s="11"/>
      <c r="C211" s="11"/>
      <c r="D211" s="11"/>
      <c r="E211" s="11"/>
      <c r="F211" s="11"/>
      <c r="G211" s="11"/>
      <c r="H211" s="11"/>
      <c r="I211" s="11"/>
      <c r="J211" s="11"/>
    </row>
    <row r="212" spans="1:10" ht="12.75" customHeight="1">
      <c r="A212" s="4" t="s">
        <v>2358</v>
      </c>
      <c r="B212" s="12"/>
      <c r="C212" s="12"/>
      <c r="D212" s="12"/>
      <c r="E212" s="12"/>
      <c r="F212" s="12"/>
      <c r="G212" s="12"/>
      <c r="H212" s="12"/>
      <c r="I212" s="12"/>
      <c r="J212" s="12"/>
    </row>
    <row r="213" spans="1:10" ht="12.75" customHeight="1">
      <c r="A213" s="3" t="s">
        <v>2359</v>
      </c>
      <c r="B213" s="11"/>
      <c r="C213" s="11"/>
      <c r="D213" s="11"/>
      <c r="E213" s="11"/>
      <c r="F213" s="11"/>
      <c r="G213" s="11"/>
      <c r="H213" s="11"/>
      <c r="I213" s="11"/>
      <c r="J213" s="11"/>
    </row>
    <row r="214" spans="1:10" ht="12.75" customHeight="1">
      <c r="A214" s="4" t="s">
        <v>2360</v>
      </c>
      <c r="B214" s="12"/>
      <c r="C214" s="12"/>
      <c r="D214" s="12"/>
      <c r="E214" s="12"/>
      <c r="F214" s="12"/>
      <c r="G214" s="12"/>
      <c r="H214" s="12"/>
      <c r="I214" s="12"/>
      <c r="J214" s="12"/>
    </row>
    <row r="215" spans="1:10" ht="12.75" customHeight="1">
      <c r="A215" s="3" t="s">
        <v>2361</v>
      </c>
      <c r="B215" s="11"/>
      <c r="C215" s="11"/>
      <c r="D215" s="11"/>
      <c r="E215" s="11"/>
      <c r="F215" s="11"/>
      <c r="G215" s="11"/>
      <c r="H215" s="11"/>
      <c r="I215" s="11"/>
      <c r="J215" s="11"/>
    </row>
    <row r="216" spans="1:10" ht="12.75" customHeight="1">
      <c r="A216" s="4" t="s">
        <v>2362</v>
      </c>
      <c r="B216" s="12"/>
      <c r="C216" s="12"/>
      <c r="D216" s="12"/>
      <c r="E216" s="12"/>
      <c r="F216" s="12"/>
      <c r="G216" s="12"/>
      <c r="H216" s="12"/>
      <c r="I216" s="12"/>
      <c r="J216" s="12"/>
    </row>
    <row r="217" spans="1:10" ht="12.75" customHeight="1">
      <c r="A217" s="3" t="s">
        <v>2363</v>
      </c>
      <c r="B217" s="11"/>
      <c r="C217" s="11"/>
      <c r="D217" s="11"/>
      <c r="E217" s="11"/>
      <c r="F217" s="11"/>
      <c r="G217" s="11"/>
      <c r="H217" s="11"/>
      <c r="I217" s="11"/>
      <c r="J217" s="11"/>
    </row>
    <row r="218" spans="1:10" ht="12.75" customHeight="1">
      <c r="A218" s="4" t="s">
        <v>2364</v>
      </c>
      <c r="B218" s="12"/>
      <c r="C218" s="12"/>
      <c r="D218" s="12"/>
      <c r="E218" s="12"/>
      <c r="F218" s="12"/>
      <c r="G218" s="12"/>
      <c r="H218" s="12"/>
      <c r="I218" s="12"/>
      <c r="J218" s="12"/>
    </row>
    <row r="219" spans="1:10" ht="12.75" customHeight="1">
      <c r="A219" s="3" t="s">
        <v>2365</v>
      </c>
      <c r="B219" s="11"/>
      <c r="C219" s="11"/>
      <c r="D219" s="11"/>
      <c r="E219" s="11"/>
      <c r="F219" s="11"/>
      <c r="G219" s="11"/>
      <c r="H219" s="11"/>
      <c r="I219" s="11"/>
      <c r="J219" s="11"/>
    </row>
    <row r="220" spans="1:10" ht="12.75" customHeight="1">
      <c r="A220" s="4" t="s">
        <v>2366</v>
      </c>
      <c r="B220" s="12"/>
      <c r="C220" s="12"/>
      <c r="D220" s="12"/>
      <c r="E220" s="12"/>
      <c r="F220" s="12"/>
      <c r="G220" s="12"/>
      <c r="H220" s="12"/>
      <c r="I220" s="12"/>
      <c r="J220" s="12"/>
    </row>
    <row r="221" spans="1:10" ht="12.75" customHeight="1">
      <c r="A221" s="3" t="s">
        <v>2367</v>
      </c>
      <c r="B221" s="11"/>
      <c r="C221" s="11"/>
      <c r="D221" s="11"/>
      <c r="E221" s="11"/>
      <c r="F221" s="11"/>
      <c r="G221" s="11"/>
      <c r="H221" s="11"/>
      <c r="I221" s="11"/>
      <c r="J221" s="11"/>
    </row>
    <row r="222" spans="1:10" ht="12.75" customHeight="1">
      <c r="A222" s="4" t="s">
        <v>2368</v>
      </c>
      <c r="B222" s="12"/>
      <c r="C222" s="12"/>
      <c r="D222" s="12"/>
      <c r="E222" s="12"/>
      <c r="F222" s="12"/>
      <c r="G222" s="12"/>
      <c r="H222" s="12"/>
      <c r="I222" s="12"/>
      <c r="J222" s="12"/>
    </row>
    <row r="223" spans="1:10" ht="12.75" customHeight="1">
      <c r="A223" s="3" t="s">
        <v>2369</v>
      </c>
      <c r="B223" s="11"/>
      <c r="C223" s="11"/>
      <c r="D223" s="11"/>
      <c r="E223" s="11"/>
      <c r="F223" s="11"/>
      <c r="G223" s="11"/>
      <c r="H223" s="11"/>
      <c r="I223" s="11"/>
      <c r="J223" s="11"/>
    </row>
    <row r="224" spans="1:10" ht="12.75" customHeight="1">
      <c r="A224" s="4" t="s">
        <v>2370</v>
      </c>
      <c r="B224" s="12"/>
      <c r="C224" s="12"/>
      <c r="D224" s="12"/>
      <c r="E224" s="12"/>
      <c r="F224" s="12"/>
      <c r="G224" s="12"/>
      <c r="H224" s="12"/>
      <c r="I224" s="12"/>
      <c r="J224" s="12"/>
    </row>
    <row r="225" spans="1:10" ht="12.75" customHeight="1">
      <c r="A225" s="3" t="s">
        <v>2371</v>
      </c>
      <c r="B225" s="11"/>
      <c r="C225" s="11"/>
      <c r="D225" s="11"/>
      <c r="E225" s="11"/>
      <c r="F225" s="11"/>
      <c r="G225" s="11"/>
      <c r="H225" s="11"/>
      <c r="I225" s="11"/>
      <c r="J225" s="11"/>
    </row>
    <row r="226" spans="1:10" ht="12.75" customHeight="1">
      <c r="A226" s="4" t="s">
        <v>2372</v>
      </c>
      <c r="B226" s="12"/>
      <c r="C226" s="12"/>
      <c r="D226" s="12"/>
      <c r="E226" s="12"/>
      <c r="F226" s="12"/>
      <c r="G226" s="12"/>
      <c r="H226" s="12"/>
      <c r="I226" s="12"/>
      <c r="J226" s="12"/>
    </row>
    <row r="227" spans="1:10" ht="12.75" customHeight="1">
      <c r="A227" s="3" t="s">
        <v>2373</v>
      </c>
      <c r="B227" s="11"/>
      <c r="C227" s="11"/>
      <c r="D227" s="11"/>
      <c r="E227" s="11"/>
      <c r="F227" s="11"/>
      <c r="G227" s="11"/>
      <c r="H227" s="11"/>
      <c r="I227" s="11"/>
      <c r="J227" s="11"/>
    </row>
    <row r="228" spans="1:10" ht="38.25" customHeight="1">
      <c r="A228" s="4" t="s">
        <v>2374</v>
      </c>
      <c r="B228" s="12"/>
      <c r="C228" s="12"/>
      <c r="D228" s="12"/>
      <c r="E228" s="12"/>
      <c r="F228" s="12"/>
      <c r="G228" s="12"/>
      <c r="H228" s="12"/>
      <c r="I228" s="12"/>
      <c r="J228" s="12"/>
    </row>
    <row r="229" spans="1:10" ht="25.5" customHeight="1">
      <c r="A229" s="3" t="s">
        <v>2375</v>
      </c>
      <c r="B229" s="11"/>
      <c r="C229" s="11"/>
      <c r="D229" s="11"/>
      <c r="E229" s="11"/>
      <c r="F229" s="11"/>
      <c r="G229" s="11"/>
      <c r="H229" s="11"/>
      <c r="I229" s="11"/>
      <c r="J229" s="11"/>
    </row>
    <row r="230" spans="1:10" ht="38.25" customHeight="1">
      <c r="A230" s="4" t="s">
        <v>2376</v>
      </c>
      <c r="B230" s="12"/>
      <c r="C230" s="12"/>
      <c r="D230" s="12"/>
      <c r="E230" s="12"/>
      <c r="F230" s="12"/>
      <c r="G230" s="12"/>
      <c r="H230" s="12"/>
      <c r="I230" s="12"/>
      <c r="J230" s="12"/>
    </row>
    <row r="231" spans="1:10" ht="38.25" customHeight="1">
      <c r="A231" s="3" t="s">
        <v>2377</v>
      </c>
      <c r="B231" s="11"/>
      <c r="C231" s="11"/>
      <c r="D231" s="11"/>
      <c r="E231" s="11"/>
      <c r="F231" s="11"/>
      <c r="G231" s="11"/>
      <c r="H231" s="11"/>
      <c r="I231" s="11"/>
      <c r="J231" s="11"/>
    </row>
    <row r="232" spans="1:10" ht="25.5" customHeight="1">
      <c r="A232" s="4" t="s">
        <v>2378</v>
      </c>
      <c r="B232" s="12"/>
      <c r="C232" s="12"/>
      <c r="D232" s="12"/>
      <c r="E232" s="12"/>
      <c r="F232" s="12"/>
      <c r="G232" s="12"/>
      <c r="H232" s="12"/>
      <c r="I232" s="12"/>
      <c r="J232" s="12"/>
    </row>
    <row r="233" spans="1:10" ht="25.5" customHeight="1">
      <c r="A233" s="3" t="s">
        <v>2379</v>
      </c>
      <c r="B233" s="11"/>
      <c r="C233" s="11"/>
      <c r="D233" s="11"/>
      <c r="E233" s="11"/>
      <c r="F233" s="11"/>
      <c r="G233" s="11"/>
      <c r="H233" s="11"/>
      <c r="I233" s="11"/>
      <c r="J233" s="11"/>
    </row>
    <row r="234" spans="1:10" ht="12.75" customHeight="1">
      <c r="A234" s="4" t="s">
        <v>2380</v>
      </c>
      <c r="B234" s="12"/>
      <c r="C234" s="12"/>
      <c r="D234" s="12"/>
      <c r="E234" s="12"/>
      <c r="F234" s="12"/>
      <c r="G234" s="12"/>
      <c r="H234" s="12"/>
      <c r="I234" s="12"/>
      <c r="J234" s="12"/>
    </row>
    <row r="235" spans="1:10" ht="12.75" customHeight="1">
      <c r="A235" s="3" t="s">
        <v>2381</v>
      </c>
      <c r="B235" s="11">
        <f>+'DCA-Anexo I-F'!B338+'DCA-Anexo I-F'!B236+'DCA-Anexo I-F'!B293</f>
        <v>7900</v>
      </c>
      <c r="C235" s="11">
        <f>+'DCA-Anexo I-F'!C338+'DCA-Anexo I-F'!C236+'DCA-Anexo I-F'!C293</f>
        <v>0</v>
      </c>
      <c r="D235" s="11">
        <f>+'DCA-Anexo I-F'!D338+'DCA-Anexo I-F'!D236+'DCA-Anexo I-F'!D293</f>
        <v>0</v>
      </c>
      <c r="E235" s="11">
        <f>+'DCA-Anexo I-F'!E338+'DCA-Anexo I-F'!E236+'DCA-Anexo I-F'!E293</f>
        <v>0</v>
      </c>
      <c r="F235" s="11">
        <f>+'DCA-Anexo I-F'!F338+'DCA-Anexo I-F'!F236+'DCA-Anexo I-F'!F293</f>
        <v>0</v>
      </c>
      <c r="G235" s="11">
        <f>+'DCA-Anexo I-F'!G338+'DCA-Anexo I-F'!G236+'DCA-Anexo I-F'!G293</f>
        <v>42566.21</v>
      </c>
      <c r="H235" s="11">
        <f>+'DCA-Anexo I-F'!H338+'DCA-Anexo I-F'!H236+'DCA-Anexo I-F'!H293</f>
        <v>182246.75</v>
      </c>
      <c r="I235" s="11">
        <f>+'DCA-Anexo I-F'!I338+'DCA-Anexo I-F'!I236+'DCA-Anexo I-F'!I293</f>
        <v>182246.75</v>
      </c>
      <c r="J235" s="11">
        <f>+'DCA-Anexo I-F'!J338+'DCA-Anexo I-F'!J236+'DCA-Anexo I-F'!J293</f>
        <v>0</v>
      </c>
    </row>
    <row r="236" spans="1:10" ht="12.75" customHeight="1">
      <c r="A236" s="4" t="s">
        <v>2382</v>
      </c>
      <c r="B236" s="12">
        <f>+'DCA-Anexo I-F'!B238+'DCA-Anexo I-F'!B247+'DCA-Anexo I-F'!B248+'DCA-Anexo I-F'!B252+'DCA-Anexo I-F'!B246+'DCA-Anexo I-F'!B257+'DCA-Anexo I-F'!B258+'DCA-Anexo I-F'!B240+'DCA-Anexo I-F'!B292+'DCA-Anexo I-F'!B256+'DCA-Anexo I-F'!B289+'DCA-Anexo I-F'!B241+'DCA-Anexo I-F'!B259+'DCA-Anexo I-F'!B242+'DCA-Anexo I-F'!B245+'DCA-Anexo I-F'!B244+'DCA-Anexo I-F'!B286+'DCA-Anexo I-F'!B288+'DCA-Anexo I-F'!B253+'DCA-Anexo I-F'!B290+'DCA-Anexo I-F'!B255+'DCA-Anexo I-F'!B243+'DCA-Anexo I-F'!B239+'DCA-Anexo I-F'!B254+'DCA-Anexo I-F'!B249+'DCA-Anexo I-F'!B291+'DCA-Anexo I-F'!B260+'DCA-Anexo I-F'!B237+'DCA-Anexo I-F'!B287+'DCA-Anexo I-F'!B250+'DCA-Anexo I-F'!B251</f>
        <v>7900</v>
      </c>
      <c r="C236" s="12">
        <f>+'DCA-Anexo I-F'!C238+'DCA-Anexo I-F'!C247+'DCA-Anexo I-F'!C248+'DCA-Anexo I-F'!C252+'DCA-Anexo I-F'!C246+'DCA-Anexo I-F'!C257+'DCA-Anexo I-F'!C258+'DCA-Anexo I-F'!C240+'DCA-Anexo I-F'!C292+'DCA-Anexo I-F'!C256+'DCA-Anexo I-F'!C289+'DCA-Anexo I-F'!C241+'DCA-Anexo I-F'!C259+'DCA-Anexo I-F'!C242+'DCA-Anexo I-F'!C245+'DCA-Anexo I-F'!C244+'DCA-Anexo I-F'!C286+'DCA-Anexo I-F'!C288+'DCA-Anexo I-F'!C253+'DCA-Anexo I-F'!C290+'DCA-Anexo I-F'!C255+'DCA-Anexo I-F'!C243+'DCA-Anexo I-F'!C239+'DCA-Anexo I-F'!C254+'DCA-Anexo I-F'!C249+'DCA-Anexo I-F'!C291+'DCA-Anexo I-F'!C260+'DCA-Anexo I-F'!C237+'DCA-Anexo I-F'!C287+'DCA-Anexo I-F'!C250+'DCA-Anexo I-F'!C251</f>
        <v>0</v>
      </c>
      <c r="D236" s="12">
        <f>+'DCA-Anexo I-F'!D238+'DCA-Anexo I-F'!D247+'DCA-Anexo I-F'!D248+'DCA-Anexo I-F'!D252+'DCA-Anexo I-F'!D246+'DCA-Anexo I-F'!D257+'DCA-Anexo I-F'!D258+'DCA-Anexo I-F'!D240+'DCA-Anexo I-F'!D292+'DCA-Anexo I-F'!D256+'DCA-Anexo I-F'!D289+'DCA-Anexo I-F'!D241+'DCA-Anexo I-F'!D259+'DCA-Anexo I-F'!D242+'DCA-Anexo I-F'!D245+'DCA-Anexo I-F'!D244+'DCA-Anexo I-F'!D286+'DCA-Anexo I-F'!D288+'DCA-Anexo I-F'!D253+'DCA-Anexo I-F'!D290+'DCA-Anexo I-F'!D255+'DCA-Anexo I-F'!D243+'DCA-Anexo I-F'!D239+'DCA-Anexo I-F'!D254+'DCA-Anexo I-F'!D249+'DCA-Anexo I-F'!D291+'DCA-Anexo I-F'!D260+'DCA-Anexo I-F'!D237+'DCA-Anexo I-F'!D287+'DCA-Anexo I-F'!D250+'DCA-Anexo I-F'!D251</f>
        <v>0</v>
      </c>
      <c r="E236" s="12">
        <f>+'DCA-Anexo I-F'!E238+'DCA-Anexo I-F'!E247+'DCA-Anexo I-F'!E248+'DCA-Anexo I-F'!E252+'DCA-Anexo I-F'!E246+'DCA-Anexo I-F'!E257+'DCA-Anexo I-F'!E258+'DCA-Anexo I-F'!E240+'DCA-Anexo I-F'!E292+'DCA-Anexo I-F'!E256+'DCA-Anexo I-F'!E289+'DCA-Anexo I-F'!E241+'DCA-Anexo I-F'!E259+'DCA-Anexo I-F'!E242+'DCA-Anexo I-F'!E245+'DCA-Anexo I-F'!E244+'DCA-Anexo I-F'!E286+'DCA-Anexo I-F'!E288+'DCA-Anexo I-F'!E253+'DCA-Anexo I-F'!E290+'DCA-Anexo I-F'!E255+'DCA-Anexo I-F'!E243+'DCA-Anexo I-F'!E239+'DCA-Anexo I-F'!E254+'DCA-Anexo I-F'!E249+'DCA-Anexo I-F'!E291+'DCA-Anexo I-F'!E260+'DCA-Anexo I-F'!E237+'DCA-Anexo I-F'!E287+'DCA-Anexo I-F'!E250+'DCA-Anexo I-F'!E251</f>
        <v>0</v>
      </c>
      <c r="F236" s="12">
        <f>+'DCA-Anexo I-F'!F238+'DCA-Anexo I-F'!F247+'DCA-Anexo I-F'!F248+'DCA-Anexo I-F'!F252+'DCA-Anexo I-F'!F246+'DCA-Anexo I-F'!F257+'DCA-Anexo I-F'!F258+'DCA-Anexo I-F'!F240+'DCA-Anexo I-F'!F292+'DCA-Anexo I-F'!F256+'DCA-Anexo I-F'!F289+'DCA-Anexo I-F'!F241+'DCA-Anexo I-F'!F259+'DCA-Anexo I-F'!F242+'DCA-Anexo I-F'!F245+'DCA-Anexo I-F'!F244+'DCA-Anexo I-F'!F286+'DCA-Anexo I-F'!F288+'DCA-Anexo I-F'!F253+'DCA-Anexo I-F'!F290+'DCA-Anexo I-F'!F255+'DCA-Anexo I-F'!F243+'DCA-Anexo I-F'!F239+'DCA-Anexo I-F'!F254+'DCA-Anexo I-F'!F249+'DCA-Anexo I-F'!F291+'DCA-Anexo I-F'!F260+'DCA-Anexo I-F'!F237+'DCA-Anexo I-F'!F287+'DCA-Anexo I-F'!F250+'DCA-Anexo I-F'!F251</f>
        <v>0</v>
      </c>
      <c r="G236" s="12">
        <f>+'DCA-Anexo I-F'!G238+'DCA-Anexo I-F'!G247+'DCA-Anexo I-F'!G248+'DCA-Anexo I-F'!G252+'DCA-Anexo I-F'!G246+'DCA-Anexo I-F'!G257+'DCA-Anexo I-F'!G258+'DCA-Anexo I-F'!G240+'DCA-Anexo I-F'!G292+'DCA-Anexo I-F'!G256+'DCA-Anexo I-F'!G289+'DCA-Anexo I-F'!G241+'DCA-Anexo I-F'!G259+'DCA-Anexo I-F'!G242+'DCA-Anexo I-F'!G245+'DCA-Anexo I-F'!G244+'DCA-Anexo I-F'!G286+'DCA-Anexo I-F'!G288+'DCA-Anexo I-F'!G253+'DCA-Anexo I-F'!G290+'DCA-Anexo I-F'!G255+'DCA-Anexo I-F'!G243+'DCA-Anexo I-F'!G239+'DCA-Anexo I-F'!G254+'DCA-Anexo I-F'!G249+'DCA-Anexo I-F'!G291+'DCA-Anexo I-F'!G260+'DCA-Anexo I-F'!G237+'DCA-Anexo I-F'!G287+'DCA-Anexo I-F'!G250+'DCA-Anexo I-F'!G251</f>
        <v>42566.21</v>
      </c>
      <c r="H236" s="12">
        <f>+'DCA-Anexo I-F'!H238+'DCA-Anexo I-F'!H247+'DCA-Anexo I-F'!H248+'DCA-Anexo I-F'!H252+'DCA-Anexo I-F'!H246+'DCA-Anexo I-F'!H257+'DCA-Anexo I-F'!H258+'DCA-Anexo I-F'!H240+'DCA-Anexo I-F'!H292+'DCA-Anexo I-F'!H256+'DCA-Anexo I-F'!H289+'DCA-Anexo I-F'!H241+'DCA-Anexo I-F'!H259+'DCA-Anexo I-F'!H242+'DCA-Anexo I-F'!H245+'DCA-Anexo I-F'!H244+'DCA-Anexo I-F'!H286+'DCA-Anexo I-F'!H288+'DCA-Anexo I-F'!H253+'DCA-Anexo I-F'!H290+'DCA-Anexo I-F'!H255+'DCA-Anexo I-F'!H243+'DCA-Anexo I-F'!H239+'DCA-Anexo I-F'!H254+'DCA-Anexo I-F'!H249+'DCA-Anexo I-F'!H291+'DCA-Anexo I-F'!H260+'DCA-Anexo I-F'!H237+'DCA-Anexo I-F'!H287+'DCA-Anexo I-F'!H250+'DCA-Anexo I-F'!H251</f>
        <v>182246.75</v>
      </c>
      <c r="I236" s="12">
        <f>+'DCA-Anexo I-F'!I238+'DCA-Anexo I-F'!I247+'DCA-Anexo I-F'!I248+'DCA-Anexo I-F'!I252+'DCA-Anexo I-F'!I246+'DCA-Anexo I-F'!I257+'DCA-Anexo I-F'!I258+'DCA-Anexo I-F'!I240+'DCA-Anexo I-F'!I292+'DCA-Anexo I-F'!I256+'DCA-Anexo I-F'!I289+'DCA-Anexo I-F'!I241+'DCA-Anexo I-F'!I259+'DCA-Anexo I-F'!I242+'DCA-Anexo I-F'!I245+'DCA-Anexo I-F'!I244+'DCA-Anexo I-F'!I286+'DCA-Anexo I-F'!I288+'DCA-Anexo I-F'!I253+'DCA-Anexo I-F'!I290+'DCA-Anexo I-F'!I255+'DCA-Anexo I-F'!I243+'DCA-Anexo I-F'!I239+'DCA-Anexo I-F'!I254+'DCA-Anexo I-F'!I249+'DCA-Anexo I-F'!I291+'DCA-Anexo I-F'!I260+'DCA-Anexo I-F'!I237+'DCA-Anexo I-F'!I287+'DCA-Anexo I-F'!I250+'DCA-Anexo I-F'!I251</f>
        <v>182246.75</v>
      </c>
      <c r="J236" s="12">
        <f>+'DCA-Anexo I-F'!J238+'DCA-Anexo I-F'!J247+'DCA-Anexo I-F'!J248+'DCA-Anexo I-F'!J252+'DCA-Anexo I-F'!J246+'DCA-Anexo I-F'!J257+'DCA-Anexo I-F'!J258+'DCA-Anexo I-F'!J240+'DCA-Anexo I-F'!J292+'DCA-Anexo I-F'!J256+'DCA-Anexo I-F'!J289+'DCA-Anexo I-F'!J241+'DCA-Anexo I-F'!J259+'DCA-Anexo I-F'!J242+'DCA-Anexo I-F'!J245+'DCA-Anexo I-F'!J244+'DCA-Anexo I-F'!J286+'DCA-Anexo I-F'!J288+'DCA-Anexo I-F'!J253+'DCA-Anexo I-F'!J290+'DCA-Anexo I-F'!J255+'DCA-Anexo I-F'!J243+'DCA-Anexo I-F'!J239+'DCA-Anexo I-F'!J254+'DCA-Anexo I-F'!J249+'DCA-Anexo I-F'!J291+'DCA-Anexo I-F'!J260+'DCA-Anexo I-F'!J237+'DCA-Anexo I-F'!J287+'DCA-Anexo I-F'!J250+'DCA-Anexo I-F'!J251</f>
        <v>0</v>
      </c>
    </row>
    <row r="237" spans="1:10" ht="12.75" customHeight="1">
      <c r="A237" s="3" t="s">
        <v>2383</v>
      </c>
      <c r="B237" s="11"/>
      <c r="C237" s="11"/>
      <c r="D237" s="11"/>
      <c r="E237" s="11"/>
      <c r="F237" s="11"/>
      <c r="G237" s="11"/>
      <c r="H237" s="11"/>
      <c r="I237" s="11"/>
      <c r="J237" s="11"/>
    </row>
    <row r="238" spans="1:10" ht="12.75" customHeight="1">
      <c r="A238" s="4" t="s">
        <v>2384</v>
      </c>
      <c r="B238" s="12"/>
      <c r="C238" s="12"/>
      <c r="D238" s="12"/>
      <c r="E238" s="12"/>
      <c r="F238" s="12"/>
      <c r="G238" s="12"/>
      <c r="H238" s="12"/>
      <c r="I238" s="12"/>
      <c r="J238" s="12"/>
    </row>
    <row r="239" spans="1:10" ht="12.75" customHeight="1">
      <c r="A239" s="3" t="s">
        <v>2385</v>
      </c>
      <c r="B239" s="11"/>
      <c r="C239" s="11"/>
      <c r="D239" s="11"/>
      <c r="E239" s="11"/>
      <c r="F239" s="11"/>
      <c r="G239" s="11"/>
      <c r="H239" s="11"/>
      <c r="I239" s="11"/>
      <c r="J239" s="11"/>
    </row>
    <row r="240" spans="1:10" ht="25.5" customHeight="1">
      <c r="A240" s="4" t="s">
        <v>2386</v>
      </c>
      <c r="B240" s="12"/>
      <c r="C240" s="12"/>
      <c r="D240" s="12"/>
      <c r="E240" s="12"/>
      <c r="F240" s="12"/>
      <c r="G240" s="12"/>
      <c r="H240" s="12"/>
      <c r="I240" s="12"/>
      <c r="J240" s="12"/>
    </row>
    <row r="241" spans="1:10" ht="25.5" customHeight="1">
      <c r="A241" s="3" t="s">
        <v>2387</v>
      </c>
      <c r="B241" s="11"/>
      <c r="C241" s="11"/>
      <c r="D241" s="11"/>
      <c r="E241" s="11"/>
      <c r="F241" s="11"/>
      <c r="G241" s="11"/>
      <c r="H241" s="11"/>
      <c r="I241" s="11"/>
      <c r="J241" s="11"/>
    </row>
    <row r="242" spans="1:10" ht="38.25" customHeight="1">
      <c r="A242" s="4" t="s">
        <v>2388</v>
      </c>
      <c r="B242" s="12"/>
      <c r="C242" s="12"/>
      <c r="D242" s="12"/>
      <c r="E242" s="12"/>
      <c r="F242" s="12"/>
      <c r="G242" s="12"/>
      <c r="H242" s="12"/>
      <c r="I242" s="12"/>
      <c r="J242" s="12"/>
    </row>
    <row r="243" spans="1:10" ht="38.25" customHeight="1">
      <c r="A243" s="3" t="s">
        <v>2389</v>
      </c>
      <c r="B243" s="11"/>
      <c r="C243" s="11"/>
      <c r="D243" s="11"/>
      <c r="E243" s="11"/>
      <c r="F243" s="11"/>
      <c r="G243" s="11"/>
      <c r="H243" s="11"/>
      <c r="I243" s="11"/>
      <c r="J243" s="11"/>
    </row>
    <row r="244" spans="1:10" ht="12.75" customHeight="1">
      <c r="A244" s="4" t="s">
        <v>2390</v>
      </c>
      <c r="B244" s="12"/>
      <c r="C244" s="12"/>
      <c r="D244" s="12"/>
      <c r="E244" s="12"/>
      <c r="F244" s="12"/>
      <c r="G244" s="12"/>
      <c r="H244" s="12"/>
      <c r="I244" s="12"/>
      <c r="J244" s="12"/>
    </row>
    <row r="245" spans="1:10" ht="12.75" customHeight="1">
      <c r="A245" s="3" t="s">
        <v>2391</v>
      </c>
      <c r="B245" s="11"/>
      <c r="C245" s="11"/>
      <c r="D245" s="11"/>
      <c r="E245" s="11"/>
      <c r="F245" s="11"/>
      <c r="G245" s="11"/>
      <c r="H245" s="11"/>
      <c r="I245" s="11"/>
      <c r="J245" s="11"/>
    </row>
    <row r="246" spans="1:10" ht="12.75" customHeight="1">
      <c r="A246" s="4" t="s">
        <v>2392</v>
      </c>
      <c r="B246" s="12"/>
      <c r="C246" s="12"/>
      <c r="D246" s="12"/>
      <c r="E246" s="12"/>
      <c r="F246" s="12"/>
      <c r="G246" s="12"/>
      <c r="H246" s="12"/>
      <c r="I246" s="12"/>
      <c r="J246" s="12"/>
    </row>
    <row r="247" spans="1:10" ht="38.25" customHeight="1">
      <c r="A247" s="3" t="s">
        <v>2393</v>
      </c>
      <c r="B247" s="11"/>
      <c r="C247" s="11"/>
      <c r="D247" s="11"/>
      <c r="E247" s="11"/>
      <c r="F247" s="11"/>
      <c r="G247" s="11"/>
      <c r="H247" s="11"/>
      <c r="I247" s="11"/>
      <c r="J247" s="11"/>
    </row>
    <row r="248" spans="1:10" ht="25.5" customHeight="1">
      <c r="A248" s="4" t="s">
        <v>2394</v>
      </c>
      <c r="B248" s="12"/>
      <c r="C248" s="12"/>
      <c r="D248" s="12"/>
      <c r="E248" s="12"/>
      <c r="F248" s="12"/>
      <c r="G248" s="12"/>
      <c r="H248" s="12"/>
      <c r="I248" s="12"/>
      <c r="J248" s="12"/>
    </row>
    <row r="249" spans="1:10" ht="25.5" customHeight="1">
      <c r="A249" s="3" t="s">
        <v>2395</v>
      </c>
      <c r="B249" s="11"/>
      <c r="C249" s="11"/>
      <c r="D249" s="11"/>
      <c r="E249" s="11"/>
      <c r="F249" s="11"/>
      <c r="G249" s="11"/>
      <c r="H249" s="11"/>
      <c r="I249" s="11"/>
      <c r="J249" s="11"/>
    </row>
    <row r="250" spans="1:10" ht="25.5" customHeight="1">
      <c r="A250" s="4" t="s">
        <v>2396</v>
      </c>
      <c r="B250" s="12"/>
      <c r="C250" s="12"/>
      <c r="D250" s="12"/>
      <c r="E250" s="12"/>
      <c r="F250" s="12"/>
      <c r="G250" s="12"/>
      <c r="H250" s="12"/>
      <c r="I250" s="12"/>
      <c r="J250" s="12"/>
    </row>
    <row r="251" spans="1:10" ht="12.75" customHeight="1">
      <c r="A251" s="3" t="s">
        <v>2397</v>
      </c>
      <c r="B251" s="11"/>
      <c r="C251" s="11"/>
      <c r="D251" s="11"/>
      <c r="E251" s="11"/>
      <c r="F251" s="11"/>
      <c r="G251" s="11"/>
      <c r="H251" s="11"/>
      <c r="I251" s="11"/>
      <c r="J251" s="11"/>
    </row>
    <row r="252" spans="1:10" ht="12.75" customHeight="1">
      <c r="A252" s="4" t="s">
        <v>2398</v>
      </c>
      <c r="B252" s="12"/>
      <c r="C252" s="12"/>
      <c r="D252" s="12"/>
      <c r="E252" s="12"/>
      <c r="F252" s="12"/>
      <c r="G252" s="12"/>
      <c r="H252" s="12"/>
      <c r="I252" s="12"/>
      <c r="J252" s="12"/>
    </row>
    <row r="253" spans="1:10" ht="25.5" customHeight="1">
      <c r="A253" s="3" t="s">
        <v>2399</v>
      </c>
      <c r="B253" s="11"/>
      <c r="C253" s="11"/>
      <c r="D253" s="11"/>
      <c r="E253" s="11"/>
      <c r="F253" s="11"/>
      <c r="G253" s="11"/>
      <c r="H253" s="11"/>
      <c r="I253" s="11"/>
      <c r="J253" s="11"/>
    </row>
    <row r="254" spans="1:10" ht="12.75" customHeight="1">
      <c r="A254" s="4" t="s">
        <v>2400</v>
      </c>
      <c r="B254" s="12"/>
      <c r="C254" s="12"/>
      <c r="D254" s="12"/>
      <c r="E254" s="12"/>
      <c r="F254" s="12"/>
      <c r="G254" s="12"/>
      <c r="H254" s="12"/>
      <c r="I254" s="12"/>
      <c r="J254" s="12"/>
    </row>
    <row r="255" spans="1:10" ht="38.25" customHeight="1">
      <c r="A255" s="3" t="s">
        <v>2401</v>
      </c>
      <c r="B255" s="11"/>
      <c r="C255" s="11"/>
      <c r="D255" s="11"/>
      <c r="E255" s="11"/>
      <c r="F255" s="11"/>
      <c r="G255" s="11"/>
      <c r="H255" s="11"/>
      <c r="I255" s="11"/>
      <c r="J255" s="11"/>
    </row>
    <row r="256" spans="1:10" ht="38.25" customHeight="1">
      <c r="A256" s="4" t="s">
        <v>2402</v>
      </c>
      <c r="B256" s="12"/>
      <c r="C256" s="12"/>
      <c r="D256" s="12"/>
      <c r="E256" s="12"/>
      <c r="F256" s="12"/>
      <c r="G256" s="12"/>
      <c r="H256" s="12"/>
      <c r="I256" s="12"/>
      <c r="J256" s="12"/>
    </row>
    <row r="257" spans="1:10" ht="38.25" customHeight="1">
      <c r="A257" s="3" t="s">
        <v>2403</v>
      </c>
      <c r="B257" s="11"/>
      <c r="C257" s="11"/>
      <c r="D257" s="11"/>
      <c r="E257" s="11"/>
      <c r="F257" s="11"/>
      <c r="G257" s="11"/>
      <c r="H257" s="11"/>
      <c r="I257" s="11"/>
      <c r="J257" s="11"/>
    </row>
    <row r="258" spans="1:10" ht="25.5" customHeight="1">
      <c r="A258" s="4" t="s">
        <v>2404</v>
      </c>
      <c r="B258" s="12"/>
      <c r="C258" s="12"/>
      <c r="D258" s="12"/>
      <c r="E258" s="12"/>
      <c r="F258" s="12"/>
      <c r="G258" s="12"/>
      <c r="H258" s="12"/>
      <c r="I258" s="12"/>
      <c r="J258" s="12"/>
    </row>
    <row r="259" spans="1:10" ht="12.75" customHeight="1">
      <c r="A259" s="3" t="s">
        <v>2405</v>
      </c>
      <c r="B259" s="11"/>
      <c r="C259" s="11"/>
      <c r="D259" s="11"/>
      <c r="E259" s="11"/>
      <c r="F259" s="11"/>
      <c r="G259" s="11"/>
      <c r="H259" s="11"/>
      <c r="I259" s="11"/>
      <c r="J259" s="11"/>
    </row>
    <row r="260" spans="1:10" ht="12.75" customHeight="1">
      <c r="A260" s="4" t="s">
        <v>2406</v>
      </c>
      <c r="B260" s="12">
        <f>+'DCA-Anexo I-F'!B280+'DCA-Anexo I-F'!B261+'DCA-Anexo I-F'!B271+'DCA-Anexo I-F'!B272+'DCA-Anexo I-F'!B285+'DCA-Anexo I-F'!B283+'DCA-Anexo I-F'!B262+'DCA-Anexo I-F'!B281+'DCA-Anexo I-F'!B274+'DCA-Anexo I-F'!B267+'DCA-Anexo I-F'!B263+'DCA-Anexo I-F'!B279+'DCA-Anexo I-F'!B268+'DCA-Anexo I-F'!B269+'DCA-Anexo I-F'!B266+'DCA-Anexo I-F'!B264+'DCA-Anexo I-F'!B265+'DCA-Anexo I-F'!B282+'DCA-Anexo I-F'!B275+'DCA-Anexo I-F'!B270+'DCA-Anexo I-F'!B273+'DCA-Anexo I-F'!B284</f>
        <v>7900</v>
      </c>
      <c r="C260" s="12">
        <f>+'DCA-Anexo I-F'!C280+'DCA-Anexo I-F'!C261+'DCA-Anexo I-F'!C271+'DCA-Anexo I-F'!C272+'DCA-Anexo I-F'!C285+'DCA-Anexo I-F'!C283+'DCA-Anexo I-F'!C262+'DCA-Anexo I-F'!C281+'DCA-Anexo I-F'!C274+'DCA-Anexo I-F'!C267+'DCA-Anexo I-F'!C263+'DCA-Anexo I-F'!C279+'DCA-Anexo I-F'!C268+'DCA-Anexo I-F'!C269+'DCA-Anexo I-F'!C266+'DCA-Anexo I-F'!C264+'DCA-Anexo I-F'!C265+'DCA-Anexo I-F'!C282+'DCA-Anexo I-F'!C275+'DCA-Anexo I-F'!C270+'DCA-Anexo I-F'!C273+'DCA-Anexo I-F'!C284</f>
        <v>0</v>
      </c>
      <c r="D260" s="12">
        <f>+'DCA-Anexo I-F'!D280+'DCA-Anexo I-F'!D261+'DCA-Anexo I-F'!D271+'DCA-Anexo I-F'!D272+'DCA-Anexo I-F'!D285+'DCA-Anexo I-F'!D283+'DCA-Anexo I-F'!D262+'DCA-Anexo I-F'!D281+'DCA-Anexo I-F'!D274+'DCA-Anexo I-F'!D267+'DCA-Anexo I-F'!D263+'DCA-Anexo I-F'!D279+'DCA-Anexo I-F'!D268+'DCA-Anexo I-F'!D269+'DCA-Anexo I-F'!D266+'DCA-Anexo I-F'!D264+'DCA-Anexo I-F'!D265+'DCA-Anexo I-F'!D282+'DCA-Anexo I-F'!D275+'DCA-Anexo I-F'!D270+'DCA-Anexo I-F'!D273+'DCA-Anexo I-F'!D284</f>
        <v>0</v>
      </c>
      <c r="E260" s="12">
        <f>+'DCA-Anexo I-F'!E280+'DCA-Anexo I-F'!E261+'DCA-Anexo I-F'!E271+'DCA-Anexo I-F'!E272+'DCA-Anexo I-F'!E285+'DCA-Anexo I-F'!E283+'DCA-Anexo I-F'!E262+'DCA-Anexo I-F'!E281+'DCA-Anexo I-F'!E274+'DCA-Anexo I-F'!E267+'DCA-Anexo I-F'!E263+'DCA-Anexo I-F'!E279+'DCA-Anexo I-F'!E268+'DCA-Anexo I-F'!E269+'DCA-Anexo I-F'!E266+'DCA-Anexo I-F'!E264+'DCA-Anexo I-F'!E265+'DCA-Anexo I-F'!E282+'DCA-Anexo I-F'!E275+'DCA-Anexo I-F'!E270+'DCA-Anexo I-F'!E273+'DCA-Anexo I-F'!E284</f>
        <v>0</v>
      </c>
      <c r="F260" s="12">
        <f>+'DCA-Anexo I-F'!F280+'DCA-Anexo I-F'!F261+'DCA-Anexo I-F'!F271+'DCA-Anexo I-F'!F272+'DCA-Anexo I-F'!F285+'DCA-Anexo I-F'!F283+'DCA-Anexo I-F'!F262+'DCA-Anexo I-F'!F281+'DCA-Anexo I-F'!F274+'DCA-Anexo I-F'!F267+'DCA-Anexo I-F'!F263+'DCA-Anexo I-F'!F279+'DCA-Anexo I-F'!F268+'DCA-Anexo I-F'!F269+'DCA-Anexo I-F'!F266+'DCA-Anexo I-F'!F264+'DCA-Anexo I-F'!F265+'DCA-Anexo I-F'!F282+'DCA-Anexo I-F'!F275+'DCA-Anexo I-F'!F270+'DCA-Anexo I-F'!F273+'DCA-Anexo I-F'!F284</f>
        <v>0</v>
      </c>
      <c r="G260" s="12">
        <f>+'DCA-Anexo I-F'!G280+'DCA-Anexo I-F'!G261+'DCA-Anexo I-F'!G271+'DCA-Anexo I-F'!G272+'DCA-Anexo I-F'!G285+'DCA-Anexo I-F'!G283+'DCA-Anexo I-F'!G262+'DCA-Anexo I-F'!G281+'DCA-Anexo I-F'!G274+'DCA-Anexo I-F'!G267+'DCA-Anexo I-F'!G263+'DCA-Anexo I-F'!G279+'DCA-Anexo I-F'!G268+'DCA-Anexo I-F'!G269+'DCA-Anexo I-F'!G266+'DCA-Anexo I-F'!G264+'DCA-Anexo I-F'!G265+'DCA-Anexo I-F'!G282+'DCA-Anexo I-F'!G275+'DCA-Anexo I-F'!G270+'DCA-Anexo I-F'!G273+'DCA-Anexo I-F'!G284</f>
        <v>42566.21</v>
      </c>
      <c r="H260" s="12">
        <f>+'DCA-Anexo I-F'!H280+'DCA-Anexo I-F'!H261+'DCA-Anexo I-F'!H271+'DCA-Anexo I-F'!H272+'DCA-Anexo I-F'!H285+'DCA-Anexo I-F'!H283+'DCA-Anexo I-F'!H262+'DCA-Anexo I-F'!H281+'DCA-Anexo I-F'!H274+'DCA-Anexo I-F'!H267+'DCA-Anexo I-F'!H263+'DCA-Anexo I-F'!H279+'DCA-Anexo I-F'!H268+'DCA-Anexo I-F'!H269+'DCA-Anexo I-F'!H266+'DCA-Anexo I-F'!H264+'DCA-Anexo I-F'!H265+'DCA-Anexo I-F'!H282+'DCA-Anexo I-F'!H275+'DCA-Anexo I-F'!H270+'DCA-Anexo I-F'!H273+'DCA-Anexo I-F'!H284</f>
        <v>182246.75</v>
      </c>
      <c r="I260" s="12">
        <f>+'DCA-Anexo I-F'!I280+'DCA-Anexo I-F'!I261+'DCA-Anexo I-F'!I271+'DCA-Anexo I-F'!I272+'DCA-Anexo I-F'!I285+'DCA-Anexo I-F'!I283+'DCA-Anexo I-F'!I262+'DCA-Anexo I-F'!I281+'DCA-Anexo I-F'!I274+'DCA-Anexo I-F'!I267+'DCA-Anexo I-F'!I263+'DCA-Anexo I-F'!I279+'DCA-Anexo I-F'!I268+'DCA-Anexo I-F'!I269+'DCA-Anexo I-F'!I266+'DCA-Anexo I-F'!I264+'DCA-Anexo I-F'!I265+'DCA-Anexo I-F'!I282+'DCA-Anexo I-F'!I275+'DCA-Anexo I-F'!I270+'DCA-Anexo I-F'!I273+'DCA-Anexo I-F'!I284</f>
        <v>182246.75</v>
      </c>
      <c r="J260" s="12">
        <f>+'DCA-Anexo I-F'!J280+'DCA-Anexo I-F'!J261+'DCA-Anexo I-F'!J271+'DCA-Anexo I-F'!J272+'DCA-Anexo I-F'!J285+'DCA-Anexo I-F'!J283+'DCA-Anexo I-F'!J262+'DCA-Anexo I-F'!J281+'DCA-Anexo I-F'!J274+'DCA-Anexo I-F'!J267+'DCA-Anexo I-F'!J263+'DCA-Anexo I-F'!J279+'DCA-Anexo I-F'!J268+'DCA-Anexo I-F'!J269+'DCA-Anexo I-F'!J266+'DCA-Anexo I-F'!J264+'DCA-Anexo I-F'!J265+'DCA-Anexo I-F'!J282+'DCA-Anexo I-F'!J275+'DCA-Anexo I-F'!J270+'DCA-Anexo I-F'!J273+'DCA-Anexo I-F'!J284</f>
        <v>0</v>
      </c>
    </row>
    <row r="261" spans="1:10" ht="12.75" customHeight="1">
      <c r="A261" s="3" t="s">
        <v>2407</v>
      </c>
      <c r="B261" s="11"/>
      <c r="C261" s="11"/>
      <c r="D261" s="11"/>
      <c r="E261" s="11"/>
      <c r="F261" s="11"/>
      <c r="G261" s="11"/>
      <c r="H261" s="11"/>
      <c r="I261" s="11"/>
      <c r="J261" s="11"/>
    </row>
    <row r="262" spans="1:10" ht="12.75" customHeight="1">
      <c r="A262" s="4" t="s">
        <v>2408</v>
      </c>
      <c r="B262" s="12"/>
      <c r="C262" s="12"/>
      <c r="D262" s="12"/>
      <c r="E262" s="12"/>
      <c r="F262" s="12"/>
      <c r="G262" s="12"/>
      <c r="H262" s="12"/>
      <c r="I262" s="12"/>
      <c r="J262" s="12"/>
    </row>
    <row r="263" spans="1:10" ht="12.75" customHeight="1">
      <c r="A263" s="3" t="s">
        <v>2409</v>
      </c>
      <c r="B263" s="11"/>
      <c r="C263" s="11"/>
      <c r="D263" s="11"/>
      <c r="E263" s="11"/>
      <c r="F263" s="11"/>
      <c r="G263" s="11"/>
      <c r="H263" s="11"/>
      <c r="I263" s="11"/>
      <c r="J263" s="11"/>
    </row>
    <row r="264" spans="1:10" ht="12.75" customHeight="1">
      <c r="A264" s="4" t="s">
        <v>2410</v>
      </c>
      <c r="B264" s="12"/>
      <c r="C264" s="12"/>
      <c r="D264" s="12"/>
      <c r="E264" s="12"/>
      <c r="F264" s="12"/>
      <c r="G264" s="12"/>
      <c r="H264" s="12"/>
      <c r="I264" s="12"/>
      <c r="J264" s="12"/>
    </row>
    <row r="265" spans="1:10" ht="12.75" customHeight="1">
      <c r="A265" s="3" t="s">
        <v>2411</v>
      </c>
      <c r="B265" s="11"/>
      <c r="C265" s="11"/>
      <c r="D265" s="11"/>
      <c r="E265" s="11"/>
      <c r="F265" s="11"/>
      <c r="G265" s="11"/>
      <c r="H265" s="11"/>
      <c r="I265" s="11"/>
      <c r="J265" s="11"/>
    </row>
    <row r="266" spans="1:10" ht="12.75" customHeight="1">
      <c r="A266" s="4" t="s">
        <v>2412</v>
      </c>
      <c r="B266" s="12"/>
      <c r="C266" s="12"/>
      <c r="D266" s="12"/>
      <c r="E266" s="12"/>
      <c r="F266" s="12"/>
      <c r="G266" s="12"/>
      <c r="H266" s="12"/>
      <c r="I266" s="12"/>
      <c r="J266" s="12"/>
    </row>
    <row r="267" spans="1:10" ht="12.75" customHeight="1">
      <c r="A267" s="3" t="s">
        <v>2413</v>
      </c>
      <c r="B267" s="11"/>
      <c r="C267" s="11"/>
      <c r="D267" s="11"/>
      <c r="E267" s="11"/>
      <c r="F267" s="11"/>
      <c r="G267" s="11"/>
      <c r="H267" s="11"/>
      <c r="I267" s="11"/>
      <c r="J267" s="11"/>
    </row>
    <row r="268" spans="1:10" ht="12.75" customHeight="1">
      <c r="A268" s="4" t="s">
        <v>2414</v>
      </c>
      <c r="B268" s="12"/>
      <c r="C268" s="12"/>
      <c r="D268" s="12"/>
      <c r="E268" s="12"/>
      <c r="F268" s="12"/>
      <c r="G268" s="12"/>
      <c r="H268" s="12"/>
      <c r="I268" s="12"/>
      <c r="J268" s="12"/>
    </row>
    <row r="269" spans="1:10" ht="12.75" customHeight="1">
      <c r="A269" s="3" t="s">
        <v>2415</v>
      </c>
      <c r="B269" s="11"/>
      <c r="C269" s="11"/>
      <c r="D269" s="11"/>
      <c r="E269" s="11"/>
      <c r="F269" s="11"/>
      <c r="G269" s="11"/>
      <c r="H269" s="11"/>
      <c r="I269" s="11"/>
      <c r="J269" s="11"/>
    </row>
    <row r="270" spans="1:10" ht="12.75" customHeight="1">
      <c r="A270" s="4" t="s">
        <v>2416</v>
      </c>
      <c r="B270" s="12"/>
      <c r="C270" s="12"/>
      <c r="D270" s="12"/>
      <c r="E270" s="12"/>
      <c r="F270" s="12"/>
      <c r="G270" s="12"/>
      <c r="H270" s="12"/>
      <c r="I270" s="12"/>
      <c r="J270" s="12"/>
    </row>
    <row r="271" spans="1:10" ht="12.75" customHeight="1">
      <c r="A271" s="3" t="s">
        <v>2417</v>
      </c>
      <c r="B271" s="11"/>
      <c r="C271" s="11"/>
      <c r="D271" s="11"/>
      <c r="E271" s="11"/>
      <c r="F271" s="11"/>
      <c r="G271" s="11"/>
      <c r="H271" s="11"/>
      <c r="I271" s="11"/>
      <c r="J271" s="11"/>
    </row>
    <row r="272" spans="1:10" ht="12.75" customHeight="1">
      <c r="A272" s="4" t="s">
        <v>2418</v>
      </c>
      <c r="B272" s="12"/>
      <c r="C272" s="12"/>
      <c r="D272" s="12"/>
      <c r="E272" s="12"/>
      <c r="F272" s="12"/>
      <c r="G272" s="12"/>
      <c r="H272" s="12"/>
      <c r="I272" s="12"/>
      <c r="J272" s="12"/>
    </row>
    <row r="273" spans="1:10" ht="25.5" customHeight="1">
      <c r="A273" s="3" t="s">
        <v>2419</v>
      </c>
      <c r="B273" s="11"/>
      <c r="C273" s="11"/>
      <c r="D273" s="11"/>
      <c r="E273" s="11"/>
      <c r="F273" s="11"/>
      <c r="G273" s="11"/>
      <c r="H273" s="11"/>
      <c r="I273" s="11"/>
      <c r="J273" s="11"/>
    </row>
    <row r="274" spans="1:10" ht="12.75" customHeight="1">
      <c r="A274" s="4" t="s">
        <v>2420</v>
      </c>
      <c r="B274" s="12"/>
      <c r="C274" s="12"/>
      <c r="D274" s="12"/>
      <c r="E274" s="12"/>
      <c r="F274" s="12"/>
      <c r="G274" s="12"/>
      <c r="H274" s="12"/>
      <c r="I274" s="12"/>
      <c r="J274" s="12"/>
    </row>
    <row r="275" spans="1:10" ht="12.75" customHeight="1">
      <c r="A275" s="3" t="s">
        <v>2421</v>
      </c>
      <c r="B275" s="11">
        <f>+'DCA-Anexo I-F'!B278+'DCA-Anexo I-F'!B277+'DCA-Anexo I-F'!B276</f>
        <v>7900</v>
      </c>
      <c r="C275" s="11">
        <f>+'DCA-Anexo I-F'!C278+'DCA-Anexo I-F'!C277+'DCA-Anexo I-F'!C276</f>
        <v>0</v>
      </c>
      <c r="D275" s="11">
        <f>+'DCA-Anexo I-F'!D278+'DCA-Anexo I-F'!D277+'DCA-Anexo I-F'!D276</f>
        <v>0</v>
      </c>
      <c r="E275" s="11">
        <f>+'DCA-Anexo I-F'!E278+'DCA-Anexo I-F'!E277+'DCA-Anexo I-F'!E276</f>
        <v>0</v>
      </c>
      <c r="F275" s="11">
        <f>+'DCA-Anexo I-F'!F278+'DCA-Anexo I-F'!F277+'DCA-Anexo I-F'!F276</f>
        <v>0</v>
      </c>
      <c r="G275" s="11">
        <f>+'DCA-Anexo I-F'!G278+'DCA-Anexo I-F'!G277+'DCA-Anexo I-F'!G276</f>
        <v>42566.21</v>
      </c>
      <c r="H275" s="11">
        <f>+'DCA-Anexo I-F'!H278+'DCA-Anexo I-F'!H277+'DCA-Anexo I-F'!H276</f>
        <v>182246.75</v>
      </c>
      <c r="I275" s="11">
        <f>+'DCA-Anexo I-F'!I278+'DCA-Anexo I-F'!I277+'DCA-Anexo I-F'!I276</f>
        <v>182246.75</v>
      </c>
      <c r="J275" s="11">
        <f>+'DCA-Anexo I-F'!J278+'DCA-Anexo I-F'!J277+'DCA-Anexo I-F'!J276</f>
        <v>0</v>
      </c>
    </row>
    <row r="276" spans="1:10" ht="12.75" customHeight="1">
      <c r="A276" s="4" t="s">
        <v>2422</v>
      </c>
      <c r="B276" s="12"/>
      <c r="C276" s="12"/>
      <c r="D276" s="12"/>
      <c r="E276" s="12"/>
      <c r="F276" s="12"/>
      <c r="G276" s="12"/>
      <c r="H276" s="12"/>
      <c r="I276" s="12"/>
      <c r="J276" s="12"/>
    </row>
    <row r="277" spans="1:10" ht="12.75" customHeight="1">
      <c r="A277" s="3" t="s">
        <v>2423</v>
      </c>
      <c r="B277" s="11"/>
      <c r="C277" s="11"/>
      <c r="D277" s="11"/>
      <c r="E277" s="11"/>
      <c r="F277" s="11"/>
      <c r="G277" s="11">
        <v>42566.21</v>
      </c>
      <c r="H277" s="11">
        <v>182246.75</v>
      </c>
      <c r="I277" s="11">
        <v>182246.75</v>
      </c>
      <c r="J277" s="11"/>
    </row>
    <row r="278" spans="1:10" ht="12.75" customHeight="1">
      <c r="A278" s="4" t="s">
        <v>2424</v>
      </c>
      <c r="B278" s="12">
        <v>7900</v>
      </c>
      <c r="C278" s="12"/>
      <c r="D278" s="12"/>
      <c r="E278" s="12"/>
      <c r="F278" s="12"/>
      <c r="G278" s="12"/>
      <c r="H278" s="12"/>
      <c r="I278" s="12"/>
      <c r="J278" s="12"/>
    </row>
    <row r="279" spans="1:10" ht="12.75" customHeight="1">
      <c r="A279" s="3" t="s">
        <v>2425</v>
      </c>
      <c r="B279" s="11"/>
      <c r="C279" s="11"/>
      <c r="D279" s="11"/>
      <c r="E279" s="11"/>
      <c r="F279" s="11"/>
      <c r="G279" s="11"/>
      <c r="H279" s="11"/>
      <c r="I279" s="11"/>
      <c r="J279" s="11"/>
    </row>
    <row r="280" spans="1:10" ht="12.75" customHeight="1">
      <c r="A280" s="4" t="s">
        <v>2426</v>
      </c>
      <c r="B280" s="12"/>
      <c r="C280" s="12"/>
      <c r="D280" s="12"/>
      <c r="E280" s="12"/>
      <c r="F280" s="12"/>
      <c r="G280" s="12"/>
      <c r="H280" s="12"/>
      <c r="I280" s="12"/>
      <c r="J280" s="12"/>
    </row>
    <row r="281" spans="1:10" ht="12.75" customHeight="1">
      <c r="A281" s="3" t="s">
        <v>2427</v>
      </c>
      <c r="B281" s="11"/>
      <c r="C281" s="11"/>
      <c r="D281" s="11"/>
      <c r="E281" s="11"/>
      <c r="F281" s="11"/>
      <c r="G281" s="11"/>
      <c r="H281" s="11"/>
      <c r="I281" s="11"/>
      <c r="J281" s="11"/>
    </row>
    <row r="282" spans="1:10" ht="12.75" customHeight="1">
      <c r="A282" s="4" t="s">
        <v>2428</v>
      </c>
      <c r="B282" s="12"/>
      <c r="C282" s="12"/>
      <c r="D282" s="12"/>
      <c r="E282" s="12"/>
      <c r="F282" s="12"/>
      <c r="G282" s="12"/>
      <c r="H282" s="12"/>
      <c r="I282" s="12"/>
      <c r="J282" s="12"/>
    </row>
    <row r="283" spans="1:10" ht="12.75" customHeight="1">
      <c r="A283" s="3" t="s">
        <v>2429</v>
      </c>
      <c r="B283" s="11"/>
      <c r="C283" s="11"/>
      <c r="D283" s="11"/>
      <c r="E283" s="11"/>
      <c r="F283" s="11"/>
      <c r="G283" s="11"/>
      <c r="H283" s="11"/>
      <c r="I283" s="11"/>
      <c r="J283" s="11"/>
    </row>
    <row r="284" spans="1:10" ht="12.75" customHeight="1">
      <c r="A284" s="4" t="s">
        <v>2430</v>
      </c>
      <c r="B284" s="12"/>
      <c r="C284" s="12"/>
      <c r="D284" s="12"/>
      <c r="E284" s="12"/>
      <c r="F284" s="12"/>
      <c r="G284" s="12"/>
      <c r="H284" s="12"/>
      <c r="I284" s="12"/>
      <c r="J284" s="12"/>
    </row>
    <row r="285" spans="1:10" ht="12.75" customHeight="1">
      <c r="A285" s="3" t="s">
        <v>2431</v>
      </c>
      <c r="B285" s="11"/>
      <c r="C285" s="11"/>
      <c r="D285" s="11"/>
      <c r="E285" s="11"/>
      <c r="F285" s="11"/>
      <c r="G285" s="11"/>
      <c r="H285" s="11"/>
      <c r="I285" s="11"/>
      <c r="J285" s="11"/>
    </row>
    <row r="286" spans="1:10" ht="38.25" customHeight="1">
      <c r="A286" s="4" t="s">
        <v>2432</v>
      </c>
      <c r="B286" s="12"/>
      <c r="C286" s="12"/>
      <c r="D286" s="12"/>
      <c r="E286" s="12"/>
      <c r="F286" s="12"/>
      <c r="G286" s="12"/>
      <c r="H286" s="12"/>
      <c r="I286" s="12"/>
      <c r="J286" s="12"/>
    </row>
    <row r="287" spans="1:10" ht="25.5" customHeight="1">
      <c r="A287" s="3" t="s">
        <v>2433</v>
      </c>
      <c r="B287" s="11"/>
      <c r="C287" s="11"/>
      <c r="D287" s="11"/>
      <c r="E287" s="11"/>
      <c r="F287" s="11"/>
      <c r="G287" s="11"/>
      <c r="H287" s="11"/>
      <c r="I287" s="11"/>
      <c r="J287" s="11"/>
    </row>
    <row r="288" spans="1:10" ht="38.25" customHeight="1">
      <c r="A288" s="4" t="s">
        <v>2434</v>
      </c>
      <c r="B288" s="12"/>
      <c r="C288" s="12"/>
      <c r="D288" s="12"/>
      <c r="E288" s="12"/>
      <c r="F288" s="12"/>
      <c r="G288" s="12"/>
      <c r="H288" s="12"/>
      <c r="I288" s="12"/>
      <c r="J288" s="12"/>
    </row>
    <row r="289" spans="1:10" ht="38.25" customHeight="1">
      <c r="A289" s="3" t="s">
        <v>2435</v>
      </c>
      <c r="B289" s="11"/>
      <c r="C289" s="11"/>
      <c r="D289" s="11"/>
      <c r="E289" s="11"/>
      <c r="F289" s="11"/>
      <c r="G289" s="11"/>
      <c r="H289" s="11"/>
      <c r="I289" s="11"/>
      <c r="J289" s="11"/>
    </row>
    <row r="290" spans="1:10" ht="25.5" customHeight="1">
      <c r="A290" s="4" t="s">
        <v>2436</v>
      </c>
      <c r="B290" s="12"/>
      <c r="C290" s="12"/>
      <c r="D290" s="12"/>
      <c r="E290" s="12"/>
      <c r="F290" s="12"/>
      <c r="G290" s="12"/>
      <c r="H290" s="12"/>
      <c r="I290" s="12"/>
      <c r="J290" s="12"/>
    </row>
    <row r="291" spans="1:10" ht="25.5" customHeight="1">
      <c r="A291" s="3" t="s">
        <v>2437</v>
      </c>
      <c r="B291" s="11"/>
      <c r="C291" s="11"/>
      <c r="D291" s="11"/>
      <c r="E291" s="11"/>
      <c r="F291" s="11"/>
      <c r="G291" s="11"/>
      <c r="H291" s="11"/>
      <c r="I291" s="11"/>
      <c r="J291" s="11"/>
    </row>
    <row r="292" spans="1:10" ht="12.75" customHeight="1">
      <c r="A292" s="4" t="s">
        <v>2438</v>
      </c>
      <c r="B292" s="12"/>
      <c r="C292" s="12"/>
      <c r="D292" s="12"/>
      <c r="E292" s="12"/>
      <c r="F292" s="12"/>
      <c r="G292" s="12"/>
      <c r="H292" s="12"/>
      <c r="I292" s="12"/>
      <c r="J292" s="12"/>
    </row>
    <row r="293" spans="1:10" ht="12.75" customHeight="1">
      <c r="A293" s="3" t="s">
        <v>2439</v>
      </c>
      <c r="B293" s="11">
        <f>+'DCA-Anexo I-F'!B311+'DCA-Anexo I-F'!B296+'DCA-Anexo I-F'!B312+'DCA-Anexo I-F'!B306+'DCA-Anexo I-F'!B298+'DCA-Anexo I-F'!B303+'DCA-Anexo I-F'!B336+'DCA-Anexo I-F'!B301+'DCA-Anexo I-F'!B313+'DCA-Anexo I-F'!B316+'DCA-Anexo I-F'!B335+'DCA-Anexo I-F'!B317+'DCA-Anexo I-F'!B294+'DCA-Anexo I-F'!B310+'DCA-Anexo I-F'!B307+'DCA-Anexo I-F'!B337+'DCA-Anexo I-F'!B308+'DCA-Anexo I-F'!B297+'DCA-Anexo I-F'!B309+'DCA-Anexo I-F'!B295+'DCA-Anexo I-F'!B299+'DCA-Anexo I-F'!B300+'DCA-Anexo I-F'!B302+'DCA-Anexo I-F'!B304+'DCA-Anexo I-F'!B305+'DCA-Anexo I-F'!B314+'DCA-Anexo I-F'!B315+'DCA-Anexo I-F'!B331+'DCA-Anexo I-F'!B333+'DCA-Anexo I-F'!B334+'DCA-Anexo I-F'!B332</f>
        <v>0</v>
      </c>
      <c r="C293" s="11">
        <f>+'DCA-Anexo I-F'!C311+'DCA-Anexo I-F'!C296+'DCA-Anexo I-F'!C312+'DCA-Anexo I-F'!C306+'DCA-Anexo I-F'!C298+'DCA-Anexo I-F'!C303+'DCA-Anexo I-F'!C336+'DCA-Anexo I-F'!C301+'DCA-Anexo I-F'!C313+'DCA-Anexo I-F'!C316+'DCA-Anexo I-F'!C335+'DCA-Anexo I-F'!C317+'DCA-Anexo I-F'!C294+'DCA-Anexo I-F'!C310+'DCA-Anexo I-F'!C307+'DCA-Anexo I-F'!C337+'DCA-Anexo I-F'!C308+'DCA-Anexo I-F'!C297+'DCA-Anexo I-F'!C309+'DCA-Anexo I-F'!C295+'DCA-Anexo I-F'!C299+'DCA-Anexo I-F'!C300+'DCA-Anexo I-F'!C302+'DCA-Anexo I-F'!C304+'DCA-Anexo I-F'!C305+'DCA-Anexo I-F'!C314+'DCA-Anexo I-F'!C315+'DCA-Anexo I-F'!C331+'DCA-Anexo I-F'!C333+'DCA-Anexo I-F'!C334+'DCA-Anexo I-F'!C332</f>
        <v>0</v>
      </c>
      <c r="D293" s="11">
        <f>+'DCA-Anexo I-F'!D311+'DCA-Anexo I-F'!D296+'DCA-Anexo I-F'!D312+'DCA-Anexo I-F'!D306+'DCA-Anexo I-F'!D298+'DCA-Anexo I-F'!D303+'DCA-Anexo I-F'!D336+'DCA-Anexo I-F'!D301+'DCA-Anexo I-F'!D313+'DCA-Anexo I-F'!D316+'DCA-Anexo I-F'!D335+'DCA-Anexo I-F'!D317+'DCA-Anexo I-F'!D294+'DCA-Anexo I-F'!D310+'DCA-Anexo I-F'!D307+'DCA-Anexo I-F'!D337+'DCA-Anexo I-F'!D308+'DCA-Anexo I-F'!D297+'DCA-Anexo I-F'!D309+'DCA-Anexo I-F'!D295+'DCA-Anexo I-F'!D299+'DCA-Anexo I-F'!D300+'DCA-Anexo I-F'!D302+'DCA-Anexo I-F'!D304+'DCA-Anexo I-F'!D305+'DCA-Anexo I-F'!D314+'DCA-Anexo I-F'!D315+'DCA-Anexo I-F'!D331+'DCA-Anexo I-F'!D333+'DCA-Anexo I-F'!D334+'DCA-Anexo I-F'!D332</f>
        <v>0</v>
      </c>
      <c r="E293" s="11">
        <f>+'DCA-Anexo I-F'!E311+'DCA-Anexo I-F'!E296+'DCA-Anexo I-F'!E312+'DCA-Anexo I-F'!E306+'DCA-Anexo I-F'!E298+'DCA-Anexo I-F'!E303+'DCA-Anexo I-F'!E336+'DCA-Anexo I-F'!E301+'DCA-Anexo I-F'!E313+'DCA-Anexo I-F'!E316+'DCA-Anexo I-F'!E335+'DCA-Anexo I-F'!E317+'DCA-Anexo I-F'!E294+'DCA-Anexo I-F'!E310+'DCA-Anexo I-F'!E307+'DCA-Anexo I-F'!E337+'DCA-Anexo I-F'!E308+'DCA-Anexo I-F'!E297+'DCA-Anexo I-F'!E309+'DCA-Anexo I-F'!E295+'DCA-Anexo I-F'!E299+'DCA-Anexo I-F'!E300+'DCA-Anexo I-F'!E302+'DCA-Anexo I-F'!E304+'DCA-Anexo I-F'!E305+'DCA-Anexo I-F'!E314+'DCA-Anexo I-F'!E315+'DCA-Anexo I-F'!E331+'DCA-Anexo I-F'!E333+'DCA-Anexo I-F'!E334+'DCA-Anexo I-F'!E332</f>
        <v>0</v>
      </c>
      <c r="F293" s="11">
        <f>+'DCA-Anexo I-F'!F311+'DCA-Anexo I-F'!F296+'DCA-Anexo I-F'!F312+'DCA-Anexo I-F'!F306+'DCA-Anexo I-F'!F298+'DCA-Anexo I-F'!F303+'DCA-Anexo I-F'!F336+'DCA-Anexo I-F'!F301+'DCA-Anexo I-F'!F313+'DCA-Anexo I-F'!F316+'DCA-Anexo I-F'!F335+'DCA-Anexo I-F'!F317+'DCA-Anexo I-F'!F294+'DCA-Anexo I-F'!F310+'DCA-Anexo I-F'!F307+'DCA-Anexo I-F'!F337+'DCA-Anexo I-F'!F308+'DCA-Anexo I-F'!F297+'DCA-Anexo I-F'!F309+'DCA-Anexo I-F'!F295+'DCA-Anexo I-F'!F299+'DCA-Anexo I-F'!F300+'DCA-Anexo I-F'!F302+'DCA-Anexo I-F'!F304+'DCA-Anexo I-F'!F305+'DCA-Anexo I-F'!F314+'DCA-Anexo I-F'!F315+'DCA-Anexo I-F'!F331+'DCA-Anexo I-F'!F333+'DCA-Anexo I-F'!F334+'DCA-Anexo I-F'!F332</f>
        <v>0</v>
      </c>
      <c r="G293" s="11">
        <f>+'DCA-Anexo I-F'!G311+'DCA-Anexo I-F'!G296+'DCA-Anexo I-F'!G312+'DCA-Anexo I-F'!G306+'DCA-Anexo I-F'!G298+'DCA-Anexo I-F'!G303+'DCA-Anexo I-F'!G336+'DCA-Anexo I-F'!G301+'DCA-Anexo I-F'!G313+'DCA-Anexo I-F'!G316+'DCA-Anexo I-F'!G335+'DCA-Anexo I-F'!G317+'DCA-Anexo I-F'!G294+'DCA-Anexo I-F'!G310+'DCA-Anexo I-F'!G307+'DCA-Anexo I-F'!G337+'DCA-Anexo I-F'!G308+'DCA-Anexo I-F'!G297+'DCA-Anexo I-F'!G309+'DCA-Anexo I-F'!G295+'DCA-Anexo I-F'!G299+'DCA-Anexo I-F'!G300+'DCA-Anexo I-F'!G302+'DCA-Anexo I-F'!G304+'DCA-Anexo I-F'!G305+'DCA-Anexo I-F'!G314+'DCA-Anexo I-F'!G315+'DCA-Anexo I-F'!G331+'DCA-Anexo I-F'!G333+'DCA-Anexo I-F'!G334+'DCA-Anexo I-F'!G332</f>
        <v>0</v>
      </c>
      <c r="H293" s="11">
        <f>+'DCA-Anexo I-F'!H311+'DCA-Anexo I-F'!H296+'DCA-Anexo I-F'!H312+'DCA-Anexo I-F'!H306+'DCA-Anexo I-F'!H298+'DCA-Anexo I-F'!H303+'DCA-Anexo I-F'!H336+'DCA-Anexo I-F'!H301+'DCA-Anexo I-F'!H313+'DCA-Anexo I-F'!H316+'DCA-Anexo I-F'!H335+'DCA-Anexo I-F'!H317+'DCA-Anexo I-F'!H294+'DCA-Anexo I-F'!H310+'DCA-Anexo I-F'!H307+'DCA-Anexo I-F'!H337+'DCA-Anexo I-F'!H308+'DCA-Anexo I-F'!H297+'DCA-Anexo I-F'!H309+'DCA-Anexo I-F'!H295+'DCA-Anexo I-F'!H299+'DCA-Anexo I-F'!H300+'DCA-Anexo I-F'!H302+'DCA-Anexo I-F'!H304+'DCA-Anexo I-F'!H305+'DCA-Anexo I-F'!H314+'DCA-Anexo I-F'!H315+'DCA-Anexo I-F'!H331+'DCA-Anexo I-F'!H333+'DCA-Anexo I-F'!H334+'DCA-Anexo I-F'!H332</f>
        <v>0</v>
      </c>
      <c r="I293" s="11">
        <f>+'DCA-Anexo I-F'!I311+'DCA-Anexo I-F'!I296+'DCA-Anexo I-F'!I312+'DCA-Anexo I-F'!I306+'DCA-Anexo I-F'!I298+'DCA-Anexo I-F'!I303+'DCA-Anexo I-F'!I336+'DCA-Anexo I-F'!I301+'DCA-Anexo I-F'!I313+'DCA-Anexo I-F'!I316+'DCA-Anexo I-F'!I335+'DCA-Anexo I-F'!I317+'DCA-Anexo I-F'!I294+'DCA-Anexo I-F'!I310+'DCA-Anexo I-F'!I307+'DCA-Anexo I-F'!I337+'DCA-Anexo I-F'!I308+'DCA-Anexo I-F'!I297+'DCA-Anexo I-F'!I309+'DCA-Anexo I-F'!I295+'DCA-Anexo I-F'!I299+'DCA-Anexo I-F'!I300+'DCA-Anexo I-F'!I302+'DCA-Anexo I-F'!I304+'DCA-Anexo I-F'!I305+'DCA-Anexo I-F'!I314+'DCA-Anexo I-F'!I315+'DCA-Anexo I-F'!I331+'DCA-Anexo I-F'!I333+'DCA-Anexo I-F'!I334+'DCA-Anexo I-F'!I332</f>
        <v>0</v>
      </c>
      <c r="J293" s="11">
        <f>+'DCA-Anexo I-F'!J311+'DCA-Anexo I-F'!J296+'DCA-Anexo I-F'!J312+'DCA-Anexo I-F'!J306+'DCA-Anexo I-F'!J298+'DCA-Anexo I-F'!J303+'DCA-Anexo I-F'!J336+'DCA-Anexo I-F'!J301+'DCA-Anexo I-F'!J313+'DCA-Anexo I-F'!J316+'DCA-Anexo I-F'!J335+'DCA-Anexo I-F'!J317+'DCA-Anexo I-F'!J294+'DCA-Anexo I-F'!J310+'DCA-Anexo I-F'!J307+'DCA-Anexo I-F'!J337+'DCA-Anexo I-F'!J308+'DCA-Anexo I-F'!J297+'DCA-Anexo I-F'!J309+'DCA-Anexo I-F'!J295+'DCA-Anexo I-F'!J299+'DCA-Anexo I-F'!J300+'DCA-Anexo I-F'!J302+'DCA-Anexo I-F'!J304+'DCA-Anexo I-F'!J305+'DCA-Anexo I-F'!J314+'DCA-Anexo I-F'!J315+'DCA-Anexo I-F'!J331+'DCA-Anexo I-F'!J333+'DCA-Anexo I-F'!J334+'DCA-Anexo I-F'!J332</f>
        <v>0</v>
      </c>
    </row>
    <row r="294" spans="1:10" ht="12.75" customHeight="1">
      <c r="A294" s="4" t="s">
        <v>2440</v>
      </c>
      <c r="B294" s="12"/>
      <c r="C294" s="12"/>
      <c r="D294" s="12"/>
      <c r="E294" s="12"/>
      <c r="F294" s="12"/>
      <c r="G294" s="12"/>
      <c r="H294" s="12"/>
      <c r="I294" s="12"/>
      <c r="J294" s="12"/>
    </row>
    <row r="295" spans="1:10" ht="12.75" customHeight="1">
      <c r="A295" s="3" t="s">
        <v>2441</v>
      </c>
      <c r="B295" s="11"/>
      <c r="C295" s="11"/>
      <c r="D295" s="11"/>
      <c r="E295" s="11"/>
      <c r="F295" s="11"/>
      <c r="G295" s="11"/>
      <c r="H295" s="11"/>
      <c r="I295" s="11"/>
      <c r="J295" s="11"/>
    </row>
    <row r="296" spans="1:10" ht="12.75" customHeight="1">
      <c r="A296" s="4" t="s">
        <v>2442</v>
      </c>
      <c r="B296" s="12"/>
      <c r="C296" s="12"/>
      <c r="D296" s="12"/>
      <c r="E296" s="12"/>
      <c r="F296" s="12"/>
      <c r="G296" s="12"/>
      <c r="H296" s="12"/>
      <c r="I296" s="12"/>
      <c r="J296" s="12"/>
    </row>
    <row r="297" spans="1:10" ht="12.75" customHeight="1">
      <c r="A297" s="3" t="s">
        <v>2443</v>
      </c>
      <c r="B297" s="11"/>
      <c r="C297" s="11"/>
      <c r="D297" s="11"/>
      <c r="E297" s="11"/>
      <c r="F297" s="11"/>
      <c r="G297" s="11"/>
      <c r="H297" s="11"/>
      <c r="I297" s="11"/>
      <c r="J297" s="11"/>
    </row>
    <row r="298" spans="1:10" ht="25.5" customHeight="1">
      <c r="A298" s="4" t="s">
        <v>2444</v>
      </c>
      <c r="B298" s="12"/>
      <c r="C298" s="12"/>
      <c r="D298" s="12"/>
      <c r="E298" s="12"/>
      <c r="F298" s="12"/>
      <c r="G298" s="12"/>
      <c r="H298" s="12"/>
      <c r="I298" s="12"/>
      <c r="J298" s="12"/>
    </row>
    <row r="299" spans="1:10" ht="38.25" customHeight="1">
      <c r="A299" s="3" t="s">
        <v>2445</v>
      </c>
      <c r="B299" s="11"/>
      <c r="C299" s="11"/>
      <c r="D299" s="11"/>
      <c r="E299" s="11"/>
      <c r="F299" s="11"/>
      <c r="G299" s="11"/>
      <c r="H299" s="11"/>
      <c r="I299" s="11"/>
      <c r="J299" s="11"/>
    </row>
    <row r="300" spans="1:10" ht="51" customHeight="1">
      <c r="A300" s="4" t="s">
        <v>2446</v>
      </c>
      <c r="B300" s="12"/>
      <c r="C300" s="12"/>
      <c r="D300" s="12"/>
      <c r="E300" s="12"/>
      <c r="F300" s="12"/>
      <c r="G300" s="12"/>
      <c r="H300" s="12"/>
      <c r="I300" s="12"/>
      <c r="J300" s="12"/>
    </row>
    <row r="301" spans="1:10" ht="12.75" customHeight="1">
      <c r="A301" s="3" t="s">
        <v>2447</v>
      </c>
      <c r="B301" s="11"/>
      <c r="C301" s="11"/>
      <c r="D301" s="11"/>
      <c r="E301" s="11"/>
      <c r="F301" s="11"/>
      <c r="G301" s="11"/>
      <c r="H301" s="11"/>
      <c r="I301" s="11"/>
      <c r="J301" s="11"/>
    </row>
    <row r="302" spans="1:10" ht="12.75" customHeight="1">
      <c r="A302" s="4" t="s">
        <v>2448</v>
      </c>
      <c r="B302" s="12"/>
      <c r="C302" s="12"/>
      <c r="D302" s="12"/>
      <c r="E302" s="12"/>
      <c r="F302" s="12"/>
      <c r="G302" s="12"/>
      <c r="H302" s="12"/>
      <c r="I302" s="12"/>
      <c r="J302" s="12"/>
    </row>
    <row r="303" spans="1:10" ht="12.75" customHeight="1">
      <c r="A303" s="3" t="s">
        <v>2449</v>
      </c>
      <c r="B303" s="11"/>
      <c r="C303" s="11"/>
      <c r="D303" s="11"/>
      <c r="E303" s="11"/>
      <c r="F303" s="11"/>
      <c r="G303" s="11"/>
      <c r="H303" s="11"/>
      <c r="I303" s="11"/>
      <c r="J303" s="11"/>
    </row>
    <row r="304" spans="1:10" ht="38.25" customHeight="1">
      <c r="A304" s="4" t="s">
        <v>2450</v>
      </c>
      <c r="B304" s="12"/>
      <c r="C304" s="12"/>
      <c r="D304" s="12"/>
      <c r="E304" s="12"/>
      <c r="F304" s="12"/>
      <c r="G304" s="12"/>
      <c r="H304" s="12"/>
      <c r="I304" s="12"/>
      <c r="J304" s="12"/>
    </row>
    <row r="305" spans="1:10" ht="38.25" customHeight="1">
      <c r="A305" s="3" t="s">
        <v>2451</v>
      </c>
      <c r="B305" s="11"/>
      <c r="C305" s="11"/>
      <c r="D305" s="11"/>
      <c r="E305" s="11"/>
      <c r="F305" s="11"/>
      <c r="G305" s="11"/>
      <c r="H305" s="11"/>
      <c r="I305" s="11"/>
      <c r="J305" s="11"/>
    </row>
    <row r="306" spans="1:10" ht="25.5" customHeight="1">
      <c r="A306" s="4" t="s">
        <v>2452</v>
      </c>
      <c r="B306" s="12"/>
      <c r="C306" s="12"/>
      <c r="D306" s="12"/>
      <c r="E306" s="12"/>
      <c r="F306" s="12"/>
      <c r="G306" s="12"/>
      <c r="H306" s="12"/>
      <c r="I306" s="12"/>
      <c r="J306" s="12"/>
    </row>
    <row r="307" spans="1:10" ht="25.5" customHeight="1">
      <c r="A307" s="3" t="s">
        <v>2453</v>
      </c>
      <c r="B307" s="11"/>
      <c r="C307" s="11"/>
      <c r="D307" s="11"/>
      <c r="E307" s="11"/>
      <c r="F307" s="11"/>
      <c r="G307" s="11"/>
      <c r="H307" s="11"/>
      <c r="I307" s="11"/>
      <c r="J307" s="11"/>
    </row>
    <row r="308" spans="1:10" ht="12.75" customHeight="1">
      <c r="A308" s="4" t="s">
        <v>2454</v>
      </c>
      <c r="B308" s="12"/>
      <c r="C308" s="12"/>
      <c r="D308" s="12"/>
      <c r="E308" s="12"/>
      <c r="F308" s="12"/>
      <c r="G308" s="12"/>
      <c r="H308" s="12"/>
      <c r="I308" s="12"/>
      <c r="J308" s="12"/>
    </row>
    <row r="309" spans="1:10" ht="12.75" customHeight="1">
      <c r="A309" s="3" t="s">
        <v>2455</v>
      </c>
      <c r="B309" s="11"/>
      <c r="C309" s="11"/>
      <c r="D309" s="11"/>
      <c r="E309" s="11"/>
      <c r="F309" s="11"/>
      <c r="G309" s="11"/>
      <c r="H309" s="11"/>
      <c r="I309" s="11"/>
      <c r="J309" s="11"/>
    </row>
    <row r="310" spans="1:10" ht="25.5" customHeight="1">
      <c r="A310" s="4" t="s">
        <v>2456</v>
      </c>
      <c r="B310" s="12"/>
      <c r="C310" s="12"/>
      <c r="D310" s="12"/>
      <c r="E310" s="12"/>
      <c r="F310" s="12"/>
      <c r="G310" s="12"/>
      <c r="H310" s="12"/>
      <c r="I310" s="12"/>
      <c r="J310" s="12"/>
    </row>
    <row r="311" spans="1:10" ht="12.75" customHeight="1">
      <c r="A311" s="3" t="s">
        <v>2457</v>
      </c>
      <c r="B311" s="11"/>
      <c r="C311" s="11"/>
      <c r="D311" s="11"/>
      <c r="E311" s="11"/>
      <c r="F311" s="11"/>
      <c r="G311" s="11"/>
      <c r="H311" s="11"/>
      <c r="I311" s="11"/>
      <c r="J311" s="11"/>
    </row>
    <row r="312" spans="1:10" ht="38.25" customHeight="1">
      <c r="A312" s="4" t="s">
        <v>2458</v>
      </c>
      <c r="B312" s="12"/>
      <c r="C312" s="12"/>
      <c r="D312" s="12"/>
      <c r="E312" s="12"/>
      <c r="F312" s="12"/>
      <c r="G312" s="12"/>
      <c r="H312" s="12"/>
      <c r="I312" s="12"/>
      <c r="J312" s="12"/>
    </row>
    <row r="313" spans="1:10" ht="38.25" customHeight="1">
      <c r="A313" s="3" t="s">
        <v>2459</v>
      </c>
      <c r="B313" s="11"/>
      <c r="C313" s="11"/>
      <c r="D313" s="11"/>
      <c r="E313" s="11"/>
      <c r="F313" s="11"/>
      <c r="G313" s="11"/>
      <c r="H313" s="11"/>
      <c r="I313" s="11"/>
      <c r="J313" s="11"/>
    </row>
    <row r="314" spans="1:10" ht="38.25" customHeight="1">
      <c r="A314" s="4" t="s">
        <v>2460</v>
      </c>
      <c r="B314" s="12"/>
      <c r="C314" s="12"/>
      <c r="D314" s="12"/>
      <c r="E314" s="12"/>
      <c r="F314" s="12"/>
      <c r="G314" s="12"/>
      <c r="H314" s="12"/>
      <c r="I314" s="12"/>
      <c r="J314" s="12"/>
    </row>
    <row r="315" spans="1:10" ht="25.5" customHeight="1">
      <c r="A315" s="3" t="s">
        <v>2461</v>
      </c>
      <c r="B315" s="11"/>
      <c r="C315" s="11"/>
      <c r="D315" s="11"/>
      <c r="E315" s="11"/>
      <c r="F315" s="11"/>
      <c r="G315" s="11"/>
      <c r="H315" s="11"/>
      <c r="I315" s="11"/>
      <c r="J315" s="11"/>
    </row>
    <row r="316" spans="1:10" ht="12.75" customHeight="1">
      <c r="A316" s="4" t="s">
        <v>2462</v>
      </c>
      <c r="B316" s="12"/>
      <c r="C316" s="12"/>
      <c r="D316" s="12"/>
      <c r="E316" s="12"/>
      <c r="F316" s="12"/>
      <c r="G316" s="12"/>
      <c r="H316" s="12"/>
      <c r="I316" s="12"/>
      <c r="J316" s="12"/>
    </row>
    <row r="317" spans="1:10" ht="12.75" customHeight="1">
      <c r="A317" s="3" t="s">
        <v>2463</v>
      </c>
      <c r="B317" s="11">
        <f>+'DCA-Anexo I-F'!B322+'DCA-Anexo I-F'!B328+'DCA-Anexo I-F'!B318+'DCA-Anexo I-F'!B323+'DCA-Anexo I-F'!B321+'DCA-Anexo I-F'!B329+'DCA-Anexo I-F'!B320+'DCA-Anexo I-F'!B330+'DCA-Anexo I-F'!B327+'DCA-Anexo I-F'!B325+'DCA-Anexo I-F'!B319+'DCA-Anexo I-F'!B324+'DCA-Anexo I-F'!B326</f>
        <v>0</v>
      </c>
      <c r="C317" s="11">
        <f>+'DCA-Anexo I-F'!C322+'DCA-Anexo I-F'!C328+'DCA-Anexo I-F'!C318+'DCA-Anexo I-F'!C323+'DCA-Anexo I-F'!C321+'DCA-Anexo I-F'!C329+'DCA-Anexo I-F'!C320+'DCA-Anexo I-F'!C330+'DCA-Anexo I-F'!C327+'DCA-Anexo I-F'!C325+'DCA-Anexo I-F'!C319+'DCA-Anexo I-F'!C324+'DCA-Anexo I-F'!C326</f>
        <v>0</v>
      </c>
      <c r="D317" s="11">
        <f>+'DCA-Anexo I-F'!D322+'DCA-Anexo I-F'!D328+'DCA-Anexo I-F'!D318+'DCA-Anexo I-F'!D323+'DCA-Anexo I-F'!D321+'DCA-Anexo I-F'!D329+'DCA-Anexo I-F'!D320+'DCA-Anexo I-F'!D330+'DCA-Anexo I-F'!D327+'DCA-Anexo I-F'!D325+'DCA-Anexo I-F'!D319+'DCA-Anexo I-F'!D324+'DCA-Anexo I-F'!D326</f>
        <v>0</v>
      </c>
      <c r="E317" s="11">
        <f>+'DCA-Anexo I-F'!E322+'DCA-Anexo I-F'!E328+'DCA-Anexo I-F'!E318+'DCA-Anexo I-F'!E323+'DCA-Anexo I-F'!E321+'DCA-Anexo I-F'!E329+'DCA-Anexo I-F'!E320+'DCA-Anexo I-F'!E330+'DCA-Anexo I-F'!E327+'DCA-Anexo I-F'!E325+'DCA-Anexo I-F'!E319+'DCA-Anexo I-F'!E324+'DCA-Anexo I-F'!E326</f>
        <v>0</v>
      </c>
      <c r="F317" s="11">
        <f>+'DCA-Anexo I-F'!F322+'DCA-Anexo I-F'!F328+'DCA-Anexo I-F'!F318+'DCA-Anexo I-F'!F323+'DCA-Anexo I-F'!F321+'DCA-Anexo I-F'!F329+'DCA-Anexo I-F'!F320+'DCA-Anexo I-F'!F330+'DCA-Anexo I-F'!F327+'DCA-Anexo I-F'!F325+'DCA-Anexo I-F'!F319+'DCA-Anexo I-F'!F324+'DCA-Anexo I-F'!F326</f>
        <v>0</v>
      </c>
      <c r="G317" s="11">
        <f>+'DCA-Anexo I-F'!G322+'DCA-Anexo I-F'!G328+'DCA-Anexo I-F'!G318+'DCA-Anexo I-F'!G323+'DCA-Anexo I-F'!G321+'DCA-Anexo I-F'!G329+'DCA-Anexo I-F'!G320+'DCA-Anexo I-F'!G330+'DCA-Anexo I-F'!G327+'DCA-Anexo I-F'!G325+'DCA-Anexo I-F'!G319+'DCA-Anexo I-F'!G324+'DCA-Anexo I-F'!G326</f>
        <v>0</v>
      </c>
      <c r="H317" s="11">
        <f>+'DCA-Anexo I-F'!H322+'DCA-Anexo I-F'!H328+'DCA-Anexo I-F'!H318+'DCA-Anexo I-F'!H323+'DCA-Anexo I-F'!H321+'DCA-Anexo I-F'!H329+'DCA-Anexo I-F'!H320+'DCA-Anexo I-F'!H330+'DCA-Anexo I-F'!H327+'DCA-Anexo I-F'!H325+'DCA-Anexo I-F'!H319+'DCA-Anexo I-F'!H324+'DCA-Anexo I-F'!H326</f>
        <v>0</v>
      </c>
      <c r="I317" s="11">
        <f>+'DCA-Anexo I-F'!I322+'DCA-Anexo I-F'!I328+'DCA-Anexo I-F'!I318+'DCA-Anexo I-F'!I323+'DCA-Anexo I-F'!I321+'DCA-Anexo I-F'!I329+'DCA-Anexo I-F'!I320+'DCA-Anexo I-F'!I330+'DCA-Anexo I-F'!I327+'DCA-Anexo I-F'!I325+'DCA-Anexo I-F'!I319+'DCA-Anexo I-F'!I324+'DCA-Anexo I-F'!I326</f>
        <v>0</v>
      </c>
      <c r="J317" s="11">
        <f>+'DCA-Anexo I-F'!J322+'DCA-Anexo I-F'!J328+'DCA-Anexo I-F'!J318+'DCA-Anexo I-F'!J323+'DCA-Anexo I-F'!J321+'DCA-Anexo I-F'!J329+'DCA-Anexo I-F'!J320+'DCA-Anexo I-F'!J330+'DCA-Anexo I-F'!J327+'DCA-Anexo I-F'!J325+'DCA-Anexo I-F'!J319+'DCA-Anexo I-F'!J324+'DCA-Anexo I-F'!J326</f>
        <v>0</v>
      </c>
    </row>
    <row r="318" spans="1:10" ht="25.5" customHeight="1">
      <c r="A318" s="4" t="s">
        <v>2464</v>
      </c>
      <c r="B318" s="12"/>
      <c r="C318" s="12"/>
      <c r="D318" s="12"/>
      <c r="E318" s="12"/>
      <c r="F318" s="12"/>
      <c r="G318" s="12"/>
      <c r="H318" s="12"/>
      <c r="I318" s="12"/>
      <c r="J318" s="12"/>
    </row>
    <row r="319" spans="1:10" ht="12.75" customHeight="1">
      <c r="A319" s="3" t="s">
        <v>2465</v>
      </c>
      <c r="B319" s="11"/>
      <c r="C319" s="11"/>
      <c r="D319" s="11"/>
      <c r="E319" s="11"/>
      <c r="F319" s="11"/>
      <c r="G319" s="11"/>
      <c r="H319" s="11"/>
      <c r="I319" s="11"/>
      <c r="J319" s="11"/>
    </row>
    <row r="320" spans="1:10" ht="12.75" customHeight="1">
      <c r="A320" s="4" t="s">
        <v>2466</v>
      </c>
      <c r="B320" s="12"/>
      <c r="C320" s="12"/>
      <c r="D320" s="12"/>
      <c r="E320" s="12"/>
      <c r="F320" s="12"/>
      <c r="G320" s="12"/>
      <c r="H320" s="12"/>
      <c r="I320" s="12"/>
      <c r="J320" s="12"/>
    </row>
    <row r="321" spans="1:10" ht="12.75" customHeight="1">
      <c r="A321" s="3" t="s">
        <v>2467</v>
      </c>
      <c r="B321" s="11"/>
      <c r="C321" s="11"/>
      <c r="D321" s="11"/>
      <c r="E321" s="11"/>
      <c r="F321" s="11"/>
      <c r="G321" s="11"/>
      <c r="H321" s="11"/>
      <c r="I321" s="11"/>
      <c r="J321" s="11"/>
    </row>
    <row r="322" spans="1:10" ht="25.5" customHeight="1">
      <c r="A322" s="4" t="s">
        <v>2468</v>
      </c>
      <c r="B322" s="12"/>
      <c r="C322" s="12"/>
      <c r="D322" s="12"/>
      <c r="E322" s="12"/>
      <c r="F322" s="12"/>
      <c r="G322" s="12"/>
      <c r="H322" s="12"/>
      <c r="I322" s="12"/>
      <c r="J322" s="12"/>
    </row>
    <row r="323" spans="1:10" ht="12.75" customHeight="1">
      <c r="A323" s="3" t="s">
        <v>2469</v>
      </c>
      <c r="B323" s="11"/>
      <c r="C323" s="11"/>
      <c r="D323" s="11"/>
      <c r="E323" s="11"/>
      <c r="F323" s="11"/>
      <c r="G323" s="11"/>
      <c r="H323" s="11"/>
      <c r="I323" s="11"/>
      <c r="J323" s="11"/>
    </row>
    <row r="324" spans="1:10" ht="12.75" customHeight="1">
      <c r="A324" s="4" t="s">
        <v>2470</v>
      </c>
      <c r="B324" s="12"/>
      <c r="C324" s="12"/>
      <c r="D324" s="12"/>
      <c r="E324" s="12"/>
      <c r="F324" s="12"/>
      <c r="G324" s="12"/>
      <c r="H324" s="12"/>
      <c r="I324" s="12"/>
      <c r="J324" s="12"/>
    </row>
    <row r="325" spans="1:10" ht="12.75" customHeight="1">
      <c r="A325" s="3" t="s">
        <v>2471</v>
      </c>
      <c r="B325" s="11"/>
      <c r="C325" s="11"/>
      <c r="D325" s="11"/>
      <c r="E325" s="11"/>
      <c r="F325" s="11"/>
      <c r="G325" s="11"/>
      <c r="H325" s="11"/>
      <c r="I325" s="11"/>
      <c r="J325" s="11"/>
    </row>
    <row r="326" spans="1:10" ht="25.5" customHeight="1">
      <c r="A326" s="4" t="s">
        <v>2472</v>
      </c>
      <c r="B326" s="12"/>
      <c r="C326" s="12"/>
      <c r="D326" s="12"/>
      <c r="E326" s="12"/>
      <c r="F326" s="12"/>
      <c r="G326" s="12"/>
      <c r="H326" s="12"/>
      <c r="I326" s="12"/>
      <c r="J326" s="12"/>
    </row>
    <row r="327" spans="1:10" ht="12.75" customHeight="1">
      <c r="A327" s="3" t="s">
        <v>2473</v>
      </c>
      <c r="B327" s="11"/>
      <c r="C327" s="11"/>
      <c r="D327" s="11"/>
      <c r="E327" s="11"/>
      <c r="F327" s="11"/>
      <c r="G327" s="11"/>
      <c r="H327" s="11"/>
      <c r="I327" s="11"/>
      <c r="J327" s="11"/>
    </row>
    <row r="328" spans="1:10" ht="12.75" customHeight="1">
      <c r="A328" s="4" t="s">
        <v>2474</v>
      </c>
      <c r="B328" s="12"/>
      <c r="C328" s="12"/>
      <c r="D328" s="12"/>
      <c r="E328" s="12"/>
      <c r="F328" s="12"/>
      <c r="G328" s="12"/>
      <c r="H328" s="12"/>
      <c r="I328" s="12"/>
      <c r="J328" s="12"/>
    </row>
    <row r="329" spans="1:10" ht="12.75" customHeight="1">
      <c r="A329" s="3" t="s">
        <v>2475</v>
      </c>
      <c r="B329" s="11"/>
      <c r="C329" s="11"/>
      <c r="D329" s="11"/>
      <c r="E329" s="11"/>
      <c r="F329" s="11"/>
      <c r="G329" s="11"/>
      <c r="H329" s="11"/>
      <c r="I329" s="11"/>
      <c r="J329" s="11"/>
    </row>
    <row r="330" spans="1:10" ht="12.75" customHeight="1">
      <c r="A330" s="4" t="s">
        <v>2476</v>
      </c>
      <c r="B330" s="12"/>
      <c r="C330" s="12"/>
      <c r="D330" s="12"/>
      <c r="E330" s="12"/>
      <c r="F330" s="12"/>
      <c r="G330" s="12"/>
      <c r="H330" s="12"/>
      <c r="I330" s="12"/>
      <c r="J330" s="12"/>
    </row>
    <row r="331" spans="1:10" ht="38.25" customHeight="1">
      <c r="A331" s="3" t="s">
        <v>2477</v>
      </c>
      <c r="B331" s="11"/>
      <c r="C331" s="11"/>
      <c r="D331" s="11"/>
      <c r="E331" s="11"/>
      <c r="F331" s="11"/>
      <c r="G331" s="11"/>
      <c r="H331" s="11"/>
      <c r="I331" s="11"/>
      <c r="J331" s="11"/>
    </row>
    <row r="332" spans="1:10" ht="25.5" customHeight="1">
      <c r="A332" s="4" t="s">
        <v>2478</v>
      </c>
      <c r="B332" s="12"/>
      <c r="C332" s="12"/>
      <c r="D332" s="12"/>
      <c r="E332" s="12"/>
      <c r="F332" s="12"/>
      <c r="G332" s="12"/>
      <c r="H332" s="12"/>
      <c r="I332" s="12"/>
      <c r="J332" s="12"/>
    </row>
    <row r="333" spans="1:10" ht="38.25" customHeight="1">
      <c r="A333" s="3" t="s">
        <v>2479</v>
      </c>
      <c r="B333" s="11"/>
      <c r="C333" s="11"/>
      <c r="D333" s="11"/>
      <c r="E333" s="11"/>
      <c r="F333" s="11"/>
      <c r="G333" s="11"/>
      <c r="H333" s="11"/>
      <c r="I333" s="11"/>
      <c r="J333" s="11"/>
    </row>
    <row r="334" spans="1:10" ht="38.25" customHeight="1">
      <c r="A334" s="4" t="s">
        <v>2480</v>
      </c>
      <c r="B334" s="12"/>
      <c r="C334" s="12"/>
      <c r="D334" s="12"/>
      <c r="E334" s="12"/>
      <c r="F334" s="12"/>
      <c r="G334" s="12"/>
      <c r="H334" s="12"/>
      <c r="I334" s="12"/>
      <c r="J334" s="12"/>
    </row>
    <row r="335" spans="1:10" ht="25.5" customHeight="1">
      <c r="A335" s="3" t="s">
        <v>2481</v>
      </c>
      <c r="B335" s="11"/>
      <c r="C335" s="11"/>
      <c r="D335" s="11"/>
      <c r="E335" s="11"/>
      <c r="F335" s="11"/>
      <c r="G335" s="11"/>
      <c r="H335" s="11"/>
      <c r="I335" s="11"/>
      <c r="J335" s="11"/>
    </row>
    <row r="336" spans="1:10" ht="25.5" customHeight="1">
      <c r="A336" s="4" t="s">
        <v>2482</v>
      </c>
      <c r="B336" s="12"/>
      <c r="C336" s="12"/>
      <c r="D336" s="12"/>
      <c r="E336" s="12"/>
      <c r="F336" s="12"/>
      <c r="G336" s="12"/>
      <c r="H336" s="12"/>
      <c r="I336" s="12"/>
      <c r="J336" s="12"/>
    </row>
    <row r="337" spans="1:10" ht="12.75" customHeight="1">
      <c r="A337" s="3" t="s">
        <v>2483</v>
      </c>
      <c r="B337" s="11"/>
      <c r="C337" s="11"/>
      <c r="D337" s="11"/>
      <c r="E337" s="11"/>
      <c r="F337" s="11"/>
      <c r="G337" s="11"/>
      <c r="H337" s="11"/>
      <c r="I337" s="11"/>
      <c r="J337" s="11"/>
    </row>
    <row r="338" spans="1:10" ht="12.75" customHeight="1">
      <c r="A338" s="4" t="s">
        <v>2484</v>
      </c>
      <c r="B338" s="12">
        <f>+'DCA-Anexo I-F'!B362+'DCA-Anexo I-F'!B378+'DCA-Anexo I-F'!B379+'DCA-Anexo I-F'!B380+'DCA-Anexo I-F'!B355+'DCA-Anexo I-F'!B357+'DCA-Anexo I-F'!B358+'DCA-Anexo I-F'!B339+'DCA-Anexo I-F'!B340+'DCA-Anexo I-F'!B341+'DCA-Anexo I-F'!B342+'DCA-Anexo I-F'!B343+'DCA-Anexo I-F'!B344+'DCA-Anexo I-F'!B345+'DCA-Anexo I-F'!B346+'DCA-Anexo I-F'!B347+'DCA-Anexo I-F'!B348+'DCA-Anexo I-F'!B349+'DCA-Anexo I-F'!B350+'DCA-Anexo I-F'!B351+'DCA-Anexo I-F'!B352+'DCA-Anexo I-F'!B353+'DCA-Anexo I-F'!B354+'DCA-Anexo I-F'!B356+'DCA-Anexo I-F'!B359+'DCA-Anexo I-F'!B360+'DCA-Anexo I-F'!B361+'DCA-Anexo I-F'!B375+'DCA-Anexo I-F'!B376+'DCA-Anexo I-F'!B377</f>
        <v>0</v>
      </c>
      <c r="C338" s="12">
        <f>+'DCA-Anexo I-F'!C362+'DCA-Anexo I-F'!C378+'DCA-Anexo I-F'!C379+'DCA-Anexo I-F'!C380+'DCA-Anexo I-F'!C355+'DCA-Anexo I-F'!C357+'DCA-Anexo I-F'!C358+'DCA-Anexo I-F'!C339+'DCA-Anexo I-F'!C340+'DCA-Anexo I-F'!C341+'DCA-Anexo I-F'!C342+'DCA-Anexo I-F'!C343+'DCA-Anexo I-F'!C344+'DCA-Anexo I-F'!C345+'DCA-Anexo I-F'!C346+'DCA-Anexo I-F'!C347+'DCA-Anexo I-F'!C348+'DCA-Anexo I-F'!C349+'DCA-Anexo I-F'!C350+'DCA-Anexo I-F'!C351+'DCA-Anexo I-F'!C352+'DCA-Anexo I-F'!C353+'DCA-Anexo I-F'!C354+'DCA-Anexo I-F'!C356+'DCA-Anexo I-F'!C359+'DCA-Anexo I-F'!C360+'DCA-Anexo I-F'!C361+'DCA-Anexo I-F'!C375+'DCA-Anexo I-F'!C376+'DCA-Anexo I-F'!C377</f>
        <v>0</v>
      </c>
      <c r="D338" s="12">
        <f>+'DCA-Anexo I-F'!D362+'DCA-Anexo I-F'!D378+'DCA-Anexo I-F'!D379+'DCA-Anexo I-F'!D380+'DCA-Anexo I-F'!D355+'DCA-Anexo I-F'!D357+'DCA-Anexo I-F'!D358+'DCA-Anexo I-F'!D339+'DCA-Anexo I-F'!D340+'DCA-Anexo I-F'!D341+'DCA-Anexo I-F'!D342+'DCA-Anexo I-F'!D343+'DCA-Anexo I-F'!D344+'DCA-Anexo I-F'!D345+'DCA-Anexo I-F'!D346+'DCA-Anexo I-F'!D347+'DCA-Anexo I-F'!D348+'DCA-Anexo I-F'!D349+'DCA-Anexo I-F'!D350+'DCA-Anexo I-F'!D351+'DCA-Anexo I-F'!D352+'DCA-Anexo I-F'!D353+'DCA-Anexo I-F'!D354+'DCA-Anexo I-F'!D356+'DCA-Anexo I-F'!D359+'DCA-Anexo I-F'!D360+'DCA-Anexo I-F'!D361+'DCA-Anexo I-F'!D375+'DCA-Anexo I-F'!D376+'DCA-Anexo I-F'!D377</f>
        <v>0</v>
      </c>
      <c r="E338" s="12">
        <f>+'DCA-Anexo I-F'!E362+'DCA-Anexo I-F'!E378+'DCA-Anexo I-F'!E379+'DCA-Anexo I-F'!E380+'DCA-Anexo I-F'!E355+'DCA-Anexo I-F'!E357+'DCA-Anexo I-F'!E358+'DCA-Anexo I-F'!E339+'DCA-Anexo I-F'!E340+'DCA-Anexo I-F'!E341+'DCA-Anexo I-F'!E342+'DCA-Anexo I-F'!E343+'DCA-Anexo I-F'!E344+'DCA-Anexo I-F'!E345+'DCA-Anexo I-F'!E346+'DCA-Anexo I-F'!E347+'DCA-Anexo I-F'!E348+'DCA-Anexo I-F'!E349+'DCA-Anexo I-F'!E350+'DCA-Anexo I-F'!E351+'DCA-Anexo I-F'!E352+'DCA-Anexo I-F'!E353+'DCA-Anexo I-F'!E354+'DCA-Anexo I-F'!E356+'DCA-Anexo I-F'!E359+'DCA-Anexo I-F'!E360+'DCA-Anexo I-F'!E361+'DCA-Anexo I-F'!E375+'DCA-Anexo I-F'!E376+'DCA-Anexo I-F'!E377</f>
        <v>0</v>
      </c>
      <c r="F338" s="12">
        <f>+'DCA-Anexo I-F'!F362+'DCA-Anexo I-F'!F378+'DCA-Anexo I-F'!F379+'DCA-Anexo I-F'!F380+'DCA-Anexo I-F'!F355+'DCA-Anexo I-F'!F357+'DCA-Anexo I-F'!F358+'DCA-Anexo I-F'!F339+'DCA-Anexo I-F'!F340+'DCA-Anexo I-F'!F341+'DCA-Anexo I-F'!F342+'DCA-Anexo I-F'!F343+'DCA-Anexo I-F'!F344+'DCA-Anexo I-F'!F345+'DCA-Anexo I-F'!F346+'DCA-Anexo I-F'!F347+'DCA-Anexo I-F'!F348+'DCA-Anexo I-F'!F349+'DCA-Anexo I-F'!F350+'DCA-Anexo I-F'!F351+'DCA-Anexo I-F'!F352+'DCA-Anexo I-F'!F353+'DCA-Anexo I-F'!F354+'DCA-Anexo I-F'!F356+'DCA-Anexo I-F'!F359+'DCA-Anexo I-F'!F360+'DCA-Anexo I-F'!F361+'DCA-Anexo I-F'!F375+'DCA-Anexo I-F'!F376+'DCA-Anexo I-F'!F377</f>
        <v>0</v>
      </c>
      <c r="G338" s="12">
        <f>+'DCA-Anexo I-F'!G362+'DCA-Anexo I-F'!G378+'DCA-Anexo I-F'!G379+'DCA-Anexo I-F'!G380+'DCA-Anexo I-F'!G355+'DCA-Anexo I-F'!G357+'DCA-Anexo I-F'!G358+'DCA-Anexo I-F'!G339+'DCA-Anexo I-F'!G340+'DCA-Anexo I-F'!G341+'DCA-Anexo I-F'!G342+'DCA-Anexo I-F'!G343+'DCA-Anexo I-F'!G344+'DCA-Anexo I-F'!G345+'DCA-Anexo I-F'!G346+'DCA-Anexo I-F'!G347+'DCA-Anexo I-F'!G348+'DCA-Anexo I-F'!G349+'DCA-Anexo I-F'!G350+'DCA-Anexo I-F'!G351+'DCA-Anexo I-F'!G352+'DCA-Anexo I-F'!G353+'DCA-Anexo I-F'!G354+'DCA-Anexo I-F'!G356+'DCA-Anexo I-F'!G359+'DCA-Anexo I-F'!G360+'DCA-Anexo I-F'!G361+'DCA-Anexo I-F'!G375+'DCA-Anexo I-F'!G376+'DCA-Anexo I-F'!G377</f>
        <v>0</v>
      </c>
      <c r="H338" s="12">
        <f>+'DCA-Anexo I-F'!H362+'DCA-Anexo I-F'!H378+'DCA-Anexo I-F'!H379+'DCA-Anexo I-F'!H380+'DCA-Anexo I-F'!H355+'DCA-Anexo I-F'!H357+'DCA-Anexo I-F'!H358+'DCA-Anexo I-F'!H339+'DCA-Anexo I-F'!H340+'DCA-Anexo I-F'!H341+'DCA-Anexo I-F'!H342+'DCA-Anexo I-F'!H343+'DCA-Anexo I-F'!H344+'DCA-Anexo I-F'!H345+'DCA-Anexo I-F'!H346+'DCA-Anexo I-F'!H347+'DCA-Anexo I-F'!H348+'DCA-Anexo I-F'!H349+'DCA-Anexo I-F'!H350+'DCA-Anexo I-F'!H351+'DCA-Anexo I-F'!H352+'DCA-Anexo I-F'!H353+'DCA-Anexo I-F'!H354+'DCA-Anexo I-F'!H356+'DCA-Anexo I-F'!H359+'DCA-Anexo I-F'!H360+'DCA-Anexo I-F'!H361+'DCA-Anexo I-F'!H375+'DCA-Anexo I-F'!H376+'DCA-Anexo I-F'!H377</f>
        <v>0</v>
      </c>
      <c r="I338" s="12">
        <f>+'DCA-Anexo I-F'!I362+'DCA-Anexo I-F'!I378+'DCA-Anexo I-F'!I379+'DCA-Anexo I-F'!I380+'DCA-Anexo I-F'!I355+'DCA-Anexo I-F'!I357+'DCA-Anexo I-F'!I358+'DCA-Anexo I-F'!I339+'DCA-Anexo I-F'!I340+'DCA-Anexo I-F'!I341+'DCA-Anexo I-F'!I342+'DCA-Anexo I-F'!I343+'DCA-Anexo I-F'!I344+'DCA-Anexo I-F'!I345+'DCA-Anexo I-F'!I346+'DCA-Anexo I-F'!I347+'DCA-Anexo I-F'!I348+'DCA-Anexo I-F'!I349+'DCA-Anexo I-F'!I350+'DCA-Anexo I-F'!I351+'DCA-Anexo I-F'!I352+'DCA-Anexo I-F'!I353+'DCA-Anexo I-F'!I354+'DCA-Anexo I-F'!I356+'DCA-Anexo I-F'!I359+'DCA-Anexo I-F'!I360+'DCA-Anexo I-F'!I361+'DCA-Anexo I-F'!I375+'DCA-Anexo I-F'!I376+'DCA-Anexo I-F'!I377</f>
        <v>0</v>
      </c>
      <c r="J338" s="12">
        <f>+'DCA-Anexo I-F'!J362+'DCA-Anexo I-F'!J378+'DCA-Anexo I-F'!J379+'DCA-Anexo I-F'!J380+'DCA-Anexo I-F'!J355+'DCA-Anexo I-F'!J357+'DCA-Anexo I-F'!J358+'DCA-Anexo I-F'!J339+'DCA-Anexo I-F'!J340+'DCA-Anexo I-F'!J341+'DCA-Anexo I-F'!J342+'DCA-Anexo I-F'!J343+'DCA-Anexo I-F'!J344+'DCA-Anexo I-F'!J345+'DCA-Anexo I-F'!J346+'DCA-Anexo I-F'!J347+'DCA-Anexo I-F'!J348+'DCA-Anexo I-F'!J349+'DCA-Anexo I-F'!J350+'DCA-Anexo I-F'!J351+'DCA-Anexo I-F'!J352+'DCA-Anexo I-F'!J353+'DCA-Anexo I-F'!J354+'DCA-Anexo I-F'!J356+'DCA-Anexo I-F'!J359+'DCA-Anexo I-F'!J360+'DCA-Anexo I-F'!J361+'DCA-Anexo I-F'!J375+'DCA-Anexo I-F'!J376+'DCA-Anexo I-F'!J377</f>
        <v>0</v>
      </c>
    </row>
    <row r="339" spans="1:10" ht="12.75" customHeight="1">
      <c r="A339" s="3" t="s">
        <v>2485</v>
      </c>
      <c r="B339" s="11"/>
      <c r="C339" s="11"/>
      <c r="D339" s="11"/>
      <c r="E339" s="11"/>
      <c r="F339" s="11"/>
      <c r="G339" s="11"/>
      <c r="H339" s="11"/>
      <c r="I339" s="11"/>
      <c r="J339" s="11"/>
    </row>
    <row r="340" spans="1:10" ht="12.75" customHeight="1">
      <c r="A340" s="4" t="s">
        <v>2486</v>
      </c>
      <c r="B340" s="12"/>
      <c r="C340" s="12"/>
      <c r="D340" s="12"/>
      <c r="E340" s="12"/>
      <c r="F340" s="12"/>
      <c r="G340" s="12"/>
      <c r="H340" s="12"/>
      <c r="I340" s="12"/>
      <c r="J340" s="12"/>
    </row>
    <row r="341" spans="1:10" ht="12.75" customHeight="1">
      <c r="A341" s="3" t="s">
        <v>2487</v>
      </c>
      <c r="B341" s="11"/>
      <c r="C341" s="11"/>
      <c r="D341" s="11"/>
      <c r="E341" s="11"/>
      <c r="F341" s="11"/>
      <c r="G341" s="11"/>
      <c r="H341" s="11"/>
      <c r="I341" s="11"/>
      <c r="J341" s="11"/>
    </row>
    <row r="342" spans="1:10" ht="25.5" customHeight="1">
      <c r="A342" s="4" t="s">
        <v>2488</v>
      </c>
      <c r="B342" s="12"/>
      <c r="C342" s="12"/>
      <c r="D342" s="12"/>
      <c r="E342" s="12"/>
      <c r="F342" s="12"/>
      <c r="G342" s="12"/>
      <c r="H342" s="12"/>
      <c r="I342" s="12"/>
      <c r="J342" s="12"/>
    </row>
    <row r="343" spans="1:10" ht="25.5" customHeight="1">
      <c r="A343" s="3" t="s">
        <v>2489</v>
      </c>
      <c r="B343" s="11"/>
      <c r="C343" s="11"/>
      <c r="D343" s="11"/>
      <c r="E343" s="11"/>
      <c r="F343" s="11"/>
      <c r="G343" s="11"/>
      <c r="H343" s="11"/>
      <c r="I343" s="11"/>
      <c r="J343" s="11"/>
    </row>
    <row r="344" spans="1:10" ht="38.25" customHeight="1">
      <c r="A344" s="4" t="s">
        <v>2490</v>
      </c>
      <c r="B344" s="12"/>
      <c r="C344" s="12"/>
      <c r="D344" s="12"/>
      <c r="E344" s="12"/>
      <c r="F344" s="12"/>
      <c r="G344" s="12"/>
      <c r="H344" s="12"/>
      <c r="I344" s="12"/>
      <c r="J344" s="12"/>
    </row>
    <row r="345" spans="1:10" ht="51" customHeight="1">
      <c r="A345" s="3" t="s">
        <v>2491</v>
      </c>
      <c r="B345" s="11"/>
      <c r="C345" s="11"/>
      <c r="D345" s="11"/>
      <c r="E345" s="11"/>
      <c r="F345" s="11"/>
      <c r="G345" s="11"/>
      <c r="H345" s="11"/>
      <c r="I345" s="11"/>
      <c r="J345" s="11"/>
    </row>
    <row r="346" spans="1:10" ht="12.75" customHeight="1">
      <c r="A346" s="4" t="s">
        <v>2492</v>
      </c>
      <c r="B346" s="12"/>
      <c r="C346" s="12"/>
      <c r="D346" s="12"/>
      <c r="E346" s="12"/>
      <c r="F346" s="12"/>
      <c r="G346" s="12"/>
      <c r="H346" s="12"/>
      <c r="I346" s="12"/>
      <c r="J346" s="12"/>
    </row>
    <row r="347" spans="1:10" ht="12.75" customHeight="1">
      <c r="A347" s="3" t="s">
        <v>2493</v>
      </c>
      <c r="B347" s="11"/>
      <c r="C347" s="11"/>
      <c r="D347" s="11"/>
      <c r="E347" s="11"/>
      <c r="F347" s="11"/>
      <c r="G347" s="11"/>
      <c r="H347" s="11"/>
      <c r="I347" s="11"/>
      <c r="J347" s="11"/>
    </row>
    <row r="348" spans="1:10" ht="12.75" customHeight="1">
      <c r="A348" s="4" t="s">
        <v>2494</v>
      </c>
      <c r="B348" s="12"/>
      <c r="C348" s="12"/>
      <c r="D348" s="12"/>
      <c r="E348" s="12"/>
      <c r="F348" s="12"/>
      <c r="G348" s="12"/>
      <c r="H348" s="12"/>
      <c r="I348" s="12"/>
      <c r="J348" s="12"/>
    </row>
    <row r="349" spans="1:10" ht="38.25" customHeight="1">
      <c r="A349" s="3" t="s">
        <v>2495</v>
      </c>
      <c r="B349" s="11"/>
      <c r="C349" s="11"/>
      <c r="D349" s="11"/>
      <c r="E349" s="11"/>
      <c r="F349" s="11"/>
      <c r="G349" s="11"/>
      <c r="H349" s="11"/>
      <c r="I349" s="11"/>
      <c r="J349" s="11"/>
    </row>
    <row r="350" spans="1:10" ht="38.25" customHeight="1">
      <c r="A350" s="4" t="s">
        <v>2496</v>
      </c>
      <c r="B350" s="12"/>
      <c r="C350" s="12"/>
      <c r="D350" s="12"/>
      <c r="E350" s="12"/>
      <c r="F350" s="12"/>
      <c r="G350" s="12"/>
      <c r="H350" s="12"/>
      <c r="I350" s="12"/>
      <c r="J350" s="12"/>
    </row>
    <row r="351" spans="1:10" ht="25.5" customHeight="1">
      <c r="A351" s="3" t="s">
        <v>2497</v>
      </c>
      <c r="B351" s="11"/>
      <c r="C351" s="11"/>
      <c r="D351" s="11"/>
      <c r="E351" s="11"/>
      <c r="F351" s="11"/>
      <c r="G351" s="11"/>
      <c r="H351" s="11"/>
      <c r="I351" s="11"/>
      <c r="J351" s="11"/>
    </row>
    <row r="352" spans="1:10" ht="25.5" customHeight="1">
      <c r="A352" s="4" t="s">
        <v>2498</v>
      </c>
      <c r="B352" s="12"/>
      <c r="C352" s="12"/>
      <c r="D352" s="12"/>
      <c r="E352" s="12"/>
      <c r="F352" s="12"/>
      <c r="G352" s="12"/>
      <c r="H352" s="12"/>
      <c r="I352" s="12"/>
      <c r="J352" s="12"/>
    </row>
    <row r="353" spans="1:10" ht="12.75" customHeight="1">
      <c r="A353" s="3" t="s">
        <v>2499</v>
      </c>
      <c r="B353" s="11"/>
      <c r="C353" s="11"/>
      <c r="D353" s="11"/>
      <c r="E353" s="11"/>
      <c r="F353" s="11"/>
      <c r="G353" s="11"/>
      <c r="H353" s="11"/>
      <c r="I353" s="11"/>
      <c r="J353" s="11"/>
    </row>
    <row r="354" spans="1:10" ht="12.75" customHeight="1">
      <c r="A354" s="4" t="s">
        <v>2500</v>
      </c>
      <c r="B354" s="12"/>
      <c r="C354" s="12"/>
      <c r="D354" s="12"/>
      <c r="E354" s="12"/>
      <c r="F354" s="12"/>
      <c r="G354" s="12"/>
      <c r="H354" s="12"/>
      <c r="I354" s="12"/>
      <c r="J354" s="12"/>
    </row>
    <row r="355" spans="1:10" ht="25.5" customHeight="1">
      <c r="A355" s="3" t="s">
        <v>2501</v>
      </c>
      <c r="B355" s="11"/>
      <c r="C355" s="11"/>
      <c r="D355" s="11"/>
      <c r="E355" s="11"/>
      <c r="F355" s="11"/>
      <c r="G355" s="11"/>
      <c r="H355" s="11"/>
      <c r="I355" s="11"/>
      <c r="J355" s="11"/>
    </row>
    <row r="356" spans="1:10" ht="12.75" customHeight="1">
      <c r="A356" s="4" t="s">
        <v>2502</v>
      </c>
      <c r="B356" s="12"/>
      <c r="C356" s="12"/>
      <c r="D356" s="12"/>
      <c r="E356" s="12"/>
      <c r="F356" s="12"/>
      <c r="G356" s="12"/>
      <c r="H356" s="12"/>
      <c r="I356" s="12"/>
      <c r="J356" s="12"/>
    </row>
    <row r="357" spans="1:10" ht="38.25" customHeight="1">
      <c r="A357" s="3" t="s">
        <v>2503</v>
      </c>
      <c r="B357" s="11"/>
      <c r="C357" s="11"/>
      <c r="D357" s="11"/>
      <c r="E357" s="11"/>
      <c r="F357" s="11"/>
      <c r="G357" s="11"/>
      <c r="H357" s="11"/>
      <c r="I357" s="11"/>
      <c r="J357" s="11"/>
    </row>
    <row r="358" spans="1:10" ht="38.25" customHeight="1">
      <c r="A358" s="4" t="s">
        <v>2504</v>
      </c>
      <c r="B358" s="12"/>
      <c r="C358" s="12"/>
      <c r="D358" s="12"/>
      <c r="E358" s="12"/>
      <c r="F358" s="12"/>
      <c r="G358" s="12"/>
      <c r="H358" s="12"/>
      <c r="I358" s="12"/>
      <c r="J358" s="12"/>
    </row>
    <row r="359" spans="1:10" ht="38.25" customHeight="1">
      <c r="A359" s="3" t="s">
        <v>2505</v>
      </c>
      <c r="B359" s="11"/>
      <c r="C359" s="11"/>
      <c r="D359" s="11"/>
      <c r="E359" s="11"/>
      <c r="F359" s="11"/>
      <c r="G359" s="11"/>
      <c r="H359" s="11"/>
      <c r="I359" s="11"/>
      <c r="J359" s="11"/>
    </row>
    <row r="360" spans="1:10" ht="25.5" customHeight="1">
      <c r="A360" s="4" t="s">
        <v>2506</v>
      </c>
      <c r="B360" s="12"/>
      <c r="C360" s="12"/>
      <c r="D360" s="12"/>
      <c r="E360" s="12"/>
      <c r="F360" s="12"/>
      <c r="G360" s="12"/>
      <c r="H360" s="12"/>
      <c r="I360" s="12"/>
      <c r="J360" s="12"/>
    </row>
    <row r="361" spans="1:10" ht="12.75" customHeight="1">
      <c r="A361" s="3" t="s">
        <v>2507</v>
      </c>
      <c r="B361" s="11"/>
      <c r="C361" s="11"/>
      <c r="D361" s="11"/>
      <c r="E361" s="11"/>
      <c r="F361" s="11"/>
      <c r="G361" s="11"/>
      <c r="H361" s="11"/>
      <c r="I361" s="11"/>
      <c r="J361" s="11"/>
    </row>
    <row r="362" spans="1:10" ht="12.75" customHeight="1">
      <c r="A362" s="4" t="s">
        <v>2508</v>
      </c>
      <c r="B362" s="12">
        <f>+'DCA-Anexo I-F'!B373+'DCA-Anexo I-F'!B364+'DCA-Anexo I-F'!B363+'DCA-Anexo I-F'!B366+'DCA-Anexo I-F'!B367+'DCA-Anexo I-F'!B369+'DCA-Anexo I-F'!B371+'DCA-Anexo I-F'!B370+'DCA-Anexo I-F'!B374+'DCA-Anexo I-F'!B365+'DCA-Anexo I-F'!B368+'DCA-Anexo I-F'!B372</f>
        <v>0</v>
      </c>
      <c r="C362" s="12">
        <f>+'DCA-Anexo I-F'!C373+'DCA-Anexo I-F'!C364+'DCA-Anexo I-F'!C363+'DCA-Anexo I-F'!C366+'DCA-Anexo I-F'!C367+'DCA-Anexo I-F'!C369+'DCA-Anexo I-F'!C371+'DCA-Anexo I-F'!C370+'DCA-Anexo I-F'!C374+'DCA-Anexo I-F'!C365+'DCA-Anexo I-F'!C368+'DCA-Anexo I-F'!C372</f>
        <v>0</v>
      </c>
      <c r="D362" s="12">
        <f>+'DCA-Anexo I-F'!D373+'DCA-Anexo I-F'!D364+'DCA-Anexo I-F'!D363+'DCA-Anexo I-F'!D366+'DCA-Anexo I-F'!D367+'DCA-Anexo I-F'!D369+'DCA-Anexo I-F'!D371+'DCA-Anexo I-F'!D370+'DCA-Anexo I-F'!D374+'DCA-Anexo I-F'!D365+'DCA-Anexo I-F'!D368+'DCA-Anexo I-F'!D372</f>
        <v>0</v>
      </c>
      <c r="E362" s="12">
        <f>+'DCA-Anexo I-F'!E373+'DCA-Anexo I-F'!E364+'DCA-Anexo I-F'!E363+'DCA-Anexo I-F'!E366+'DCA-Anexo I-F'!E367+'DCA-Anexo I-F'!E369+'DCA-Anexo I-F'!E371+'DCA-Anexo I-F'!E370+'DCA-Anexo I-F'!E374+'DCA-Anexo I-F'!E365+'DCA-Anexo I-F'!E368+'DCA-Anexo I-F'!E372</f>
        <v>0</v>
      </c>
      <c r="F362" s="12">
        <f>+'DCA-Anexo I-F'!F373+'DCA-Anexo I-F'!F364+'DCA-Anexo I-F'!F363+'DCA-Anexo I-F'!F366+'DCA-Anexo I-F'!F367+'DCA-Anexo I-F'!F369+'DCA-Anexo I-F'!F371+'DCA-Anexo I-F'!F370+'DCA-Anexo I-F'!F374+'DCA-Anexo I-F'!F365+'DCA-Anexo I-F'!F368+'DCA-Anexo I-F'!F372</f>
        <v>0</v>
      </c>
      <c r="G362" s="12">
        <f>+'DCA-Anexo I-F'!G373+'DCA-Anexo I-F'!G364+'DCA-Anexo I-F'!G363+'DCA-Anexo I-F'!G366+'DCA-Anexo I-F'!G367+'DCA-Anexo I-F'!G369+'DCA-Anexo I-F'!G371+'DCA-Anexo I-F'!G370+'DCA-Anexo I-F'!G374+'DCA-Anexo I-F'!G365+'DCA-Anexo I-F'!G368+'DCA-Anexo I-F'!G372</f>
        <v>0</v>
      </c>
      <c r="H362" s="12">
        <f>+'DCA-Anexo I-F'!H373+'DCA-Anexo I-F'!H364+'DCA-Anexo I-F'!H363+'DCA-Anexo I-F'!H366+'DCA-Anexo I-F'!H367+'DCA-Anexo I-F'!H369+'DCA-Anexo I-F'!H371+'DCA-Anexo I-F'!H370+'DCA-Anexo I-F'!H374+'DCA-Anexo I-F'!H365+'DCA-Anexo I-F'!H368+'DCA-Anexo I-F'!H372</f>
        <v>0</v>
      </c>
      <c r="I362" s="12">
        <f>+'DCA-Anexo I-F'!I373+'DCA-Anexo I-F'!I364+'DCA-Anexo I-F'!I363+'DCA-Anexo I-F'!I366+'DCA-Anexo I-F'!I367+'DCA-Anexo I-F'!I369+'DCA-Anexo I-F'!I371+'DCA-Anexo I-F'!I370+'DCA-Anexo I-F'!I374+'DCA-Anexo I-F'!I365+'DCA-Anexo I-F'!I368+'DCA-Anexo I-F'!I372</f>
        <v>0</v>
      </c>
      <c r="J362" s="12">
        <f>+'DCA-Anexo I-F'!J373+'DCA-Anexo I-F'!J364+'DCA-Anexo I-F'!J363+'DCA-Anexo I-F'!J366+'DCA-Anexo I-F'!J367+'DCA-Anexo I-F'!J369+'DCA-Anexo I-F'!J371+'DCA-Anexo I-F'!J370+'DCA-Anexo I-F'!J374+'DCA-Anexo I-F'!J365+'DCA-Anexo I-F'!J368+'DCA-Anexo I-F'!J372</f>
        <v>0</v>
      </c>
    </row>
    <row r="363" spans="1:10" ht="12.75" customHeight="1">
      <c r="A363" s="3" t="s">
        <v>2509</v>
      </c>
      <c r="B363" s="11"/>
      <c r="C363" s="11"/>
      <c r="D363" s="11"/>
      <c r="E363" s="11"/>
      <c r="F363" s="11"/>
      <c r="G363" s="11"/>
      <c r="H363" s="11"/>
      <c r="I363" s="11"/>
      <c r="J363" s="11"/>
    </row>
    <row r="364" spans="1:10" ht="12.75" customHeight="1">
      <c r="A364" s="4" t="s">
        <v>2510</v>
      </c>
      <c r="B364" s="12"/>
      <c r="C364" s="12"/>
      <c r="D364" s="12"/>
      <c r="E364" s="12"/>
      <c r="F364" s="12"/>
      <c r="G364" s="12"/>
      <c r="H364" s="12"/>
      <c r="I364" s="12"/>
      <c r="J364" s="12"/>
    </row>
    <row r="365" spans="1:10" ht="12.75" customHeight="1">
      <c r="A365" s="3" t="s">
        <v>2511</v>
      </c>
      <c r="B365" s="11"/>
      <c r="C365" s="11"/>
      <c r="D365" s="11"/>
      <c r="E365" s="11"/>
      <c r="F365" s="11"/>
      <c r="G365" s="11"/>
      <c r="H365" s="11"/>
      <c r="I365" s="11"/>
      <c r="J365" s="11"/>
    </row>
    <row r="366" spans="1:10" ht="25.5" customHeight="1">
      <c r="A366" s="4" t="s">
        <v>2512</v>
      </c>
      <c r="B366" s="12"/>
      <c r="C366" s="12"/>
      <c r="D366" s="12"/>
      <c r="E366" s="12"/>
      <c r="F366" s="12"/>
      <c r="G366" s="12"/>
      <c r="H366" s="12"/>
      <c r="I366" s="12"/>
      <c r="J366" s="12"/>
    </row>
    <row r="367" spans="1:10" ht="25.5" customHeight="1">
      <c r="A367" s="3" t="s">
        <v>2513</v>
      </c>
      <c r="B367" s="11"/>
      <c r="C367" s="11"/>
      <c r="D367" s="11"/>
      <c r="E367" s="11"/>
      <c r="F367" s="11"/>
      <c r="G367" s="11"/>
      <c r="H367" s="11"/>
      <c r="I367" s="11"/>
      <c r="J367" s="11"/>
    </row>
    <row r="368" spans="1:10" ht="25.5" customHeight="1">
      <c r="A368" s="4" t="s">
        <v>2514</v>
      </c>
      <c r="B368" s="12"/>
      <c r="C368" s="12"/>
      <c r="D368" s="12"/>
      <c r="E368" s="12"/>
      <c r="F368" s="12"/>
      <c r="G368" s="12"/>
      <c r="H368" s="12"/>
      <c r="I368" s="12"/>
      <c r="J368" s="12"/>
    </row>
    <row r="369" spans="1:10" ht="12.75" customHeight="1">
      <c r="A369" s="3" t="s">
        <v>2515</v>
      </c>
      <c r="B369" s="11"/>
      <c r="C369" s="11"/>
      <c r="D369" s="11"/>
      <c r="E369" s="11"/>
      <c r="F369" s="11"/>
      <c r="G369" s="11"/>
      <c r="H369" s="11"/>
      <c r="I369" s="11"/>
      <c r="J369" s="11"/>
    </row>
    <row r="370" spans="1:10" ht="12.75" customHeight="1">
      <c r="A370" s="4" t="s">
        <v>2516</v>
      </c>
      <c r="B370" s="12"/>
      <c r="C370" s="12"/>
      <c r="D370" s="12"/>
      <c r="E370" s="12"/>
      <c r="F370" s="12"/>
      <c r="G370" s="12"/>
      <c r="H370" s="12"/>
      <c r="I370" s="12"/>
      <c r="J370" s="12"/>
    </row>
    <row r="371" spans="1:10" ht="12.75" customHeight="1">
      <c r="A371" s="3" t="s">
        <v>2517</v>
      </c>
      <c r="B371" s="11"/>
      <c r="C371" s="11"/>
      <c r="D371" s="11"/>
      <c r="E371" s="11"/>
      <c r="F371" s="11"/>
      <c r="G371" s="11"/>
      <c r="H371" s="11"/>
      <c r="I371" s="11"/>
      <c r="J371" s="11"/>
    </row>
    <row r="372" spans="1:10" ht="12.75" customHeight="1">
      <c r="A372" s="4" t="s">
        <v>2518</v>
      </c>
      <c r="B372" s="12"/>
      <c r="C372" s="12"/>
      <c r="D372" s="12"/>
      <c r="E372" s="12"/>
      <c r="F372" s="12"/>
      <c r="G372" s="12"/>
      <c r="H372" s="12"/>
      <c r="I372" s="12"/>
      <c r="J372" s="12"/>
    </row>
    <row r="373" spans="1:10" ht="12.75" customHeight="1">
      <c r="A373" s="3" t="s">
        <v>2519</v>
      </c>
      <c r="B373" s="11"/>
      <c r="C373" s="11"/>
      <c r="D373" s="11"/>
      <c r="E373" s="11"/>
      <c r="F373" s="11"/>
      <c r="G373" s="11"/>
      <c r="H373" s="11"/>
      <c r="I373" s="11"/>
      <c r="J373" s="11"/>
    </row>
    <row r="374" spans="1:10" ht="12.75" customHeight="1">
      <c r="A374" s="4" t="s">
        <v>2520</v>
      </c>
      <c r="B374" s="12"/>
      <c r="C374" s="12"/>
      <c r="D374" s="12"/>
      <c r="E374" s="12"/>
      <c r="F374" s="12"/>
      <c r="G374" s="12"/>
      <c r="H374" s="12"/>
      <c r="I374" s="12"/>
      <c r="J374" s="12"/>
    </row>
    <row r="375" spans="1:10" ht="25.5" customHeight="1">
      <c r="A375" s="3" t="s">
        <v>2521</v>
      </c>
      <c r="B375" s="11"/>
      <c r="C375" s="11"/>
      <c r="D375" s="11"/>
      <c r="E375" s="11"/>
      <c r="F375" s="11"/>
      <c r="G375" s="11"/>
      <c r="H375" s="11"/>
      <c r="I375" s="11"/>
      <c r="J375" s="11"/>
    </row>
    <row r="376" spans="1:10" ht="38.25" customHeight="1">
      <c r="A376" s="4" t="s">
        <v>2522</v>
      </c>
      <c r="B376" s="12"/>
      <c r="C376" s="12"/>
      <c r="D376" s="12"/>
      <c r="E376" s="12"/>
      <c r="F376" s="12"/>
      <c r="G376" s="12"/>
      <c r="H376" s="12"/>
      <c r="I376" s="12"/>
      <c r="J376" s="12"/>
    </row>
    <row r="377" spans="1:10" ht="38.25" customHeight="1">
      <c r="A377" s="3" t="s">
        <v>2523</v>
      </c>
      <c r="B377" s="11"/>
      <c r="C377" s="11"/>
      <c r="D377" s="11"/>
      <c r="E377" s="11"/>
      <c r="F377" s="11"/>
      <c r="G377" s="11"/>
      <c r="H377" s="11"/>
      <c r="I377" s="11"/>
      <c r="J377" s="11"/>
    </row>
    <row r="378" spans="1:10" ht="25.5" customHeight="1">
      <c r="A378" s="4" t="s">
        <v>2524</v>
      </c>
      <c r="B378" s="12"/>
      <c r="C378" s="12"/>
      <c r="D378" s="12"/>
      <c r="E378" s="12"/>
      <c r="F378" s="12"/>
      <c r="G378" s="12"/>
      <c r="H378" s="12"/>
      <c r="I378" s="12"/>
      <c r="J378" s="12"/>
    </row>
    <row r="379" spans="1:10" ht="25.5" customHeight="1">
      <c r="A379" s="3" t="s">
        <v>2525</v>
      </c>
      <c r="B379" s="11"/>
      <c r="C379" s="11"/>
      <c r="D379" s="11"/>
      <c r="E379" s="11"/>
      <c r="F379" s="11"/>
      <c r="G379" s="11"/>
      <c r="H379" s="11"/>
      <c r="I379" s="11"/>
      <c r="J379" s="11"/>
    </row>
    <row r="380" spans="1:10" ht="12.75" customHeight="1">
      <c r="A380" s="4" t="s">
        <v>2526</v>
      </c>
      <c r="B380" s="12"/>
      <c r="C380" s="12"/>
      <c r="D380" s="12"/>
      <c r="E380" s="12"/>
      <c r="F380" s="12"/>
      <c r="G380" s="12"/>
      <c r="H380" s="12"/>
      <c r="I380" s="12"/>
      <c r="J380" s="12"/>
    </row>
    <row r="383" spans="1:10" ht="25.5" customHeight="1">
      <c r="A383" s="7" t="s">
        <v>2730</v>
      </c>
    </row>
    <row r="384" spans="1:10" ht="25.5" customHeight="1">
      <c r="A384" s="7" t="s">
        <v>2741</v>
      </c>
    </row>
    <row r="385" spans="1:2" ht="12.75" customHeight="1">
      <c r="A385" s="7" t="s">
        <v>12</v>
      </c>
    </row>
    <row r="386" spans="1:2" ht="30" customHeight="1">
      <c r="A386" s="21" t="s">
        <v>2742</v>
      </c>
      <c r="B386" s="21" t="s">
        <v>14</v>
      </c>
    </row>
    <row r="387" spans="1:2" ht="30" customHeight="1">
      <c r="A387" s="22"/>
      <c r="B387" s="21" t="s">
        <v>15</v>
      </c>
    </row>
    <row r="388" spans="1:2" ht="25.5" customHeight="1">
      <c r="A388" s="3" t="s">
        <v>2743</v>
      </c>
      <c r="B388" s="5"/>
    </row>
    <row r="389" spans="1:2" ht="300" customHeight="1">
      <c r="A389" s="4" t="s">
        <v>1086</v>
      </c>
      <c r="B389" s="13"/>
    </row>
  </sheetData>
  <sheetProtection password="9C88" sheet="1" objects="1" scenarios="1"/>
  <mergeCells count="14">
    <mergeCell ref="H18"/>
    <mergeCell ref="I18"/>
    <mergeCell ref="J18"/>
    <mergeCell ref="A386:A387"/>
    <mergeCell ref="B386"/>
    <mergeCell ref="B387"/>
    <mergeCell ref="A17:A18"/>
    <mergeCell ref="B17:J17"/>
    <mergeCell ref="B18"/>
    <mergeCell ref="C18"/>
    <mergeCell ref="D18"/>
    <mergeCell ref="E18"/>
    <mergeCell ref="F18"/>
    <mergeCell ref="G18"/>
  </mergeCells>
  <pageMargins left="0.78740157499999996" right="0.78740157499999996" top="0.984251969" bottom="0.984251969" header="0.5" footer="0.5"/>
  <pageSetup orientation="portrait" horizontalDpi="300" verticalDpi="300"/>
  <headerFooter alignWithMargins="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DD652-DE0E-4693-A620-74FC26167F65}">
  <dimension ref="A1:J222"/>
  <sheetViews>
    <sheetView showGridLines="0" topLeftCell="A28" workbookViewId="0">
      <pane xSplit="1" topLeftCell="B1" activePane="topRight" state="frozen"/>
      <selection pane="topRight" activeCell="J38" sqref="J38"/>
    </sheetView>
  </sheetViews>
  <sheetFormatPr defaultRowHeight="13.2"/>
  <cols>
    <col min="1" max="1" width="86" customWidth="1"/>
    <col min="2" max="8" width="40" customWidth="1"/>
    <col min="9" max="9" width="35.5546875" customWidth="1"/>
    <col min="10" max="10" width="40" customWidth="1"/>
  </cols>
  <sheetData>
    <row r="1" spans="1:5" ht="74.099999999999994" customHeight="1">
      <c r="A1" s="8"/>
    </row>
    <row r="2" spans="1:5">
      <c r="A2" s="18" t="s">
        <v>0</v>
      </c>
    </row>
    <row r="3" spans="1:5" ht="20.100000000000001" customHeight="1">
      <c r="A3" s="1" t="s">
        <v>1</v>
      </c>
    </row>
    <row r="4" spans="1:5" ht="20.100000000000001" customHeight="1">
      <c r="A4" s="1" t="s">
        <v>2</v>
      </c>
    </row>
    <row r="5" spans="1:5" ht="20.100000000000001" customHeight="1">
      <c r="A5" s="1" t="s">
        <v>3</v>
      </c>
      <c r="E5" s="10"/>
    </row>
    <row r="7" spans="1:5">
      <c r="A7" s="2" t="s">
        <v>4</v>
      </c>
    </row>
    <row r="8" spans="1:5">
      <c r="A8" s="2" t="s">
        <v>5</v>
      </c>
    </row>
    <row r="9" spans="1:5">
      <c r="A9" s="2" t="s">
        <v>6</v>
      </c>
    </row>
    <row r="10" spans="1:5">
      <c r="A10" s="2" t="s">
        <v>7</v>
      </c>
    </row>
    <row r="11" spans="1:5">
      <c r="A11" s="2" t="s">
        <v>8</v>
      </c>
    </row>
    <row r="12" spans="1:5">
      <c r="A12" s="2" t="s">
        <v>9</v>
      </c>
    </row>
    <row r="14" spans="1:5" ht="25.5" customHeight="1">
      <c r="A14" s="7" t="s">
        <v>2744</v>
      </c>
    </row>
    <row r="15" spans="1:5" ht="12.75" customHeight="1">
      <c r="A15" s="7" t="s">
        <v>2530</v>
      </c>
    </row>
    <row r="16" spans="1:5" ht="12.75" customHeight="1">
      <c r="A16" s="7" t="s">
        <v>2531</v>
      </c>
    </row>
    <row r="17" spans="1:10" ht="30" customHeight="1">
      <c r="A17" s="21" t="s">
        <v>2532</v>
      </c>
      <c r="B17" s="21" t="s">
        <v>2160</v>
      </c>
      <c r="C17" s="21"/>
      <c r="D17" s="21"/>
      <c r="E17" s="21"/>
      <c r="F17" s="21"/>
      <c r="G17" s="21"/>
      <c r="H17" s="21"/>
      <c r="I17" s="21"/>
      <c r="J17" s="21"/>
    </row>
    <row r="18" spans="1:10" ht="30" customHeight="1">
      <c r="A18" s="22"/>
      <c r="B18" s="21" t="s">
        <v>2731</v>
      </c>
      <c r="C18" s="21" t="s">
        <v>2732</v>
      </c>
      <c r="D18" s="21" t="s">
        <v>2733</v>
      </c>
      <c r="E18" s="21" t="s">
        <v>2734</v>
      </c>
      <c r="F18" s="21" t="s">
        <v>2735</v>
      </c>
      <c r="G18" s="21" t="s">
        <v>2736</v>
      </c>
      <c r="H18" s="21" t="s">
        <v>2737</v>
      </c>
      <c r="I18" s="21" t="s">
        <v>2738</v>
      </c>
      <c r="J18" s="21" t="s">
        <v>2739</v>
      </c>
    </row>
    <row r="19" spans="1:10" ht="12.75" customHeight="1">
      <c r="A19" s="3" t="s">
        <v>2533</v>
      </c>
      <c r="B19" s="11">
        <f>+'DCA-Anexo I-G'!B20+'DCA-Anexo I-G'!B25+'DCA-Anexo I-G'!B30+'DCA-Anexo I-G'!B35+'DCA-Anexo I-G'!B48+'DCA-Anexo I-G'!B54+'DCA-Anexo I-G'!B60+'DCA-Anexo I-G'!B65+'DCA-Anexo I-G'!B74+'DCA-Anexo I-G'!B81+'DCA-Anexo I-G'!B90+'DCA-Anexo I-G'!B97+'DCA-Anexo I-G'!B108+'DCA-Anexo I-G'!B113+'DCA-Anexo I-G'!B119+'DCA-Anexo I-G'!B125+'DCA-Anexo I-G'!B130+'DCA-Anexo I-G'!B135+'DCA-Anexo I-G'!B143+'DCA-Anexo I-G'!B149+'DCA-Anexo I-G'!B157+'DCA-Anexo I-G'!B162+'DCA-Anexo I-G'!B170+'DCA-Anexo I-G'!B178+'DCA-Anexo I-G'!B183+'DCA-Anexo I-G'!B190+'DCA-Anexo I-G'!B198+'DCA-Anexo I-G'!B204</f>
        <v>62175.76</v>
      </c>
      <c r="C19" s="11">
        <f>+'DCA-Anexo I-G'!C20+'DCA-Anexo I-G'!C25+'DCA-Anexo I-G'!C30+'DCA-Anexo I-G'!C35+'DCA-Anexo I-G'!C48+'DCA-Anexo I-G'!C54+'DCA-Anexo I-G'!C60+'DCA-Anexo I-G'!C65+'DCA-Anexo I-G'!C74+'DCA-Anexo I-G'!C81+'DCA-Anexo I-G'!C90+'DCA-Anexo I-G'!C97+'DCA-Anexo I-G'!C108+'DCA-Anexo I-G'!C113+'DCA-Anexo I-G'!C119+'DCA-Anexo I-G'!C125+'DCA-Anexo I-G'!C130+'DCA-Anexo I-G'!C135+'DCA-Anexo I-G'!C143+'DCA-Anexo I-G'!C149+'DCA-Anexo I-G'!C157+'DCA-Anexo I-G'!C162+'DCA-Anexo I-G'!C170+'DCA-Anexo I-G'!C178+'DCA-Anexo I-G'!C183+'DCA-Anexo I-G'!C190+'DCA-Anexo I-G'!C198+'DCA-Anexo I-G'!C204</f>
        <v>20650.400000000001</v>
      </c>
      <c r="D19" s="11">
        <f>+'DCA-Anexo I-G'!D20+'DCA-Anexo I-G'!D25+'DCA-Anexo I-G'!D30+'DCA-Anexo I-G'!D35+'DCA-Anexo I-G'!D48+'DCA-Anexo I-G'!D54+'DCA-Anexo I-G'!D60+'DCA-Anexo I-G'!D65+'DCA-Anexo I-G'!D74+'DCA-Anexo I-G'!D81+'DCA-Anexo I-G'!D90+'DCA-Anexo I-G'!D97+'DCA-Anexo I-G'!D108+'DCA-Anexo I-G'!D113+'DCA-Anexo I-G'!D119+'DCA-Anexo I-G'!D125+'DCA-Anexo I-G'!D130+'DCA-Anexo I-G'!D135+'DCA-Anexo I-G'!D143+'DCA-Anexo I-G'!D149+'DCA-Anexo I-G'!D157+'DCA-Anexo I-G'!D162+'DCA-Anexo I-G'!D170+'DCA-Anexo I-G'!D178+'DCA-Anexo I-G'!D183+'DCA-Anexo I-G'!D190+'DCA-Anexo I-G'!D198+'DCA-Anexo I-G'!D204</f>
        <v>20650.400000000001</v>
      </c>
      <c r="E19" s="11">
        <f>+'DCA-Anexo I-G'!E20+'DCA-Anexo I-G'!E25+'DCA-Anexo I-G'!E30+'DCA-Anexo I-G'!E35+'DCA-Anexo I-G'!E48+'DCA-Anexo I-G'!E54+'DCA-Anexo I-G'!E60+'DCA-Anexo I-G'!E65+'DCA-Anexo I-G'!E74+'DCA-Anexo I-G'!E81+'DCA-Anexo I-G'!E90+'DCA-Anexo I-G'!E97+'DCA-Anexo I-G'!E108+'DCA-Anexo I-G'!E113+'DCA-Anexo I-G'!E119+'DCA-Anexo I-G'!E125+'DCA-Anexo I-G'!E130+'DCA-Anexo I-G'!E135+'DCA-Anexo I-G'!E143+'DCA-Anexo I-G'!E149+'DCA-Anexo I-G'!E157+'DCA-Anexo I-G'!E162+'DCA-Anexo I-G'!E170+'DCA-Anexo I-G'!E178+'DCA-Anexo I-G'!E183+'DCA-Anexo I-G'!E190+'DCA-Anexo I-G'!E198+'DCA-Anexo I-G'!E204</f>
        <v>20650.400000000001</v>
      </c>
      <c r="F19" s="11">
        <f>+'DCA-Anexo I-G'!F20+'DCA-Anexo I-G'!F25+'DCA-Anexo I-G'!F30+'DCA-Anexo I-G'!F35+'DCA-Anexo I-G'!F48+'DCA-Anexo I-G'!F54+'DCA-Anexo I-G'!F60+'DCA-Anexo I-G'!F65+'DCA-Anexo I-G'!F74+'DCA-Anexo I-G'!F81+'DCA-Anexo I-G'!F90+'DCA-Anexo I-G'!F97+'DCA-Anexo I-G'!F108+'DCA-Anexo I-G'!F113+'DCA-Anexo I-G'!F119+'DCA-Anexo I-G'!F125+'DCA-Anexo I-G'!F130+'DCA-Anexo I-G'!F135+'DCA-Anexo I-G'!F143+'DCA-Anexo I-G'!F149+'DCA-Anexo I-G'!F157+'DCA-Anexo I-G'!F162+'DCA-Anexo I-G'!F170+'DCA-Anexo I-G'!F178+'DCA-Anexo I-G'!F183+'DCA-Anexo I-G'!F190+'DCA-Anexo I-G'!F198+'DCA-Anexo I-G'!F204</f>
        <v>0</v>
      </c>
      <c r="G19" s="11">
        <f>+'DCA-Anexo I-G'!G20+'DCA-Anexo I-G'!G25+'DCA-Anexo I-G'!G30+'DCA-Anexo I-G'!G35+'DCA-Anexo I-G'!G48+'DCA-Anexo I-G'!G54+'DCA-Anexo I-G'!G60+'DCA-Anexo I-G'!G65+'DCA-Anexo I-G'!G74+'DCA-Anexo I-G'!G81+'DCA-Anexo I-G'!G90+'DCA-Anexo I-G'!G97+'DCA-Anexo I-G'!G108+'DCA-Anexo I-G'!G113+'DCA-Anexo I-G'!G119+'DCA-Anexo I-G'!G125+'DCA-Anexo I-G'!G130+'DCA-Anexo I-G'!G135+'DCA-Anexo I-G'!G143+'DCA-Anexo I-G'!G149+'DCA-Anexo I-G'!G157+'DCA-Anexo I-G'!G162+'DCA-Anexo I-G'!G170+'DCA-Anexo I-G'!G178+'DCA-Anexo I-G'!G183+'DCA-Anexo I-G'!G190+'DCA-Anexo I-G'!G198+'DCA-Anexo I-G'!G204</f>
        <v>678963.1</v>
      </c>
      <c r="H19" s="11">
        <f>+'DCA-Anexo I-G'!H20+'DCA-Anexo I-G'!H25+'DCA-Anexo I-G'!H30+'DCA-Anexo I-G'!H35+'DCA-Anexo I-G'!H48+'DCA-Anexo I-G'!H54+'DCA-Anexo I-G'!H60+'DCA-Anexo I-G'!H65+'DCA-Anexo I-G'!H74+'DCA-Anexo I-G'!H81+'DCA-Anexo I-G'!H90+'DCA-Anexo I-G'!H97+'DCA-Anexo I-G'!H108+'DCA-Anexo I-G'!H113+'DCA-Anexo I-G'!H119+'DCA-Anexo I-G'!H125+'DCA-Anexo I-G'!H130+'DCA-Anexo I-G'!H135+'DCA-Anexo I-G'!H143+'DCA-Anexo I-G'!H149+'DCA-Anexo I-G'!H157+'DCA-Anexo I-G'!H162+'DCA-Anexo I-G'!H170+'DCA-Anexo I-G'!H178+'DCA-Anexo I-G'!H183+'DCA-Anexo I-G'!H190+'DCA-Anexo I-G'!H198+'DCA-Anexo I-G'!H204</f>
        <v>513963.84</v>
      </c>
      <c r="I19" s="11">
        <f>+'DCA-Anexo I-G'!I20+'DCA-Anexo I-G'!I25+'DCA-Anexo I-G'!I30+'DCA-Anexo I-G'!I35+'DCA-Anexo I-G'!I48+'DCA-Anexo I-G'!I54+'DCA-Anexo I-G'!I60+'DCA-Anexo I-G'!I65+'DCA-Anexo I-G'!I74+'DCA-Anexo I-G'!I81+'DCA-Anexo I-G'!I90+'DCA-Anexo I-G'!I97+'DCA-Anexo I-G'!I108+'DCA-Anexo I-G'!I113+'DCA-Anexo I-G'!I119+'DCA-Anexo I-G'!I125+'DCA-Anexo I-G'!I130+'DCA-Anexo I-G'!I135+'DCA-Anexo I-G'!I143+'DCA-Anexo I-G'!I149+'DCA-Anexo I-G'!I157+'DCA-Anexo I-G'!I162+'DCA-Anexo I-G'!I170+'DCA-Anexo I-G'!I178+'DCA-Anexo I-G'!I183+'DCA-Anexo I-G'!I190+'DCA-Anexo I-G'!I198+'DCA-Anexo I-G'!I204</f>
        <v>511422.29</v>
      </c>
      <c r="J19" s="11">
        <f>+'DCA-Anexo I-G'!J20+'DCA-Anexo I-G'!J25+'DCA-Anexo I-G'!J30+'DCA-Anexo I-G'!J35+'DCA-Anexo I-G'!J48+'DCA-Anexo I-G'!J54+'DCA-Anexo I-G'!J60+'DCA-Anexo I-G'!J65+'DCA-Anexo I-G'!J74+'DCA-Anexo I-G'!J81+'DCA-Anexo I-G'!J90+'DCA-Anexo I-G'!J97+'DCA-Anexo I-G'!J108+'DCA-Anexo I-G'!J113+'DCA-Anexo I-G'!J119+'DCA-Anexo I-G'!J125+'DCA-Anexo I-G'!J130+'DCA-Anexo I-G'!J135+'DCA-Anexo I-G'!J143+'DCA-Anexo I-G'!J149+'DCA-Anexo I-G'!J157+'DCA-Anexo I-G'!J162+'DCA-Anexo I-G'!J170+'DCA-Anexo I-G'!J178+'DCA-Anexo I-G'!J183+'DCA-Anexo I-G'!J190+'DCA-Anexo I-G'!J198+'DCA-Anexo I-G'!J204</f>
        <v>0</v>
      </c>
    </row>
    <row r="20" spans="1:10" ht="12.75" customHeight="1">
      <c r="A20" s="4" t="s">
        <v>2534</v>
      </c>
      <c r="B20" s="12">
        <f>+'DCA-Anexo I-G'!B21+'DCA-Anexo I-G'!B22+'DCA-Anexo I-G'!B24+'DCA-Anexo I-G'!B23</f>
        <v>0</v>
      </c>
      <c r="C20" s="12">
        <f>+'DCA-Anexo I-G'!C21+'DCA-Anexo I-G'!C22+'DCA-Anexo I-G'!C24+'DCA-Anexo I-G'!C23</f>
        <v>0</v>
      </c>
      <c r="D20" s="12">
        <f>+'DCA-Anexo I-G'!D21+'DCA-Anexo I-G'!D22+'DCA-Anexo I-G'!D24+'DCA-Anexo I-G'!D23</f>
        <v>0</v>
      </c>
      <c r="E20" s="12">
        <f>+'DCA-Anexo I-G'!E21+'DCA-Anexo I-G'!E22+'DCA-Anexo I-G'!E24+'DCA-Anexo I-G'!E23</f>
        <v>0</v>
      </c>
      <c r="F20" s="12">
        <f>+'DCA-Anexo I-G'!F21+'DCA-Anexo I-G'!F22+'DCA-Anexo I-G'!F24+'DCA-Anexo I-G'!F23</f>
        <v>0</v>
      </c>
      <c r="G20" s="12">
        <f>+'DCA-Anexo I-G'!G21+'DCA-Anexo I-G'!G22+'DCA-Anexo I-G'!G24+'DCA-Anexo I-G'!G23</f>
        <v>0</v>
      </c>
      <c r="H20" s="12">
        <f>+'DCA-Anexo I-G'!H21+'DCA-Anexo I-G'!H22+'DCA-Anexo I-G'!H24+'DCA-Anexo I-G'!H23</f>
        <v>0</v>
      </c>
      <c r="I20" s="12">
        <f>+'DCA-Anexo I-G'!I21+'DCA-Anexo I-G'!I22+'DCA-Anexo I-G'!I24+'DCA-Anexo I-G'!I23</f>
        <v>0</v>
      </c>
      <c r="J20" s="12">
        <f>+'DCA-Anexo I-G'!J21+'DCA-Anexo I-G'!J22+'DCA-Anexo I-G'!J24+'DCA-Anexo I-G'!J23</f>
        <v>0</v>
      </c>
    </row>
    <row r="21" spans="1:10" ht="12.75" customHeight="1">
      <c r="A21" s="3" t="s">
        <v>2535</v>
      </c>
      <c r="B21" s="11"/>
      <c r="C21" s="11"/>
      <c r="D21" s="11"/>
      <c r="E21" s="11"/>
      <c r="F21" s="11"/>
      <c r="G21" s="11"/>
      <c r="H21" s="11"/>
      <c r="I21" s="11"/>
      <c r="J21" s="11"/>
    </row>
    <row r="22" spans="1:10" ht="12.75" customHeight="1">
      <c r="A22" s="4" t="s">
        <v>2536</v>
      </c>
      <c r="B22" s="12"/>
      <c r="C22" s="12"/>
      <c r="D22" s="12"/>
      <c r="E22" s="12"/>
      <c r="F22" s="12"/>
      <c r="G22" s="12"/>
      <c r="H22" s="12"/>
      <c r="I22" s="12"/>
      <c r="J22" s="12"/>
    </row>
    <row r="23" spans="1:10" ht="12.75" customHeight="1">
      <c r="A23" s="3" t="s">
        <v>2537</v>
      </c>
      <c r="B23" s="11"/>
      <c r="C23" s="11"/>
      <c r="D23" s="11"/>
      <c r="E23" s="11"/>
      <c r="F23" s="11"/>
      <c r="G23" s="11"/>
      <c r="H23" s="11"/>
      <c r="I23" s="11"/>
      <c r="J23" s="11"/>
    </row>
    <row r="24" spans="1:10" ht="12.75" customHeight="1">
      <c r="A24" s="4" t="s">
        <v>2538</v>
      </c>
      <c r="B24" s="12"/>
      <c r="C24" s="12"/>
      <c r="D24" s="12"/>
      <c r="E24" s="12"/>
      <c r="F24" s="12"/>
      <c r="G24" s="12"/>
      <c r="H24" s="12"/>
      <c r="I24" s="12"/>
      <c r="J24" s="12"/>
    </row>
    <row r="25" spans="1:10" ht="12.75" customHeight="1">
      <c r="A25" s="3" t="s">
        <v>2539</v>
      </c>
      <c r="B25" s="11">
        <f>+'DCA-Anexo I-G'!B26+'DCA-Anexo I-G'!B27+'DCA-Anexo I-G'!B29+'DCA-Anexo I-G'!B28</f>
        <v>0</v>
      </c>
      <c r="C25" s="11">
        <f>+'DCA-Anexo I-G'!C26+'DCA-Anexo I-G'!C27+'DCA-Anexo I-G'!C29+'DCA-Anexo I-G'!C28</f>
        <v>0</v>
      </c>
      <c r="D25" s="11">
        <f>+'DCA-Anexo I-G'!D26+'DCA-Anexo I-G'!D27+'DCA-Anexo I-G'!D29+'DCA-Anexo I-G'!D28</f>
        <v>0</v>
      </c>
      <c r="E25" s="11">
        <f>+'DCA-Anexo I-G'!E26+'DCA-Anexo I-G'!E27+'DCA-Anexo I-G'!E29+'DCA-Anexo I-G'!E28</f>
        <v>0</v>
      </c>
      <c r="F25" s="11">
        <f>+'DCA-Anexo I-G'!F26+'DCA-Anexo I-G'!F27+'DCA-Anexo I-G'!F29+'DCA-Anexo I-G'!F28</f>
        <v>0</v>
      </c>
      <c r="G25" s="11">
        <f>+'DCA-Anexo I-G'!G26+'DCA-Anexo I-G'!G27+'DCA-Anexo I-G'!G29+'DCA-Anexo I-G'!G28</f>
        <v>0</v>
      </c>
      <c r="H25" s="11">
        <f>+'DCA-Anexo I-G'!H26+'DCA-Anexo I-G'!H27+'DCA-Anexo I-G'!H29+'DCA-Anexo I-G'!H28</f>
        <v>0</v>
      </c>
      <c r="I25" s="11">
        <f>+'DCA-Anexo I-G'!I26+'DCA-Anexo I-G'!I27+'DCA-Anexo I-G'!I29+'DCA-Anexo I-G'!I28</f>
        <v>0</v>
      </c>
      <c r="J25" s="11">
        <f>+'DCA-Anexo I-G'!J26+'DCA-Anexo I-G'!J27+'DCA-Anexo I-G'!J29+'DCA-Anexo I-G'!J28</f>
        <v>0</v>
      </c>
    </row>
    <row r="26" spans="1:10" ht="12.75" customHeight="1">
      <c r="A26" s="4" t="s">
        <v>2540</v>
      </c>
      <c r="B26" s="12"/>
      <c r="C26" s="12"/>
      <c r="D26" s="12"/>
      <c r="E26" s="12"/>
      <c r="F26" s="12"/>
      <c r="G26" s="12"/>
      <c r="H26" s="12"/>
      <c r="I26" s="12"/>
      <c r="J26" s="12"/>
    </row>
    <row r="27" spans="1:10" ht="12.75" customHeight="1">
      <c r="A27" s="3" t="s">
        <v>2541</v>
      </c>
      <c r="B27" s="11"/>
      <c r="C27" s="11"/>
      <c r="D27" s="11"/>
      <c r="E27" s="11"/>
      <c r="F27" s="11"/>
      <c r="G27" s="11"/>
      <c r="H27" s="11"/>
      <c r="I27" s="11"/>
      <c r="J27" s="11"/>
    </row>
    <row r="28" spans="1:10" ht="12.75" customHeight="1">
      <c r="A28" s="4" t="s">
        <v>2542</v>
      </c>
      <c r="B28" s="12"/>
      <c r="C28" s="12"/>
      <c r="D28" s="12"/>
      <c r="E28" s="12"/>
      <c r="F28" s="12"/>
      <c r="G28" s="12"/>
      <c r="H28" s="12"/>
      <c r="I28" s="12"/>
      <c r="J28" s="12"/>
    </row>
    <row r="29" spans="1:10" ht="12.75" customHeight="1">
      <c r="A29" s="3" t="s">
        <v>2543</v>
      </c>
      <c r="B29" s="11"/>
      <c r="C29" s="11"/>
      <c r="D29" s="11"/>
      <c r="E29" s="11"/>
      <c r="F29" s="11"/>
      <c r="G29" s="11"/>
      <c r="H29" s="11"/>
      <c r="I29" s="11"/>
      <c r="J29" s="11"/>
    </row>
    <row r="30" spans="1:10" ht="12.75" customHeight="1">
      <c r="A30" s="4" t="s">
        <v>2544</v>
      </c>
      <c r="B30" s="12">
        <f>+'DCA-Anexo I-G'!B31+'DCA-Anexo I-G'!B32+'DCA-Anexo I-G'!B34+'DCA-Anexo I-G'!B33</f>
        <v>0</v>
      </c>
      <c r="C30" s="12">
        <f>+'DCA-Anexo I-G'!C31+'DCA-Anexo I-G'!C32+'DCA-Anexo I-G'!C34+'DCA-Anexo I-G'!C33</f>
        <v>0</v>
      </c>
      <c r="D30" s="12">
        <f>+'DCA-Anexo I-G'!D31+'DCA-Anexo I-G'!D32+'DCA-Anexo I-G'!D34+'DCA-Anexo I-G'!D33</f>
        <v>0</v>
      </c>
      <c r="E30" s="12">
        <f>+'DCA-Anexo I-G'!E31+'DCA-Anexo I-G'!E32+'DCA-Anexo I-G'!E34+'DCA-Anexo I-G'!E33</f>
        <v>0</v>
      </c>
      <c r="F30" s="12">
        <f>+'DCA-Anexo I-G'!F31+'DCA-Anexo I-G'!F32+'DCA-Anexo I-G'!F34+'DCA-Anexo I-G'!F33</f>
        <v>0</v>
      </c>
      <c r="G30" s="12">
        <f>+'DCA-Anexo I-G'!G31+'DCA-Anexo I-G'!G32+'DCA-Anexo I-G'!G34+'DCA-Anexo I-G'!G33</f>
        <v>0</v>
      </c>
      <c r="H30" s="12">
        <f>+'DCA-Anexo I-G'!H31+'DCA-Anexo I-G'!H32+'DCA-Anexo I-G'!H34+'DCA-Anexo I-G'!H33</f>
        <v>0</v>
      </c>
      <c r="I30" s="12">
        <f>+'DCA-Anexo I-G'!I31+'DCA-Anexo I-G'!I32+'DCA-Anexo I-G'!I34+'DCA-Anexo I-G'!I33</f>
        <v>0</v>
      </c>
      <c r="J30" s="12">
        <f>+'DCA-Anexo I-G'!J31+'DCA-Anexo I-G'!J32+'DCA-Anexo I-G'!J34+'DCA-Anexo I-G'!J33</f>
        <v>0</v>
      </c>
    </row>
    <row r="31" spans="1:10" ht="12.75" customHeight="1">
      <c r="A31" s="3" t="s">
        <v>2545</v>
      </c>
      <c r="B31" s="11"/>
      <c r="C31" s="11"/>
      <c r="D31" s="11"/>
      <c r="E31" s="11"/>
      <c r="F31" s="11"/>
      <c r="G31" s="11"/>
      <c r="H31" s="11"/>
      <c r="I31" s="11"/>
      <c r="J31" s="11"/>
    </row>
    <row r="32" spans="1:10" ht="12.75" customHeight="1">
      <c r="A32" s="4" t="s">
        <v>2546</v>
      </c>
      <c r="B32" s="12"/>
      <c r="C32" s="12"/>
      <c r="D32" s="12"/>
      <c r="E32" s="12"/>
      <c r="F32" s="12"/>
      <c r="G32" s="12"/>
      <c r="H32" s="12"/>
      <c r="I32" s="12"/>
      <c r="J32" s="12"/>
    </row>
    <row r="33" spans="1:10" ht="12.75" customHeight="1">
      <c r="A33" s="3" t="s">
        <v>2547</v>
      </c>
      <c r="B33" s="11"/>
      <c r="C33" s="11"/>
      <c r="D33" s="11"/>
      <c r="E33" s="11"/>
      <c r="F33" s="11"/>
      <c r="G33" s="11"/>
      <c r="H33" s="11"/>
      <c r="I33" s="11"/>
      <c r="J33" s="11"/>
    </row>
    <row r="34" spans="1:10" ht="12.75" customHeight="1">
      <c r="A34" s="4" t="s">
        <v>2548</v>
      </c>
      <c r="B34" s="12"/>
      <c r="C34" s="12"/>
      <c r="D34" s="12"/>
      <c r="E34" s="12"/>
      <c r="F34" s="12"/>
      <c r="G34" s="12"/>
      <c r="H34" s="12"/>
      <c r="I34" s="12"/>
      <c r="J34" s="12"/>
    </row>
    <row r="35" spans="1:10" ht="12.75" customHeight="1">
      <c r="A35" s="3" t="s">
        <v>2549</v>
      </c>
      <c r="B35" s="11">
        <f>+'DCA-Anexo I-G'!B36+'DCA-Anexo I-G'!B37+'DCA-Anexo I-G'!B38+'DCA-Anexo I-G'!B39+'DCA-Anexo I-G'!B40+'DCA-Anexo I-G'!B41+'DCA-Anexo I-G'!B42+'DCA-Anexo I-G'!B43+'DCA-Anexo I-G'!B44+'DCA-Anexo I-G'!B45+'DCA-Anexo I-G'!B46+'DCA-Anexo I-G'!B47</f>
        <v>62175.76</v>
      </c>
      <c r="C35" s="11">
        <f>+'DCA-Anexo I-G'!C36+'DCA-Anexo I-G'!C37+'DCA-Anexo I-G'!C38+'DCA-Anexo I-G'!C39+'DCA-Anexo I-G'!C40+'DCA-Anexo I-G'!C41+'DCA-Anexo I-G'!C42+'DCA-Anexo I-G'!C43+'DCA-Anexo I-G'!C44+'DCA-Anexo I-G'!C45+'DCA-Anexo I-G'!C46+'DCA-Anexo I-G'!C47</f>
        <v>20650.400000000001</v>
      </c>
      <c r="D35" s="11">
        <f>+'DCA-Anexo I-G'!D36+'DCA-Anexo I-G'!D37+'DCA-Anexo I-G'!D38+'DCA-Anexo I-G'!D39+'DCA-Anexo I-G'!D40+'DCA-Anexo I-G'!D41+'DCA-Anexo I-G'!D42+'DCA-Anexo I-G'!D43+'DCA-Anexo I-G'!D44+'DCA-Anexo I-G'!D45+'DCA-Anexo I-G'!D46+'DCA-Anexo I-G'!D47</f>
        <v>20650.400000000001</v>
      </c>
      <c r="E35" s="11">
        <f>+'DCA-Anexo I-G'!E36+'DCA-Anexo I-G'!E37+'DCA-Anexo I-G'!E38+'DCA-Anexo I-G'!E39+'DCA-Anexo I-G'!E40+'DCA-Anexo I-G'!E41+'DCA-Anexo I-G'!E42+'DCA-Anexo I-G'!E43+'DCA-Anexo I-G'!E44+'DCA-Anexo I-G'!E45+'DCA-Anexo I-G'!E46+'DCA-Anexo I-G'!E47</f>
        <v>20650.400000000001</v>
      </c>
      <c r="F35" s="11">
        <f>+'DCA-Anexo I-G'!F36+'DCA-Anexo I-G'!F37+'DCA-Anexo I-G'!F38+'DCA-Anexo I-G'!F39+'DCA-Anexo I-G'!F40+'DCA-Anexo I-G'!F41+'DCA-Anexo I-G'!F42+'DCA-Anexo I-G'!F43+'DCA-Anexo I-G'!F44+'DCA-Anexo I-G'!F45+'DCA-Anexo I-G'!F46+'DCA-Anexo I-G'!F47</f>
        <v>0</v>
      </c>
      <c r="G35" s="11">
        <f>+'DCA-Anexo I-G'!G36+'DCA-Anexo I-G'!G37+'DCA-Anexo I-G'!G38+'DCA-Anexo I-G'!G39+'DCA-Anexo I-G'!G40+'DCA-Anexo I-G'!G41+'DCA-Anexo I-G'!G42+'DCA-Anexo I-G'!G43+'DCA-Anexo I-G'!G44+'DCA-Anexo I-G'!G45+'DCA-Anexo I-G'!G46+'DCA-Anexo I-G'!G47</f>
        <v>678963.1</v>
      </c>
      <c r="H35" s="11">
        <f>+'DCA-Anexo I-G'!H36+'DCA-Anexo I-G'!H37+'DCA-Anexo I-G'!H38+'DCA-Anexo I-G'!H39+'DCA-Anexo I-G'!H40+'DCA-Anexo I-G'!H41+'DCA-Anexo I-G'!H42+'DCA-Anexo I-G'!H43+'DCA-Anexo I-G'!H44+'DCA-Anexo I-G'!H45+'DCA-Anexo I-G'!H46+'DCA-Anexo I-G'!H47</f>
        <v>513963.84</v>
      </c>
      <c r="I35" s="11">
        <f>+'DCA-Anexo I-G'!I36+'DCA-Anexo I-G'!I37+'DCA-Anexo I-G'!I38+'DCA-Anexo I-G'!I39+'DCA-Anexo I-G'!I40+'DCA-Anexo I-G'!I41+'DCA-Anexo I-G'!I42+'DCA-Anexo I-G'!I43+'DCA-Anexo I-G'!I44+'DCA-Anexo I-G'!I45+'DCA-Anexo I-G'!I46+'DCA-Anexo I-G'!I47</f>
        <v>511422.29</v>
      </c>
      <c r="J35" s="11">
        <f>+'DCA-Anexo I-G'!J36+'DCA-Anexo I-G'!J37+'DCA-Anexo I-G'!J38+'DCA-Anexo I-G'!J39+'DCA-Anexo I-G'!J40+'DCA-Anexo I-G'!J41+'DCA-Anexo I-G'!J42+'DCA-Anexo I-G'!J43+'DCA-Anexo I-G'!J44+'DCA-Anexo I-G'!J45+'DCA-Anexo I-G'!J46+'DCA-Anexo I-G'!J47</f>
        <v>0</v>
      </c>
    </row>
    <row r="36" spans="1:10" ht="12.75" customHeight="1">
      <c r="A36" s="4" t="s">
        <v>2550</v>
      </c>
      <c r="B36" s="12"/>
      <c r="C36" s="12"/>
      <c r="D36" s="12"/>
      <c r="E36" s="12"/>
      <c r="F36" s="12"/>
      <c r="G36" s="12"/>
      <c r="H36" s="12"/>
      <c r="I36" s="12"/>
      <c r="J36" s="12"/>
    </row>
    <row r="37" spans="1:10" ht="12.75" customHeight="1">
      <c r="A37" s="3" t="s">
        <v>2551</v>
      </c>
      <c r="B37" s="11">
        <v>62175.76</v>
      </c>
      <c r="C37" s="11">
        <v>20650.400000000001</v>
      </c>
      <c r="D37" s="11">
        <v>20650.400000000001</v>
      </c>
      <c r="E37" s="11">
        <v>20650.400000000001</v>
      </c>
      <c r="F37" s="11">
        <v>0</v>
      </c>
      <c r="G37" s="11">
        <v>678963.1</v>
      </c>
      <c r="H37" s="11">
        <v>513963.84</v>
      </c>
      <c r="I37" s="11">
        <v>511422.29</v>
      </c>
      <c r="J37" s="11">
        <v>0</v>
      </c>
    </row>
    <row r="38" spans="1:10" ht="12.75" customHeight="1">
      <c r="A38" s="4" t="s">
        <v>2552</v>
      </c>
      <c r="B38" s="12"/>
      <c r="C38" s="12"/>
      <c r="D38" s="12"/>
      <c r="E38" s="12"/>
      <c r="F38" s="12"/>
      <c r="G38" s="12"/>
      <c r="H38" s="12"/>
      <c r="I38" s="12"/>
      <c r="J38" s="12"/>
    </row>
    <row r="39" spans="1:10" ht="12.75" customHeight="1">
      <c r="A39" s="3" t="s">
        <v>2553</v>
      </c>
      <c r="B39" s="11"/>
      <c r="C39" s="11"/>
      <c r="D39" s="11"/>
      <c r="E39" s="11"/>
      <c r="F39" s="11"/>
      <c r="G39" s="11"/>
      <c r="H39" s="11"/>
      <c r="I39" s="11"/>
      <c r="J39" s="11"/>
    </row>
    <row r="40" spans="1:10" ht="12.75" customHeight="1">
      <c r="A40" s="4" t="s">
        <v>2554</v>
      </c>
      <c r="B40" s="12"/>
      <c r="C40" s="12"/>
      <c r="D40" s="12"/>
      <c r="E40" s="12"/>
      <c r="F40" s="12"/>
      <c r="G40" s="12"/>
      <c r="H40" s="12"/>
      <c r="I40" s="12"/>
      <c r="J40" s="12"/>
    </row>
    <row r="41" spans="1:10" ht="12.75" customHeight="1">
      <c r="A41" s="3" t="s">
        <v>2555</v>
      </c>
      <c r="B41" s="11"/>
      <c r="C41" s="11"/>
      <c r="D41" s="11"/>
      <c r="E41" s="11"/>
      <c r="F41" s="11"/>
      <c r="G41" s="11"/>
      <c r="H41" s="11"/>
      <c r="I41" s="11"/>
      <c r="J41" s="11"/>
    </row>
    <row r="42" spans="1:10" ht="12.75" customHeight="1">
      <c r="A42" s="4" t="s">
        <v>2556</v>
      </c>
      <c r="B42" s="12"/>
      <c r="C42" s="12"/>
      <c r="D42" s="12"/>
      <c r="E42" s="12"/>
      <c r="F42" s="12"/>
      <c r="G42" s="12"/>
      <c r="H42" s="12"/>
      <c r="I42" s="12"/>
      <c r="J42" s="12"/>
    </row>
    <row r="43" spans="1:10" ht="12.75" customHeight="1">
      <c r="A43" s="3" t="s">
        <v>2557</v>
      </c>
      <c r="B43" s="11"/>
      <c r="C43" s="11"/>
      <c r="D43" s="11"/>
      <c r="E43" s="11"/>
      <c r="F43" s="11"/>
      <c r="G43" s="11"/>
      <c r="H43" s="11"/>
      <c r="I43" s="11"/>
      <c r="J43" s="11"/>
    </row>
    <row r="44" spans="1:10" ht="12.75" customHeight="1">
      <c r="A44" s="4" t="s">
        <v>2558</v>
      </c>
      <c r="B44" s="12"/>
      <c r="C44" s="12"/>
      <c r="D44" s="12"/>
      <c r="E44" s="12"/>
      <c r="F44" s="12"/>
      <c r="G44" s="12"/>
      <c r="H44" s="12"/>
      <c r="I44" s="12"/>
      <c r="J44" s="12"/>
    </row>
    <row r="45" spans="1:10" ht="12.75" customHeight="1">
      <c r="A45" s="3" t="s">
        <v>2559</v>
      </c>
      <c r="B45" s="11"/>
      <c r="C45" s="11"/>
      <c r="D45" s="11"/>
      <c r="E45" s="11"/>
      <c r="F45" s="11"/>
      <c r="G45" s="11"/>
      <c r="H45" s="11"/>
      <c r="I45" s="11"/>
      <c r="J45" s="11"/>
    </row>
    <row r="46" spans="1:10" ht="12.75" customHeight="1">
      <c r="A46" s="4" t="s">
        <v>2560</v>
      </c>
      <c r="B46" s="12"/>
      <c r="C46" s="12"/>
      <c r="D46" s="12"/>
      <c r="E46" s="12"/>
      <c r="F46" s="12"/>
      <c r="G46" s="12"/>
      <c r="H46" s="12"/>
      <c r="I46" s="12"/>
      <c r="J46" s="12"/>
    </row>
    <row r="47" spans="1:10" ht="12.75" customHeight="1">
      <c r="A47" s="3" t="s">
        <v>2561</v>
      </c>
      <c r="B47" s="11"/>
      <c r="C47" s="11"/>
      <c r="D47" s="11"/>
      <c r="E47" s="11"/>
      <c r="F47" s="11"/>
      <c r="G47" s="11"/>
      <c r="H47" s="11"/>
      <c r="I47" s="11"/>
      <c r="J47" s="11"/>
    </row>
    <row r="48" spans="1:10" ht="12.75" customHeight="1">
      <c r="A48" s="4" t="s">
        <v>2562</v>
      </c>
      <c r="B48" s="12">
        <f>+'DCA-Anexo I-G'!B49+'DCA-Anexo I-G'!B50+'DCA-Anexo I-G'!B51+'DCA-Anexo I-G'!B53+'DCA-Anexo I-G'!B52</f>
        <v>0</v>
      </c>
      <c r="C48" s="12">
        <f>+'DCA-Anexo I-G'!C49+'DCA-Anexo I-G'!C50+'DCA-Anexo I-G'!C51+'DCA-Anexo I-G'!C53+'DCA-Anexo I-G'!C52</f>
        <v>0</v>
      </c>
      <c r="D48" s="12">
        <f>+'DCA-Anexo I-G'!D49+'DCA-Anexo I-G'!D50+'DCA-Anexo I-G'!D51+'DCA-Anexo I-G'!D53+'DCA-Anexo I-G'!D52</f>
        <v>0</v>
      </c>
      <c r="E48" s="12">
        <f>+'DCA-Anexo I-G'!E49+'DCA-Anexo I-G'!E50+'DCA-Anexo I-G'!E51+'DCA-Anexo I-G'!E53+'DCA-Anexo I-G'!E52</f>
        <v>0</v>
      </c>
      <c r="F48" s="12">
        <f>+'DCA-Anexo I-G'!F49+'DCA-Anexo I-G'!F50+'DCA-Anexo I-G'!F51+'DCA-Anexo I-G'!F53+'DCA-Anexo I-G'!F52</f>
        <v>0</v>
      </c>
      <c r="G48" s="12">
        <f>+'DCA-Anexo I-G'!G49+'DCA-Anexo I-G'!G50+'DCA-Anexo I-G'!G51+'DCA-Anexo I-G'!G53+'DCA-Anexo I-G'!G52</f>
        <v>0</v>
      </c>
      <c r="H48" s="12">
        <f>+'DCA-Anexo I-G'!H49+'DCA-Anexo I-G'!H50+'DCA-Anexo I-G'!H51+'DCA-Anexo I-G'!H53+'DCA-Anexo I-G'!H52</f>
        <v>0</v>
      </c>
      <c r="I48" s="12">
        <f>+'DCA-Anexo I-G'!I49+'DCA-Anexo I-G'!I50+'DCA-Anexo I-G'!I51+'DCA-Anexo I-G'!I53+'DCA-Anexo I-G'!I52</f>
        <v>0</v>
      </c>
      <c r="J48" s="12">
        <f>+'DCA-Anexo I-G'!J49+'DCA-Anexo I-G'!J50+'DCA-Anexo I-G'!J51+'DCA-Anexo I-G'!J53+'DCA-Anexo I-G'!J52</f>
        <v>0</v>
      </c>
    </row>
    <row r="49" spans="1:10" ht="12.75" customHeight="1">
      <c r="A49" s="3" t="s">
        <v>2563</v>
      </c>
      <c r="B49" s="11"/>
      <c r="C49" s="11"/>
      <c r="D49" s="11"/>
      <c r="E49" s="11"/>
      <c r="F49" s="11"/>
      <c r="G49" s="11"/>
      <c r="H49" s="11"/>
      <c r="I49" s="11"/>
      <c r="J49" s="11"/>
    </row>
    <row r="50" spans="1:10" ht="12.75" customHeight="1">
      <c r="A50" s="4" t="s">
        <v>2564</v>
      </c>
      <c r="B50" s="12"/>
      <c r="C50" s="12"/>
      <c r="D50" s="12"/>
      <c r="E50" s="12"/>
      <c r="F50" s="12"/>
      <c r="G50" s="12"/>
      <c r="H50" s="12"/>
      <c r="I50" s="12"/>
      <c r="J50" s="12"/>
    </row>
    <row r="51" spans="1:10" ht="12.75" customHeight="1">
      <c r="A51" s="3" t="s">
        <v>2565</v>
      </c>
      <c r="B51" s="11"/>
      <c r="C51" s="11"/>
      <c r="D51" s="11"/>
      <c r="E51" s="11"/>
      <c r="F51" s="11"/>
      <c r="G51" s="11"/>
      <c r="H51" s="11"/>
      <c r="I51" s="11"/>
      <c r="J51" s="11"/>
    </row>
    <row r="52" spans="1:10" ht="12.75" customHeight="1">
      <c r="A52" s="4" t="s">
        <v>2566</v>
      </c>
      <c r="B52" s="12"/>
      <c r="C52" s="12"/>
      <c r="D52" s="12"/>
      <c r="E52" s="12"/>
      <c r="F52" s="12"/>
      <c r="G52" s="12"/>
      <c r="H52" s="12"/>
      <c r="I52" s="12"/>
      <c r="J52" s="12"/>
    </row>
    <row r="53" spans="1:10" ht="12.75" customHeight="1">
      <c r="A53" s="3" t="s">
        <v>2567</v>
      </c>
      <c r="B53" s="11"/>
      <c r="C53" s="11"/>
      <c r="D53" s="11"/>
      <c r="E53" s="11"/>
      <c r="F53" s="11"/>
      <c r="G53" s="11"/>
      <c r="H53" s="11"/>
      <c r="I53" s="11"/>
      <c r="J53" s="11"/>
    </row>
    <row r="54" spans="1:10" ht="12.75" customHeight="1">
      <c r="A54" s="4" t="s">
        <v>2568</v>
      </c>
      <c r="B54" s="12">
        <f>+'DCA-Anexo I-G'!B55+'DCA-Anexo I-G'!B56+'DCA-Anexo I-G'!B57+'DCA-Anexo I-G'!B59+'DCA-Anexo I-G'!B58</f>
        <v>0</v>
      </c>
      <c r="C54" s="12">
        <f>+'DCA-Anexo I-G'!C55+'DCA-Anexo I-G'!C56+'DCA-Anexo I-G'!C57+'DCA-Anexo I-G'!C59+'DCA-Anexo I-G'!C58</f>
        <v>0</v>
      </c>
      <c r="D54" s="12">
        <f>+'DCA-Anexo I-G'!D55+'DCA-Anexo I-G'!D56+'DCA-Anexo I-G'!D57+'DCA-Anexo I-G'!D59+'DCA-Anexo I-G'!D58</f>
        <v>0</v>
      </c>
      <c r="E54" s="12">
        <f>+'DCA-Anexo I-G'!E55+'DCA-Anexo I-G'!E56+'DCA-Anexo I-G'!E57+'DCA-Anexo I-G'!E59+'DCA-Anexo I-G'!E58</f>
        <v>0</v>
      </c>
      <c r="F54" s="12">
        <f>+'DCA-Anexo I-G'!F55+'DCA-Anexo I-G'!F56+'DCA-Anexo I-G'!F57+'DCA-Anexo I-G'!F59+'DCA-Anexo I-G'!F58</f>
        <v>0</v>
      </c>
      <c r="G54" s="12">
        <f>+'DCA-Anexo I-G'!G55+'DCA-Anexo I-G'!G56+'DCA-Anexo I-G'!G57+'DCA-Anexo I-G'!G59+'DCA-Anexo I-G'!G58</f>
        <v>0</v>
      </c>
      <c r="H54" s="12">
        <f>+'DCA-Anexo I-G'!H55+'DCA-Anexo I-G'!H56+'DCA-Anexo I-G'!H57+'DCA-Anexo I-G'!H59+'DCA-Anexo I-G'!H58</f>
        <v>0</v>
      </c>
      <c r="I54" s="12">
        <f>+'DCA-Anexo I-G'!I55+'DCA-Anexo I-G'!I56+'DCA-Anexo I-G'!I57+'DCA-Anexo I-G'!I59+'DCA-Anexo I-G'!I58</f>
        <v>0</v>
      </c>
      <c r="J54" s="12">
        <f>+'DCA-Anexo I-G'!J55+'DCA-Anexo I-G'!J56+'DCA-Anexo I-G'!J57+'DCA-Anexo I-G'!J59+'DCA-Anexo I-G'!J58</f>
        <v>0</v>
      </c>
    </row>
    <row r="55" spans="1:10" ht="12.75" customHeight="1">
      <c r="A55" s="3" t="s">
        <v>2569</v>
      </c>
      <c r="B55" s="11"/>
      <c r="C55" s="11"/>
      <c r="D55" s="11"/>
      <c r="E55" s="11"/>
      <c r="F55" s="11"/>
      <c r="G55" s="11"/>
      <c r="H55" s="11"/>
      <c r="I55" s="11"/>
      <c r="J55" s="11"/>
    </row>
    <row r="56" spans="1:10" ht="12.75" customHeight="1">
      <c r="A56" s="4" t="s">
        <v>2570</v>
      </c>
      <c r="B56" s="12"/>
      <c r="C56" s="12"/>
      <c r="D56" s="12"/>
      <c r="E56" s="12"/>
      <c r="F56" s="12"/>
      <c r="G56" s="12"/>
      <c r="H56" s="12"/>
      <c r="I56" s="12"/>
      <c r="J56" s="12"/>
    </row>
    <row r="57" spans="1:10" ht="12.75" customHeight="1">
      <c r="A57" s="3" t="s">
        <v>2571</v>
      </c>
      <c r="B57" s="11"/>
      <c r="C57" s="11"/>
      <c r="D57" s="11"/>
      <c r="E57" s="11"/>
      <c r="F57" s="11"/>
      <c r="G57" s="11"/>
      <c r="H57" s="11"/>
      <c r="I57" s="11"/>
      <c r="J57" s="11"/>
    </row>
    <row r="58" spans="1:10" ht="12.75" customHeight="1">
      <c r="A58" s="4" t="s">
        <v>2572</v>
      </c>
      <c r="B58" s="12"/>
      <c r="C58" s="12"/>
      <c r="D58" s="12"/>
      <c r="E58" s="12"/>
      <c r="F58" s="12"/>
      <c r="G58" s="12"/>
      <c r="H58" s="12"/>
      <c r="I58" s="12"/>
      <c r="J58" s="12"/>
    </row>
    <row r="59" spans="1:10" ht="12.75" customHeight="1">
      <c r="A59" s="3" t="s">
        <v>2573</v>
      </c>
      <c r="B59" s="11"/>
      <c r="C59" s="11"/>
      <c r="D59" s="11"/>
      <c r="E59" s="11"/>
      <c r="F59" s="11"/>
      <c r="G59" s="11"/>
      <c r="H59" s="11"/>
      <c r="I59" s="11"/>
      <c r="J59" s="11"/>
    </row>
    <row r="60" spans="1:10" ht="12.75" customHeight="1">
      <c r="A60" s="4" t="s">
        <v>2574</v>
      </c>
      <c r="B60" s="12">
        <f>+'DCA-Anexo I-G'!B61+'DCA-Anexo I-G'!B62+'DCA-Anexo I-G'!B64+'DCA-Anexo I-G'!B63</f>
        <v>0</v>
      </c>
      <c r="C60" s="12">
        <f>+'DCA-Anexo I-G'!C61+'DCA-Anexo I-G'!C62+'DCA-Anexo I-G'!C64+'DCA-Anexo I-G'!C63</f>
        <v>0</v>
      </c>
      <c r="D60" s="12">
        <f>+'DCA-Anexo I-G'!D61+'DCA-Anexo I-G'!D62+'DCA-Anexo I-G'!D64+'DCA-Anexo I-G'!D63</f>
        <v>0</v>
      </c>
      <c r="E60" s="12">
        <f>+'DCA-Anexo I-G'!E61+'DCA-Anexo I-G'!E62+'DCA-Anexo I-G'!E64+'DCA-Anexo I-G'!E63</f>
        <v>0</v>
      </c>
      <c r="F60" s="12">
        <f>+'DCA-Anexo I-G'!F61+'DCA-Anexo I-G'!F62+'DCA-Anexo I-G'!F64+'DCA-Anexo I-G'!F63</f>
        <v>0</v>
      </c>
      <c r="G60" s="12">
        <f>+'DCA-Anexo I-G'!G61+'DCA-Anexo I-G'!G62+'DCA-Anexo I-G'!G64+'DCA-Anexo I-G'!G63</f>
        <v>0</v>
      </c>
      <c r="H60" s="12">
        <f>+'DCA-Anexo I-G'!H61+'DCA-Anexo I-G'!H62+'DCA-Anexo I-G'!H64+'DCA-Anexo I-G'!H63</f>
        <v>0</v>
      </c>
      <c r="I60" s="12">
        <f>+'DCA-Anexo I-G'!I61+'DCA-Anexo I-G'!I62+'DCA-Anexo I-G'!I64+'DCA-Anexo I-G'!I63</f>
        <v>0</v>
      </c>
      <c r="J60" s="12">
        <f>+'DCA-Anexo I-G'!J61+'DCA-Anexo I-G'!J62+'DCA-Anexo I-G'!J64+'DCA-Anexo I-G'!J63</f>
        <v>0</v>
      </c>
    </row>
    <row r="61" spans="1:10" ht="12.75" customHeight="1">
      <c r="A61" s="3" t="s">
        <v>2575</v>
      </c>
      <c r="B61" s="11"/>
      <c r="C61" s="11"/>
      <c r="D61" s="11"/>
      <c r="E61" s="11"/>
      <c r="F61" s="11"/>
      <c r="G61" s="11"/>
      <c r="H61" s="11"/>
      <c r="I61" s="11"/>
      <c r="J61" s="11"/>
    </row>
    <row r="62" spans="1:10" ht="12.75" customHeight="1">
      <c r="A62" s="4" t="s">
        <v>2576</v>
      </c>
      <c r="B62" s="12"/>
      <c r="C62" s="12"/>
      <c r="D62" s="12"/>
      <c r="E62" s="12"/>
      <c r="F62" s="12"/>
      <c r="G62" s="12"/>
      <c r="H62" s="12"/>
      <c r="I62" s="12"/>
      <c r="J62" s="12"/>
    </row>
    <row r="63" spans="1:10" ht="12.75" customHeight="1">
      <c r="A63" s="3" t="s">
        <v>2577</v>
      </c>
      <c r="B63" s="11"/>
      <c r="C63" s="11"/>
      <c r="D63" s="11"/>
      <c r="E63" s="11"/>
      <c r="F63" s="11"/>
      <c r="G63" s="11"/>
      <c r="H63" s="11"/>
      <c r="I63" s="11"/>
      <c r="J63" s="11"/>
    </row>
    <row r="64" spans="1:10" ht="12.75" customHeight="1">
      <c r="A64" s="4" t="s">
        <v>2578</v>
      </c>
      <c r="B64" s="12"/>
      <c r="C64" s="12"/>
      <c r="D64" s="12"/>
      <c r="E64" s="12"/>
      <c r="F64" s="12"/>
      <c r="G64" s="12"/>
      <c r="H64" s="12"/>
      <c r="I64" s="12"/>
      <c r="J64" s="12"/>
    </row>
    <row r="65" spans="1:10" ht="12.75" customHeight="1">
      <c r="A65" s="3" t="s">
        <v>2579</v>
      </c>
      <c r="B65" s="11">
        <f>+'DCA-Anexo I-G'!B66+'DCA-Anexo I-G'!B67+'DCA-Anexo I-G'!B68+'DCA-Anexo I-G'!B69+'DCA-Anexo I-G'!B73+'DCA-Anexo I-G'!B72+'DCA-Anexo I-G'!B70+'DCA-Anexo I-G'!B71</f>
        <v>0</v>
      </c>
      <c r="C65" s="11">
        <f>+'DCA-Anexo I-G'!C66+'DCA-Anexo I-G'!C67+'DCA-Anexo I-G'!C68+'DCA-Anexo I-G'!C69+'DCA-Anexo I-G'!C73+'DCA-Anexo I-G'!C72+'DCA-Anexo I-G'!C70+'DCA-Anexo I-G'!C71</f>
        <v>0</v>
      </c>
      <c r="D65" s="11">
        <f>+'DCA-Anexo I-G'!D66+'DCA-Anexo I-G'!D67+'DCA-Anexo I-G'!D68+'DCA-Anexo I-G'!D69+'DCA-Anexo I-G'!D73+'DCA-Anexo I-G'!D72+'DCA-Anexo I-G'!D70+'DCA-Anexo I-G'!D71</f>
        <v>0</v>
      </c>
      <c r="E65" s="11">
        <f>+'DCA-Anexo I-G'!E66+'DCA-Anexo I-G'!E67+'DCA-Anexo I-G'!E68+'DCA-Anexo I-G'!E69+'DCA-Anexo I-G'!E73+'DCA-Anexo I-G'!E72+'DCA-Anexo I-G'!E70+'DCA-Anexo I-G'!E71</f>
        <v>0</v>
      </c>
      <c r="F65" s="11">
        <f>+'DCA-Anexo I-G'!F66+'DCA-Anexo I-G'!F67+'DCA-Anexo I-G'!F68+'DCA-Anexo I-G'!F69+'DCA-Anexo I-G'!F73+'DCA-Anexo I-G'!F72+'DCA-Anexo I-G'!F70+'DCA-Anexo I-G'!F71</f>
        <v>0</v>
      </c>
      <c r="G65" s="11">
        <f>+'DCA-Anexo I-G'!G66+'DCA-Anexo I-G'!G67+'DCA-Anexo I-G'!G68+'DCA-Anexo I-G'!G69+'DCA-Anexo I-G'!G73+'DCA-Anexo I-G'!G72+'DCA-Anexo I-G'!G70+'DCA-Anexo I-G'!G71</f>
        <v>0</v>
      </c>
      <c r="H65" s="11">
        <f>+'DCA-Anexo I-G'!H66+'DCA-Anexo I-G'!H67+'DCA-Anexo I-G'!H68+'DCA-Anexo I-G'!H69+'DCA-Anexo I-G'!H73+'DCA-Anexo I-G'!H72+'DCA-Anexo I-G'!H70+'DCA-Anexo I-G'!H71</f>
        <v>0</v>
      </c>
      <c r="I65" s="11">
        <f>+'DCA-Anexo I-G'!I66+'DCA-Anexo I-G'!I67+'DCA-Anexo I-G'!I68+'DCA-Anexo I-G'!I69+'DCA-Anexo I-G'!I73+'DCA-Anexo I-G'!I72+'DCA-Anexo I-G'!I70+'DCA-Anexo I-G'!I71</f>
        <v>0</v>
      </c>
      <c r="J65" s="11">
        <f>+'DCA-Anexo I-G'!J66+'DCA-Anexo I-G'!J67+'DCA-Anexo I-G'!J68+'DCA-Anexo I-G'!J69+'DCA-Anexo I-G'!J73+'DCA-Anexo I-G'!J72+'DCA-Anexo I-G'!J70+'DCA-Anexo I-G'!J71</f>
        <v>0</v>
      </c>
    </row>
    <row r="66" spans="1:10" ht="12.75" customHeight="1">
      <c r="A66" s="4" t="s">
        <v>2580</v>
      </c>
      <c r="B66" s="12"/>
      <c r="C66" s="12"/>
      <c r="D66" s="12"/>
      <c r="E66" s="12"/>
      <c r="F66" s="12"/>
      <c r="G66" s="12"/>
      <c r="H66" s="12"/>
      <c r="I66" s="12"/>
      <c r="J66" s="12"/>
    </row>
    <row r="67" spans="1:10" ht="12.75" customHeight="1">
      <c r="A67" s="3" t="s">
        <v>2581</v>
      </c>
      <c r="B67" s="11"/>
      <c r="C67" s="11"/>
      <c r="D67" s="11"/>
      <c r="E67" s="11"/>
      <c r="F67" s="11"/>
      <c r="G67" s="11"/>
      <c r="H67" s="11"/>
      <c r="I67" s="11"/>
      <c r="J67" s="11"/>
    </row>
    <row r="68" spans="1:10" ht="12.75" customHeight="1">
      <c r="A68" s="4" t="s">
        <v>2582</v>
      </c>
      <c r="B68" s="12"/>
      <c r="C68" s="12"/>
      <c r="D68" s="12"/>
      <c r="E68" s="12"/>
      <c r="F68" s="12"/>
      <c r="G68" s="12"/>
      <c r="H68" s="12"/>
      <c r="I68" s="12"/>
      <c r="J68" s="12"/>
    </row>
    <row r="69" spans="1:10" ht="12.75" customHeight="1">
      <c r="A69" s="3" t="s">
        <v>2583</v>
      </c>
      <c r="B69" s="11"/>
      <c r="C69" s="11"/>
      <c r="D69" s="11"/>
      <c r="E69" s="11"/>
      <c r="F69" s="11"/>
      <c r="G69" s="11"/>
      <c r="H69" s="11"/>
      <c r="I69" s="11"/>
      <c r="J69" s="11"/>
    </row>
    <row r="70" spans="1:10" ht="12.75" customHeight="1">
      <c r="A70" s="4" t="s">
        <v>2584</v>
      </c>
      <c r="B70" s="12"/>
      <c r="C70" s="12"/>
      <c r="D70" s="12"/>
      <c r="E70" s="12"/>
      <c r="F70" s="12"/>
      <c r="G70" s="12"/>
      <c r="H70" s="12"/>
      <c r="I70" s="12"/>
      <c r="J70" s="12"/>
    </row>
    <row r="71" spans="1:10" ht="12.75" customHeight="1">
      <c r="A71" s="3" t="s">
        <v>2585</v>
      </c>
      <c r="B71" s="11"/>
      <c r="C71" s="11"/>
      <c r="D71" s="11"/>
      <c r="E71" s="11"/>
      <c r="F71" s="11"/>
      <c r="G71" s="11"/>
      <c r="H71" s="11"/>
      <c r="I71" s="11"/>
      <c r="J71" s="11"/>
    </row>
    <row r="72" spans="1:10" ht="12.75" customHeight="1">
      <c r="A72" s="4" t="s">
        <v>2586</v>
      </c>
      <c r="B72" s="12"/>
      <c r="C72" s="12"/>
      <c r="D72" s="12"/>
      <c r="E72" s="12"/>
      <c r="F72" s="12"/>
      <c r="G72" s="12"/>
      <c r="H72" s="12"/>
      <c r="I72" s="12"/>
      <c r="J72" s="12"/>
    </row>
    <row r="73" spans="1:10" ht="12.75" customHeight="1">
      <c r="A73" s="3" t="s">
        <v>2587</v>
      </c>
      <c r="B73" s="11"/>
      <c r="C73" s="11"/>
      <c r="D73" s="11"/>
      <c r="E73" s="11"/>
      <c r="F73" s="11"/>
      <c r="G73" s="11"/>
      <c r="H73" s="11"/>
      <c r="I73" s="11"/>
      <c r="J73" s="11"/>
    </row>
    <row r="74" spans="1:10" ht="12.75" customHeight="1">
      <c r="A74" s="4" t="s">
        <v>2588</v>
      </c>
      <c r="B74" s="12">
        <f>+'DCA-Anexo I-G'!B75+'DCA-Anexo I-G'!B76+'DCA-Anexo I-G'!B77+'DCA-Anexo I-G'!B78+'DCA-Anexo I-G'!B80+'DCA-Anexo I-G'!B79</f>
        <v>0</v>
      </c>
      <c r="C74" s="12">
        <f>+'DCA-Anexo I-G'!C75+'DCA-Anexo I-G'!C76+'DCA-Anexo I-G'!C77+'DCA-Anexo I-G'!C78+'DCA-Anexo I-G'!C80+'DCA-Anexo I-G'!C79</f>
        <v>0</v>
      </c>
      <c r="D74" s="12">
        <f>+'DCA-Anexo I-G'!D75+'DCA-Anexo I-G'!D76+'DCA-Anexo I-G'!D77+'DCA-Anexo I-G'!D78+'DCA-Anexo I-G'!D80+'DCA-Anexo I-G'!D79</f>
        <v>0</v>
      </c>
      <c r="E74" s="12">
        <f>+'DCA-Anexo I-G'!E75+'DCA-Anexo I-G'!E76+'DCA-Anexo I-G'!E77+'DCA-Anexo I-G'!E78+'DCA-Anexo I-G'!E80+'DCA-Anexo I-G'!E79</f>
        <v>0</v>
      </c>
      <c r="F74" s="12">
        <f>+'DCA-Anexo I-G'!F75+'DCA-Anexo I-G'!F76+'DCA-Anexo I-G'!F77+'DCA-Anexo I-G'!F78+'DCA-Anexo I-G'!F80+'DCA-Anexo I-G'!F79</f>
        <v>0</v>
      </c>
      <c r="G74" s="12">
        <f>+'DCA-Anexo I-G'!G75+'DCA-Anexo I-G'!G76+'DCA-Anexo I-G'!G77+'DCA-Anexo I-G'!G78+'DCA-Anexo I-G'!G80+'DCA-Anexo I-G'!G79</f>
        <v>0</v>
      </c>
      <c r="H74" s="12">
        <f>+'DCA-Anexo I-G'!H75+'DCA-Anexo I-G'!H76+'DCA-Anexo I-G'!H77+'DCA-Anexo I-G'!H78+'DCA-Anexo I-G'!H80+'DCA-Anexo I-G'!H79</f>
        <v>0</v>
      </c>
      <c r="I74" s="12">
        <f>+'DCA-Anexo I-G'!I75+'DCA-Anexo I-G'!I76+'DCA-Anexo I-G'!I77+'DCA-Anexo I-G'!I78+'DCA-Anexo I-G'!I80+'DCA-Anexo I-G'!I79</f>
        <v>0</v>
      </c>
      <c r="J74" s="12">
        <f>+'DCA-Anexo I-G'!J75+'DCA-Anexo I-G'!J76+'DCA-Anexo I-G'!J77+'DCA-Anexo I-G'!J78+'DCA-Anexo I-G'!J80+'DCA-Anexo I-G'!J79</f>
        <v>0</v>
      </c>
    </row>
    <row r="75" spans="1:10" ht="12.75" customHeight="1">
      <c r="A75" s="3" t="s">
        <v>2589</v>
      </c>
      <c r="B75" s="11"/>
      <c r="C75" s="11"/>
      <c r="D75" s="11"/>
      <c r="E75" s="11"/>
      <c r="F75" s="11"/>
      <c r="G75" s="11"/>
      <c r="H75" s="11"/>
      <c r="I75" s="11"/>
      <c r="J75" s="11"/>
    </row>
    <row r="76" spans="1:10" ht="12.75" customHeight="1">
      <c r="A76" s="4" t="s">
        <v>2590</v>
      </c>
      <c r="B76" s="12"/>
      <c r="C76" s="12"/>
      <c r="D76" s="12"/>
      <c r="E76" s="12"/>
      <c r="F76" s="12"/>
      <c r="G76" s="12"/>
      <c r="H76" s="12"/>
      <c r="I76" s="12"/>
      <c r="J76" s="12"/>
    </row>
    <row r="77" spans="1:10" ht="12.75" customHeight="1">
      <c r="A77" s="3" t="s">
        <v>2591</v>
      </c>
      <c r="B77" s="11"/>
      <c r="C77" s="11"/>
      <c r="D77" s="11"/>
      <c r="E77" s="11"/>
      <c r="F77" s="11"/>
      <c r="G77" s="11"/>
      <c r="H77" s="11"/>
      <c r="I77" s="11"/>
      <c r="J77" s="11"/>
    </row>
    <row r="78" spans="1:10" ht="12.75" customHeight="1">
      <c r="A78" s="4" t="s">
        <v>2592</v>
      </c>
      <c r="B78" s="12"/>
      <c r="C78" s="12"/>
      <c r="D78" s="12"/>
      <c r="E78" s="12"/>
      <c r="F78" s="12"/>
      <c r="G78" s="12"/>
      <c r="H78" s="12"/>
      <c r="I78" s="12"/>
      <c r="J78" s="12"/>
    </row>
    <row r="79" spans="1:10" ht="12.75" customHeight="1">
      <c r="A79" s="3" t="s">
        <v>2593</v>
      </c>
      <c r="B79" s="11"/>
      <c r="C79" s="11"/>
      <c r="D79" s="11"/>
      <c r="E79" s="11"/>
      <c r="F79" s="11"/>
      <c r="G79" s="11"/>
      <c r="H79" s="11"/>
      <c r="I79" s="11"/>
      <c r="J79" s="11"/>
    </row>
    <row r="80" spans="1:10" ht="12.75" customHeight="1">
      <c r="A80" s="4" t="s">
        <v>2594</v>
      </c>
      <c r="B80" s="12"/>
      <c r="C80" s="12"/>
      <c r="D80" s="12"/>
      <c r="E80" s="12"/>
      <c r="F80" s="12"/>
      <c r="G80" s="12"/>
      <c r="H80" s="12"/>
      <c r="I80" s="12"/>
      <c r="J80" s="12"/>
    </row>
    <row r="81" spans="1:10" ht="12.75" customHeight="1">
      <c r="A81" s="3" t="s">
        <v>2595</v>
      </c>
      <c r="B81" s="11">
        <f>+'DCA-Anexo I-G'!B82+'DCA-Anexo I-G'!B83+'DCA-Anexo I-G'!B84+'DCA-Anexo I-G'!B85+'DCA-Anexo I-G'!B86+'DCA-Anexo I-G'!B87+'DCA-Anexo I-G'!B89+'DCA-Anexo I-G'!B88</f>
        <v>0</v>
      </c>
      <c r="C81" s="11">
        <f>+'DCA-Anexo I-G'!C82+'DCA-Anexo I-G'!C83+'DCA-Anexo I-G'!C84+'DCA-Anexo I-G'!C85+'DCA-Anexo I-G'!C86+'DCA-Anexo I-G'!C87+'DCA-Anexo I-G'!C89+'DCA-Anexo I-G'!C88</f>
        <v>0</v>
      </c>
      <c r="D81" s="11">
        <f>+'DCA-Anexo I-G'!D82+'DCA-Anexo I-G'!D83+'DCA-Anexo I-G'!D84+'DCA-Anexo I-G'!D85+'DCA-Anexo I-G'!D86+'DCA-Anexo I-G'!D87+'DCA-Anexo I-G'!D89+'DCA-Anexo I-G'!D88</f>
        <v>0</v>
      </c>
      <c r="E81" s="11">
        <f>+'DCA-Anexo I-G'!E82+'DCA-Anexo I-G'!E83+'DCA-Anexo I-G'!E84+'DCA-Anexo I-G'!E85+'DCA-Anexo I-G'!E86+'DCA-Anexo I-G'!E87+'DCA-Anexo I-G'!E89+'DCA-Anexo I-G'!E88</f>
        <v>0</v>
      </c>
      <c r="F81" s="11">
        <f>+'DCA-Anexo I-G'!F82+'DCA-Anexo I-G'!F83+'DCA-Anexo I-G'!F84+'DCA-Anexo I-G'!F85+'DCA-Anexo I-G'!F86+'DCA-Anexo I-G'!F87+'DCA-Anexo I-G'!F89+'DCA-Anexo I-G'!F88</f>
        <v>0</v>
      </c>
      <c r="G81" s="11">
        <f>+'DCA-Anexo I-G'!G82+'DCA-Anexo I-G'!G83+'DCA-Anexo I-G'!G84+'DCA-Anexo I-G'!G85+'DCA-Anexo I-G'!G86+'DCA-Anexo I-G'!G87+'DCA-Anexo I-G'!G89+'DCA-Anexo I-G'!G88</f>
        <v>0</v>
      </c>
      <c r="H81" s="11">
        <f>+'DCA-Anexo I-G'!H82+'DCA-Anexo I-G'!H83+'DCA-Anexo I-G'!H84+'DCA-Anexo I-G'!H85+'DCA-Anexo I-G'!H86+'DCA-Anexo I-G'!H87+'DCA-Anexo I-G'!H89+'DCA-Anexo I-G'!H88</f>
        <v>0</v>
      </c>
      <c r="I81" s="11">
        <f>+'DCA-Anexo I-G'!I82+'DCA-Anexo I-G'!I83+'DCA-Anexo I-G'!I84+'DCA-Anexo I-G'!I85+'DCA-Anexo I-G'!I86+'DCA-Anexo I-G'!I87+'DCA-Anexo I-G'!I89+'DCA-Anexo I-G'!I88</f>
        <v>0</v>
      </c>
      <c r="J81" s="11">
        <f>+'DCA-Anexo I-G'!J82+'DCA-Anexo I-G'!J83+'DCA-Anexo I-G'!J84+'DCA-Anexo I-G'!J85+'DCA-Anexo I-G'!J86+'DCA-Anexo I-G'!J87+'DCA-Anexo I-G'!J89+'DCA-Anexo I-G'!J88</f>
        <v>0</v>
      </c>
    </row>
    <row r="82" spans="1:10" ht="12.75" customHeight="1">
      <c r="A82" s="4" t="s">
        <v>2596</v>
      </c>
      <c r="B82" s="12"/>
      <c r="C82" s="12"/>
      <c r="D82" s="12"/>
      <c r="E82" s="12"/>
      <c r="F82" s="12"/>
      <c r="G82" s="12"/>
      <c r="H82" s="12"/>
      <c r="I82" s="12"/>
      <c r="J82" s="12"/>
    </row>
    <row r="83" spans="1:10" ht="12.75" customHeight="1">
      <c r="A83" s="3" t="s">
        <v>2597</v>
      </c>
      <c r="B83" s="11"/>
      <c r="C83" s="11"/>
      <c r="D83" s="11"/>
      <c r="E83" s="11"/>
      <c r="F83" s="11"/>
      <c r="G83" s="11"/>
      <c r="H83" s="11"/>
      <c r="I83" s="11"/>
      <c r="J83" s="11"/>
    </row>
    <row r="84" spans="1:10" ht="12.75" customHeight="1">
      <c r="A84" s="4" t="s">
        <v>2598</v>
      </c>
      <c r="B84" s="12"/>
      <c r="C84" s="12"/>
      <c r="D84" s="12"/>
      <c r="E84" s="12"/>
      <c r="F84" s="12"/>
      <c r="G84" s="12"/>
      <c r="H84" s="12"/>
      <c r="I84" s="12"/>
      <c r="J84" s="12"/>
    </row>
    <row r="85" spans="1:10" ht="12.75" customHeight="1">
      <c r="A85" s="3" t="s">
        <v>2599</v>
      </c>
      <c r="B85" s="11"/>
      <c r="C85" s="11"/>
      <c r="D85" s="11"/>
      <c r="E85" s="11"/>
      <c r="F85" s="11"/>
      <c r="G85" s="11"/>
      <c r="H85" s="11"/>
      <c r="I85" s="11"/>
      <c r="J85" s="11"/>
    </row>
    <row r="86" spans="1:10" ht="12.75" customHeight="1">
      <c r="A86" s="4" t="s">
        <v>2600</v>
      </c>
      <c r="B86" s="12"/>
      <c r="C86" s="12"/>
      <c r="D86" s="12"/>
      <c r="E86" s="12"/>
      <c r="F86" s="12"/>
      <c r="G86" s="12"/>
      <c r="H86" s="12"/>
      <c r="I86" s="12"/>
      <c r="J86" s="12"/>
    </row>
    <row r="87" spans="1:10" ht="12.75" customHeight="1">
      <c r="A87" s="3" t="s">
        <v>2601</v>
      </c>
      <c r="B87" s="11"/>
      <c r="C87" s="11"/>
      <c r="D87" s="11"/>
      <c r="E87" s="11"/>
      <c r="F87" s="11"/>
      <c r="G87" s="11"/>
      <c r="H87" s="11"/>
      <c r="I87" s="11"/>
      <c r="J87" s="11"/>
    </row>
    <row r="88" spans="1:10" ht="12.75" customHeight="1">
      <c r="A88" s="4" t="s">
        <v>2602</v>
      </c>
      <c r="B88" s="12"/>
      <c r="C88" s="12"/>
      <c r="D88" s="12"/>
      <c r="E88" s="12"/>
      <c r="F88" s="12"/>
      <c r="G88" s="12"/>
      <c r="H88" s="12"/>
      <c r="I88" s="12"/>
      <c r="J88" s="12"/>
    </row>
    <row r="89" spans="1:10" ht="12.75" customHeight="1">
      <c r="A89" s="3" t="s">
        <v>2603</v>
      </c>
      <c r="B89" s="11"/>
      <c r="C89" s="11"/>
      <c r="D89" s="11"/>
      <c r="E89" s="11"/>
      <c r="F89" s="11"/>
      <c r="G89" s="11"/>
      <c r="H89" s="11"/>
      <c r="I89" s="11"/>
      <c r="J89" s="11"/>
    </row>
    <row r="90" spans="1:10" ht="12.75" customHeight="1">
      <c r="A90" s="4" t="s">
        <v>2604</v>
      </c>
      <c r="B90" s="12">
        <f>+'DCA-Anexo I-G'!B91+'DCA-Anexo I-G'!B92+'DCA-Anexo I-G'!B93+'DCA-Anexo I-G'!B94+'DCA-Anexo I-G'!B96+'DCA-Anexo I-G'!B95</f>
        <v>0</v>
      </c>
      <c r="C90" s="12">
        <f>+'DCA-Anexo I-G'!C91+'DCA-Anexo I-G'!C92+'DCA-Anexo I-G'!C93+'DCA-Anexo I-G'!C94+'DCA-Anexo I-G'!C96+'DCA-Anexo I-G'!C95</f>
        <v>0</v>
      </c>
      <c r="D90" s="12">
        <f>+'DCA-Anexo I-G'!D91+'DCA-Anexo I-G'!D92+'DCA-Anexo I-G'!D93+'DCA-Anexo I-G'!D94+'DCA-Anexo I-G'!D96+'DCA-Anexo I-G'!D95</f>
        <v>0</v>
      </c>
      <c r="E90" s="12">
        <f>+'DCA-Anexo I-G'!E91+'DCA-Anexo I-G'!E92+'DCA-Anexo I-G'!E93+'DCA-Anexo I-G'!E94+'DCA-Anexo I-G'!E96+'DCA-Anexo I-G'!E95</f>
        <v>0</v>
      </c>
      <c r="F90" s="12">
        <f>+'DCA-Anexo I-G'!F91+'DCA-Anexo I-G'!F92+'DCA-Anexo I-G'!F93+'DCA-Anexo I-G'!F94+'DCA-Anexo I-G'!F96+'DCA-Anexo I-G'!F95</f>
        <v>0</v>
      </c>
      <c r="G90" s="12">
        <f>+'DCA-Anexo I-G'!G91+'DCA-Anexo I-G'!G92+'DCA-Anexo I-G'!G93+'DCA-Anexo I-G'!G94+'DCA-Anexo I-G'!G96+'DCA-Anexo I-G'!G95</f>
        <v>0</v>
      </c>
      <c r="H90" s="12">
        <f>+'DCA-Anexo I-G'!H91+'DCA-Anexo I-G'!H92+'DCA-Anexo I-G'!H93+'DCA-Anexo I-G'!H94+'DCA-Anexo I-G'!H96+'DCA-Anexo I-G'!H95</f>
        <v>0</v>
      </c>
      <c r="I90" s="12">
        <f>+'DCA-Anexo I-G'!I91+'DCA-Anexo I-G'!I92+'DCA-Anexo I-G'!I93+'DCA-Anexo I-G'!I94+'DCA-Anexo I-G'!I96+'DCA-Anexo I-G'!I95</f>
        <v>0</v>
      </c>
      <c r="J90" s="12">
        <f>+'DCA-Anexo I-G'!J91+'DCA-Anexo I-G'!J92+'DCA-Anexo I-G'!J93+'DCA-Anexo I-G'!J94+'DCA-Anexo I-G'!J96+'DCA-Anexo I-G'!J95</f>
        <v>0</v>
      </c>
    </row>
    <row r="91" spans="1:10" ht="12.75" customHeight="1">
      <c r="A91" s="3" t="s">
        <v>2605</v>
      </c>
      <c r="B91" s="11"/>
      <c r="C91" s="11"/>
      <c r="D91" s="11"/>
      <c r="E91" s="11"/>
      <c r="F91" s="11"/>
      <c r="G91" s="11"/>
      <c r="H91" s="11"/>
      <c r="I91" s="11"/>
      <c r="J91" s="11"/>
    </row>
    <row r="92" spans="1:10" ht="12.75" customHeight="1">
      <c r="A92" s="4" t="s">
        <v>2606</v>
      </c>
      <c r="B92" s="12"/>
      <c r="C92" s="12"/>
      <c r="D92" s="12"/>
      <c r="E92" s="12"/>
      <c r="F92" s="12"/>
      <c r="G92" s="12"/>
      <c r="H92" s="12"/>
      <c r="I92" s="12"/>
      <c r="J92" s="12"/>
    </row>
    <row r="93" spans="1:10" ht="12.75" customHeight="1">
      <c r="A93" s="3" t="s">
        <v>2607</v>
      </c>
      <c r="B93" s="11"/>
      <c r="C93" s="11"/>
      <c r="D93" s="11"/>
      <c r="E93" s="11"/>
      <c r="F93" s="11"/>
      <c r="G93" s="11"/>
      <c r="H93" s="11"/>
      <c r="I93" s="11"/>
      <c r="J93" s="11"/>
    </row>
    <row r="94" spans="1:10" ht="12.75" customHeight="1">
      <c r="A94" s="4" t="s">
        <v>2608</v>
      </c>
      <c r="B94" s="12"/>
      <c r="C94" s="12"/>
      <c r="D94" s="12"/>
      <c r="E94" s="12"/>
      <c r="F94" s="12"/>
      <c r="G94" s="12"/>
      <c r="H94" s="12"/>
      <c r="I94" s="12"/>
      <c r="J94" s="12"/>
    </row>
    <row r="95" spans="1:10" ht="12.75" customHeight="1">
      <c r="A95" s="3" t="s">
        <v>2609</v>
      </c>
      <c r="B95" s="11"/>
      <c r="C95" s="11"/>
      <c r="D95" s="11"/>
      <c r="E95" s="11"/>
      <c r="F95" s="11"/>
      <c r="G95" s="11"/>
      <c r="H95" s="11"/>
      <c r="I95" s="11"/>
      <c r="J95" s="11"/>
    </row>
    <row r="96" spans="1:10" ht="12.75" customHeight="1">
      <c r="A96" s="4" t="s">
        <v>2610</v>
      </c>
      <c r="B96" s="12"/>
      <c r="C96" s="12"/>
      <c r="D96" s="12"/>
      <c r="E96" s="12"/>
      <c r="F96" s="12"/>
      <c r="G96" s="12"/>
      <c r="H96" s="12"/>
      <c r="I96" s="12"/>
      <c r="J96" s="12"/>
    </row>
    <row r="97" spans="1:10" ht="12.75" customHeight="1">
      <c r="A97" s="3" t="s">
        <v>2611</v>
      </c>
      <c r="B97" s="11">
        <f>+'DCA-Anexo I-G'!B98+'DCA-Anexo I-G'!B99+'DCA-Anexo I-G'!B100+'DCA-Anexo I-G'!B101+'DCA-Anexo I-G'!B102+'DCA-Anexo I-G'!B103+'DCA-Anexo I-G'!B104+'DCA-Anexo I-G'!B105+'DCA-Anexo I-G'!B107+'DCA-Anexo I-G'!B106</f>
        <v>0</v>
      </c>
      <c r="C97" s="11">
        <f>+'DCA-Anexo I-G'!C98+'DCA-Anexo I-G'!C99+'DCA-Anexo I-G'!C100+'DCA-Anexo I-G'!C101+'DCA-Anexo I-G'!C102+'DCA-Anexo I-G'!C103+'DCA-Anexo I-G'!C104+'DCA-Anexo I-G'!C105+'DCA-Anexo I-G'!C107+'DCA-Anexo I-G'!C106</f>
        <v>0</v>
      </c>
      <c r="D97" s="11">
        <f>+'DCA-Anexo I-G'!D98+'DCA-Anexo I-G'!D99+'DCA-Anexo I-G'!D100+'DCA-Anexo I-G'!D101+'DCA-Anexo I-G'!D102+'DCA-Anexo I-G'!D103+'DCA-Anexo I-G'!D104+'DCA-Anexo I-G'!D105+'DCA-Anexo I-G'!D107+'DCA-Anexo I-G'!D106</f>
        <v>0</v>
      </c>
      <c r="E97" s="11">
        <f>+'DCA-Anexo I-G'!E98+'DCA-Anexo I-G'!E99+'DCA-Anexo I-G'!E100+'DCA-Anexo I-G'!E101+'DCA-Anexo I-G'!E102+'DCA-Anexo I-G'!E103+'DCA-Anexo I-G'!E104+'DCA-Anexo I-G'!E105+'DCA-Anexo I-G'!E107+'DCA-Anexo I-G'!E106</f>
        <v>0</v>
      </c>
      <c r="F97" s="11">
        <f>+'DCA-Anexo I-G'!F98+'DCA-Anexo I-G'!F99+'DCA-Anexo I-G'!F100+'DCA-Anexo I-G'!F101+'DCA-Anexo I-G'!F102+'DCA-Anexo I-G'!F103+'DCA-Anexo I-G'!F104+'DCA-Anexo I-G'!F105+'DCA-Anexo I-G'!F107+'DCA-Anexo I-G'!F106</f>
        <v>0</v>
      </c>
      <c r="G97" s="11">
        <f>+'DCA-Anexo I-G'!G98+'DCA-Anexo I-G'!G99+'DCA-Anexo I-G'!G100+'DCA-Anexo I-G'!G101+'DCA-Anexo I-G'!G102+'DCA-Anexo I-G'!G103+'DCA-Anexo I-G'!G104+'DCA-Anexo I-G'!G105+'DCA-Anexo I-G'!G107+'DCA-Anexo I-G'!G106</f>
        <v>0</v>
      </c>
      <c r="H97" s="11">
        <f>+'DCA-Anexo I-G'!H98+'DCA-Anexo I-G'!H99+'DCA-Anexo I-G'!H100+'DCA-Anexo I-G'!H101+'DCA-Anexo I-G'!H102+'DCA-Anexo I-G'!H103+'DCA-Anexo I-G'!H104+'DCA-Anexo I-G'!H105+'DCA-Anexo I-G'!H107+'DCA-Anexo I-G'!H106</f>
        <v>0</v>
      </c>
      <c r="I97" s="11">
        <f>+'DCA-Anexo I-G'!I98+'DCA-Anexo I-G'!I99+'DCA-Anexo I-G'!I100+'DCA-Anexo I-G'!I101+'DCA-Anexo I-G'!I102+'DCA-Anexo I-G'!I103+'DCA-Anexo I-G'!I104+'DCA-Anexo I-G'!I105+'DCA-Anexo I-G'!I107+'DCA-Anexo I-G'!I106</f>
        <v>0</v>
      </c>
      <c r="J97" s="11">
        <f>+'DCA-Anexo I-G'!J98+'DCA-Anexo I-G'!J99+'DCA-Anexo I-G'!J100+'DCA-Anexo I-G'!J101+'DCA-Anexo I-G'!J102+'DCA-Anexo I-G'!J103+'DCA-Anexo I-G'!J104+'DCA-Anexo I-G'!J105+'DCA-Anexo I-G'!J107+'DCA-Anexo I-G'!J106</f>
        <v>0</v>
      </c>
    </row>
    <row r="98" spans="1:10" ht="12.75" customHeight="1">
      <c r="A98" s="4" t="s">
        <v>2612</v>
      </c>
      <c r="B98" s="12"/>
      <c r="C98" s="12"/>
      <c r="D98" s="12"/>
      <c r="E98" s="12"/>
      <c r="F98" s="12"/>
      <c r="G98" s="12"/>
      <c r="H98" s="12"/>
      <c r="I98" s="12"/>
      <c r="J98" s="12"/>
    </row>
    <row r="99" spans="1:10" ht="12.75" customHeight="1">
      <c r="A99" s="3" t="s">
        <v>2613</v>
      </c>
      <c r="B99" s="11"/>
      <c r="C99" s="11"/>
      <c r="D99" s="11"/>
      <c r="E99" s="11"/>
      <c r="F99" s="11"/>
      <c r="G99" s="11"/>
      <c r="H99" s="11"/>
      <c r="I99" s="11"/>
      <c r="J99" s="11"/>
    </row>
    <row r="100" spans="1:10" ht="12.75" customHeight="1">
      <c r="A100" s="4" t="s">
        <v>2614</v>
      </c>
      <c r="B100" s="12"/>
      <c r="C100" s="12"/>
      <c r="D100" s="12"/>
      <c r="E100" s="12"/>
      <c r="F100" s="12"/>
      <c r="G100" s="12"/>
      <c r="H100" s="12"/>
      <c r="I100" s="12"/>
      <c r="J100" s="12"/>
    </row>
    <row r="101" spans="1:10" ht="12.75" customHeight="1">
      <c r="A101" s="3" t="s">
        <v>2615</v>
      </c>
      <c r="B101" s="11"/>
      <c r="C101" s="11"/>
      <c r="D101" s="11"/>
      <c r="E101" s="11"/>
      <c r="F101" s="11"/>
      <c r="G101" s="11"/>
      <c r="H101" s="11"/>
      <c r="I101" s="11"/>
      <c r="J101" s="11"/>
    </row>
    <row r="102" spans="1:10" ht="12.75" customHeight="1">
      <c r="A102" s="4" t="s">
        <v>2616</v>
      </c>
      <c r="B102" s="12"/>
      <c r="C102" s="12"/>
      <c r="D102" s="12"/>
      <c r="E102" s="12"/>
      <c r="F102" s="12"/>
      <c r="G102" s="12"/>
      <c r="H102" s="12"/>
      <c r="I102" s="12"/>
      <c r="J102" s="12"/>
    </row>
    <row r="103" spans="1:10" ht="12.75" customHeight="1">
      <c r="A103" s="3" t="s">
        <v>2617</v>
      </c>
      <c r="B103" s="11"/>
      <c r="C103" s="11"/>
      <c r="D103" s="11"/>
      <c r="E103" s="11"/>
      <c r="F103" s="11"/>
      <c r="G103" s="11"/>
      <c r="H103" s="11"/>
      <c r="I103" s="11"/>
      <c r="J103" s="11"/>
    </row>
    <row r="104" spans="1:10" ht="12.75" customHeight="1">
      <c r="A104" s="4" t="s">
        <v>2618</v>
      </c>
      <c r="B104" s="12"/>
      <c r="C104" s="12"/>
      <c r="D104" s="12"/>
      <c r="E104" s="12"/>
      <c r="F104" s="12"/>
      <c r="G104" s="12"/>
      <c r="H104" s="12"/>
      <c r="I104" s="12"/>
      <c r="J104" s="12"/>
    </row>
    <row r="105" spans="1:10" ht="12.75" customHeight="1">
      <c r="A105" s="3" t="s">
        <v>2619</v>
      </c>
      <c r="B105" s="11"/>
      <c r="C105" s="11"/>
      <c r="D105" s="11"/>
      <c r="E105" s="11"/>
      <c r="F105" s="11"/>
      <c r="G105" s="11"/>
      <c r="H105" s="11"/>
      <c r="I105" s="11"/>
      <c r="J105" s="11"/>
    </row>
    <row r="106" spans="1:10" ht="12.75" customHeight="1">
      <c r="A106" s="4" t="s">
        <v>2620</v>
      </c>
      <c r="B106" s="12"/>
      <c r="C106" s="12"/>
      <c r="D106" s="12"/>
      <c r="E106" s="12"/>
      <c r="F106" s="12"/>
      <c r="G106" s="12"/>
      <c r="H106" s="12"/>
      <c r="I106" s="12"/>
      <c r="J106" s="12"/>
    </row>
    <row r="107" spans="1:10" ht="12.75" customHeight="1">
      <c r="A107" s="3" t="s">
        <v>2621</v>
      </c>
      <c r="B107" s="11"/>
      <c r="C107" s="11"/>
      <c r="D107" s="11"/>
      <c r="E107" s="11"/>
      <c r="F107" s="11"/>
      <c r="G107" s="11"/>
      <c r="H107" s="11"/>
      <c r="I107" s="11"/>
      <c r="J107" s="11"/>
    </row>
    <row r="108" spans="1:10" ht="12.75" customHeight="1">
      <c r="A108" s="4" t="s">
        <v>2622</v>
      </c>
      <c r="B108" s="12">
        <f>+'DCA-Anexo I-G'!B109+'DCA-Anexo I-G'!B110+'DCA-Anexo I-G'!B112+'DCA-Anexo I-G'!B111</f>
        <v>0</v>
      </c>
      <c r="C108" s="12">
        <f>+'DCA-Anexo I-G'!C109+'DCA-Anexo I-G'!C110+'DCA-Anexo I-G'!C112+'DCA-Anexo I-G'!C111</f>
        <v>0</v>
      </c>
      <c r="D108" s="12">
        <f>+'DCA-Anexo I-G'!D109+'DCA-Anexo I-G'!D110+'DCA-Anexo I-G'!D112+'DCA-Anexo I-G'!D111</f>
        <v>0</v>
      </c>
      <c r="E108" s="12">
        <f>+'DCA-Anexo I-G'!E109+'DCA-Anexo I-G'!E110+'DCA-Anexo I-G'!E112+'DCA-Anexo I-G'!E111</f>
        <v>0</v>
      </c>
      <c r="F108" s="12">
        <f>+'DCA-Anexo I-G'!F109+'DCA-Anexo I-G'!F110+'DCA-Anexo I-G'!F112+'DCA-Anexo I-G'!F111</f>
        <v>0</v>
      </c>
      <c r="G108" s="12">
        <f>+'DCA-Anexo I-G'!G109+'DCA-Anexo I-G'!G110+'DCA-Anexo I-G'!G112+'DCA-Anexo I-G'!G111</f>
        <v>0</v>
      </c>
      <c r="H108" s="12">
        <f>+'DCA-Anexo I-G'!H109+'DCA-Anexo I-G'!H110+'DCA-Anexo I-G'!H112+'DCA-Anexo I-G'!H111</f>
        <v>0</v>
      </c>
      <c r="I108" s="12">
        <f>+'DCA-Anexo I-G'!I109+'DCA-Anexo I-G'!I110+'DCA-Anexo I-G'!I112+'DCA-Anexo I-G'!I111</f>
        <v>0</v>
      </c>
      <c r="J108" s="12">
        <f>+'DCA-Anexo I-G'!J109+'DCA-Anexo I-G'!J110+'DCA-Anexo I-G'!J112+'DCA-Anexo I-G'!J111</f>
        <v>0</v>
      </c>
    </row>
    <row r="109" spans="1:10" ht="12.75" customHeight="1">
      <c r="A109" s="3" t="s">
        <v>2623</v>
      </c>
      <c r="B109" s="11"/>
      <c r="C109" s="11"/>
      <c r="D109" s="11"/>
      <c r="E109" s="11"/>
      <c r="F109" s="11"/>
      <c r="G109" s="11"/>
      <c r="H109" s="11"/>
      <c r="I109" s="11"/>
      <c r="J109" s="11"/>
    </row>
    <row r="110" spans="1:10" ht="12.75" customHeight="1">
      <c r="A110" s="4" t="s">
        <v>2624</v>
      </c>
      <c r="B110" s="12"/>
      <c r="C110" s="12"/>
      <c r="D110" s="12"/>
      <c r="E110" s="12"/>
      <c r="F110" s="12"/>
      <c r="G110" s="12"/>
      <c r="H110" s="12"/>
      <c r="I110" s="12"/>
      <c r="J110" s="12"/>
    </row>
    <row r="111" spans="1:10" ht="12.75" customHeight="1">
      <c r="A111" s="3" t="s">
        <v>2625</v>
      </c>
      <c r="B111" s="11"/>
      <c r="C111" s="11"/>
      <c r="D111" s="11"/>
      <c r="E111" s="11"/>
      <c r="F111" s="11"/>
      <c r="G111" s="11"/>
      <c r="H111" s="11"/>
      <c r="I111" s="11"/>
      <c r="J111" s="11"/>
    </row>
    <row r="112" spans="1:10" ht="12.75" customHeight="1">
      <c r="A112" s="4" t="s">
        <v>2626</v>
      </c>
      <c r="B112" s="12"/>
      <c r="C112" s="12"/>
      <c r="D112" s="12"/>
      <c r="E112" s="12"/>
      <c r="F112" s="12"/>
      <c r="G112" s="12"/>
      <c r="H112" s="12"/>
      <c r="I112" s="12"/>
      <c r="J112" s="12"/>
    </row>
    <row r="113" spans="1:10" ht="12.75" customHeight="1">
      <c r="A113" s="3" t="s">
        <v>2627</v>
      </c>
      <c r="B113" s="11">
        <f>+'DCA-Anexo I-G'!B114+'DCA-Anexo I-G'!B115+'DCA-Anexo I-G'!B116+'DCA-Anexo I-G'!B118+'DCA-Anexo I-G'!B117</f>
        <v>0</v>
      </c>
      <c r="C113" s="11">
        <f>+'DCA-Anexo I-G'!C114+'DCA-Anexo I-G'!C115+'DCA-Anexo I-G'!C116+'DCA-Anexo I-G'!C118+'DCA-Anexo I-G'!C117</f>
        <v>0</v>
      </c>
      <c r="D113" s="11">
        <f>+'DCA-Anexo I-G'!D114+'DCA-Anexo I-G'!D115+'DCA-Anexo I-G'!D116+'DCA-Anexo I-G'!D118+'DCA-Anexo I-G'!D117</f>
        <v>0</v>
      </c>
      <c r="E113" s="11">
        <f>+'DCA-Anexo I-G'!E114+'DCA-Anexo I-G'!E115+'DCA-Anexo I-G'!E116+'DCA-Anexo I-G'!E118+'DCA-Anexo I-G'!E117</f>
        <v>0</v>
      </c>
      <c r="F113" s="11">
        <f>+'DCA-Anexo I-G'!F114+'DCA-Anexo I-G'!F115+'DCA-Anexo I-G'!F116+'DCA-Anexo I-G'!F118+'DCA-Anexo I-G'!F117</f>
        <v>0</v>
      </c>
      <c r="G113" s="11">
        <f>+'DCA-Anexo I-G'!G114+'DCA-Anexo I-G'!G115+'DCA-Anexo I-G'!G116+'DCA-Anexo I-G'!G118+'DCA-Anexo I-G'!G117</f>
        <v>0</v>
      </c>
      <c r="H113" s="11">
        <f>+'DCA-Anexo I-G'!H114+'DCA-Anexo I-G'!H115+'DCA-Anexo I-G'!H116+'DCA-Anexo I-G'!H118+'DCA-Anexo I-G'!H117</f>
        <v>0</v>
      </c>
      <c r="I113" s="11">
        <f>+'DCA-Anexo I-G'!I114+'DCA-Anexo I-G'!I115+'DCA-Anexo I-G'!I116+'DCA-Anexo I-G'!I118+'DCA-Anexo I-G'!I117</f>
        <v>0</v>
      </c>
      <c r="J113" s="11">
        <f>+'DCA-Anexo I-G'!J114+'DCA-Anexo I-G'!J115+'DCA-Anexo I-G'!J116+'DCA-Anexo I-G'!J118+'DCA-Anexo I-G'!J117</f>
        <v>0</v>
      </c>
    </row>
    <row r="114" spans="1:10" ht="12.75" customHeight="1">
      <c r="A114" s="4" t="s">
        <v>2628</v>
      </c>
      <c r="B114" s="12"/>
      <c r="C114" s="12"/>
      <c r="D114" s="12"/>
      <c r="E114" s="12"/>
      <c r="F114" s="12"/>
      <c r="G114" s="12"/>
      <c r="H114" s="12"/>
      <c r="I114" s="12"/>
      <c r="J114" s="12"/>
    </row>
    <row r="115" spans="1:10" ht="12.75" customHeight="1">
      <c r="A115" s="3" t="s">
        <v>2629</v>
      </c>
      <c r="B115" s="11"/>
      <c r="C115" s="11"/>
      <c r="D115" s="11"/>
      <c r="E115" s="11"/>
      <c r="F115" s="11"/>
      <c r="G115" s="11"/>
      <c r="H115" s="11"/>
      <c r="I115" s="11"/>
      <c r="J115" s="11"/>
    </row>
    <row r="116" spans="1:10" ht="12.75" customHeight="1">
      <c r="A116" s="4" t="s">
        <v>2630</v>
      </c>
      <c r="B116" s="12"/>
      <c r="C116" s="12"/>
      <c r="D116" s="12"/>
      <c r="E116" s="12"/>
      <c r="F116" s="12"/>
      <c r="G116" s="12"/>
      <c r="H116" s="12"/>
      <c r="I116" s="12"/>
      <c r="J116" s="12"/>
    </row>
    <row r="117" spans="1:10" ht="12.75" customHeight="1">
      <c r="A117" s="3" t="s">
        <v>2631</v>
      </c>
      <c r="B117" s="11"/>
      <c r="C117" s="11"/>
      <c r="D117" s="11"/>
      <c r="E117" s="11"/>
      <c r="F117" s="11"/>
      <c r="G117" s="11"/>
      <c r="H117" s="11"/>
      <c r="I117" s="11"/>
      <c r="J117" s="11"/>
    </row>
    <row r="118" spans="1:10" ht="12.75" customHeight="1">
      <c r="A118" s="4" t="s">
        <v>2632</v>
      </c>
      <c r="B118" s="12"/>
      <c r="C118" s="12"/>
      <c r="D118" s="12"/>
      <c r="E118" s="12"/>
      <c r="F118" s="12"/>
      <c r="G118" s="12"/>
      <c r="H118" s="12"/>
      <c r="I118" s="12"/>
      <c r="J118" s="12"/>
    </row>
    <row r="119" spans="1:10" ht="12.75" customHeight="1">
      <c r="A119" s="3" t="s">
        <v>2633</v>
      </c>
      <c r="B119" s="11">
        <f>+'DCA-Anexo I-G'!B120+'DCA-Anexo I-G'!B121+'DCA-Anexo I-G'!B122+'DCA-Anexo I-G'!B124+'DCA-Anexo I-G'!B123</f>
        <v>0</v>
      </c>
      <c r="C119" s="11">
        <f>+'DCA-Anexo I-G'!C120+'DCA-Anexo I-G'!C121+'DCA-Anexo I-G'!C122+'DCA-Anexo I-G'!C124+'DCA-Anexo I-G'!C123</f>
        <v>0</v>
      </c>
      <c r="D119" s="11">
        <f>+'DCA-Anexo I-G'!D120+'DCA-Anexo I-G'!D121+'DCA-Anexo I-G'!D122+'DCA-Anexo I-G'!D124+'DCA-Anexo I-G'!D123</f>
        <v>0</v>
      </c>
      <c r="E119" s="11">
        <f>+'DCA-Anexo I-G'!E120+'DCA-Anexo I-G'!E121+'DCA-Anexo I-G'!E122+'DCA-Anexo I-G'!E124+'DCA-Anexo I-G'!E123</f>
        <v>0</v>
      </c>
      <c r="F119" s="11">
        <f>+'DCA-Anexo I-G'!F120+'DCA-Anexo I-G'!F121+'DCA-Anexo I-G'!F122+'DCA-Anexo I-G'!F124+'DCA-Anexo I-G'!F123</f>
        <v>0</v>
      </c>
      <c r="G119" s="11">
        <f>+'DCA-Anexo I-G'!G120+'DCA-Anexo I-G'!G121+'DCA-Anexo I-G'!G122+'DCA-Anexo I-G'!G124+'DCA-Anexo I-G'!G123</f>
        <v>0</v>
      </c>
      <c r="H119" s="11">
        <f>+'DCA-Anexo I-G'!H120+'DCA-Anexo I-G'!H121+'DCA-Anexo I-G'!H122+'DCA-Anexo I-G'!H124+'DCA-Anexo I-G'!H123</f>
        <v>0</v>
      </c>
      <c r="I119" s="11">
        <f>+'DCA-Anexo I-G'!I120+'DCA-Anexo I-G'!I121+'DCA-Anexo I-G'!I122+'DCA-Anexo I-G'!I124+'DCA-Anexo I-G'!I123</f>
        <v>0</v>
      </c>
      <c r="J119" s="11">
        <f>+'DCA-Anexo I-G'!J120+'DCA-Anexo I-G'!J121+'DCA-Anexo I-G'!J122+'DCA-Anexo I-G'!J124+'DCA-Anexo I-G'!J123</f>
        <v>0</v>
      </c>
    </row>
    <row r="120" spans="1:10" ht="12.75" customHeight="1">
      <c r="A120" s="4" t="s">
        <v>2634</v>
      </c>
      <c r="B120" s="12"/>
      <c r="C120" s="12"/>
      <c r="D120" s="12"/>
      <c r="E120" s="12"/>
      <c r="F120" s="12"/>
      <c r="G120" s="12"/>
      <c r="H120" s="12"/>
      <c r="I120" s="12"/>
      <c r="J120" s="12"/>
    </row>
    <row r="121" spans="1:10" ht="12.75" customHeight="1">
      <c r="A121" s="3" t="s">
        <v>2635</v>
      </c>
      <c r="B121" s="11"/>
      <c r="C121" s="11"/>
      <c r="D121" s="11"/>
      <c r="E121" s="11"/>
      <c r="F121" s="11"/>
      <c r="G121" s="11"/>
      <c r="H121" s="11"/>
      <c r="I121" s="11"/>
      <c r="J121" s="11"/>
    </row>
    <row r="122" spans="1:10" ht="12.75" customHeight="1">
      <c r="A122" s="4" t="s">
        <v>2636</v>
      </c>
      <c r="B122" s="12"/>
      <c r="C122" s="12"/>
      <c r="D122" s="12"/>
      <c r="E122" s="12"/>
      <c r="F122" s="12"/>
      <c r="G122" s="12"/>
      <c r="H122" s="12"/>
      <c r="I122" s="12"/>
      <c r="J122" s="12"/>
    </row>
    <row r="123" spans="1:10" ht="12.75" customHeight="1">
      <c r="A123" s="3" t="s">
        <v>2637</v>
      </c>
      <c r="B123" s="11"/>
      <c r="C123" s="11"/>
      <c r="D123" s="11"/>
      <c r="E123" s="11"/>
      <c r="F123" s="11"/>
      <c r="G123" s="11"/>
      <c r="H123" s="11"/>
      <c r="I123" s="11"/>
      <c r="J123" s="11"/>
    </row>
    <row r="124" spans="1:10" ht="12.75" customHeight="1">
      <c r="A124" s="4" t="s">
        <v>2638</v>
      </c>
      <c r="B124" s="12"/>
      <c r="C124" s="12"/>
      <c r="D124" s="12"/>
      <c r="E124" s="12"/>
      <c r="F124" s="12"/>
      <c r="G124" s="12"/>
      <c r="H124" s="12"/>
      <c r="I124" s="12"/>
      <c r="J124" s="12"/>
    </row>
    <row r="125" spans="1:10" ht="12.75" customHeight="1">
      <c r="A125" s="3" t="s">
        <v>2639</v>
      </c>
      <c r="B125" s="11">
        <f>+'DCA-Anexo I-G'!B126+'DCA-Anexo I-G'!B127+'DCA-Anexo I-G'!B129+'DCA-Anexo I-G'!B128</f>
        <v>0</v>
      </c>
      <c r="C125" s="11">
        <f>+'DCA-Anexo I-G'!C126+'DCA-Anexo I-G'!C127+'DCA-Anexo I-G'!C129+'DCA-Anexo I-G'!C128</f>
        <v>0</v>
      </c>
      <c r="D125" s="11">
        <f>+'DCA-Anexo I-G'!D126+'DCA-Anexo I-G'!D127+'DCA-Anexo I-G'!D129+'DCA-Anexo I-G'!D128</f>
        <v>0</v>
      </c>
      <c r="E125" s="11">
        <f>+'DCA-Anexo I-G'!E126+'DCA-Anexo I-G'!E127+'DCA-Anexo I-G'!E129+'DCA-Anexo I-G'!E128</f>
        <v>0</v>
      </c>
      <c r="F125" s="11">
        <f>+'DCA-Anexo I-G'!F126+'DCA-Anexo I-G'!F127+'DCA-Anexo I-G'!F129+'DCA-Anexo I-G'!F128</f>
        <v>0</v>
      </c>
      <c r="G125" s="11">
        <f>+'DCA-Anexo I-G'!G126+'DCA-Anexo I-G'!G127+'DCA-Anexo I-G'!G129+'DCA-Anexo I-G'!G128</f>
        <v>0</v>
      </c>
      <c r="H125" s="11">
        <f>+'DCA-Anexo I-G'!H126+'DCA-Anexo I-G'!H127+'DCA-Anexo I-G'!H129+'DCA-Anexo I-G'!H128</f>
        <v>0</v>
      </c>
      <c r="I125" s="11">
        <f>+'DCA-Anexo I-G'!I126+'DCA-Anexo I-G'!I127+'DCA-Anexo I-G'!I129+'DCA-Anexo I-G'!I128</f>
        <v>0</v>
      </c>
      <c r="J125" s="11">
        <f>+'DCA-Anexo I-G'!J126+'DCA-Anexo I-G'!J127+'DCA-Anexo I-G'!J129+'DCA-Anexo I-G'!J128</f>
        <v>0</v>
      </c>
    </row>
    <row r="126" spans="1:10" ht="12.75" customHeight="1">
      <c r="A126" s="4" t="s">
        <v>2640</v>
      </c>
      <c r="B126" s="12"/>
      <c r="C126" s="12"/>
      <c r="D126" s="12"/>
      <c r="E126" s="12"/>
      <c r="F126" s="12"/>
      <c r="G126" s="12"/>
      <c r="H126" s="12"/>
      <c r="I126" s="12"/>
      <c r="J126" s="12"/>
    </row>
    <row r="127" spans="1:10" ht="12.75" customHeight="1">
      <c r="A127" s="3" t="s">
        <v>2641</v>
      </c>
      <c r="B127" s="11"/>
      <c r="C127" s="11"/>
      <c r="D127" s="11"/>
      <c r="E127" s="11"/>
      <c r="F127" s="11"/>
      <c r="G127" s="11"/>
      <c r="H127" s="11"/>
      <c r="I127" s="11"/>
      <c r="J127" s="11"/>
    </row>
    <row r="128" spans="1:10" ht="12.75" customHeight="1">
      <c r="A128" s="4" t="s">
        <v>2642</v>
      </c>
      <c r="B128" s="12"/>
      <c r="C128" s="12"/>
      <c r="D128" s="12"/>
      <c r="E128" s="12"/>
      <c r="F128" s="12"/>
      <c r="G128" s="12"/>
      <c r="H128" s="12"/>
      <c r="I128" s="12"/>
      <c r="J128" s="12"/>
    </row>
    <row r="129" spans="1:10" ht="12.75" customHeight="1">
      <c r="A129" s="3" t="s">
        <v>2643</v>
      </c>
      <c r="B129" s="11"/>
      <c r="C129" s="11"/>
      <c r="D129" s="11"/>
      <c r="E129" s="11"/>
      <c r="F129" s="11"/>
      <c r="G129" s="11"/>
      <c r="H129" s="11"/>
      <c r="I129" s="11"/>
      <c r="J129" s="11"/>
    </row>
    <row r="130" spans="1:10" ht="12.75" customHeight="1">
      <c r="A130" s="4" t="s">
        <v>2644</v>
      </c>
      <c r="B130" s="12">
        <f>+'DCA-Anexo I-G'!B131+'DCA-Anexo I-G'!B132+'DCA-Anexo I-G'!B134+'DCA-Anexo I-G'!B133</f>
        <v>0</v>
      </c>
      <c r="C130" s="12">
        <f>+'DCA-Anexo I-G'!C131+'DCA-Anexo I-G'!C132+'DCA-Anexo I-G'!C134+'DCA-Anexo I-G'!C133</f>
        <v>0</v>
      </c>
      <c r="D130" s="12">
        <f>+'DCA-Anexo I-G'!D131+'DCA-Anexo I-G'!D132+'DCA-Anexo I-G'!D134+'DCA-Anexo I-G'!D133</f>
        <v>0</v>
      </c>
      <c r="E130" s="12">
        <f>+'DCA-Anexo I-G'!E131+'DCA-Anexo I-G'!E132+'DCA-Anexo I-G'!E134+'DCA-Anexo I-G'!E133</f>
        <v>0</v>
      </c>
      <c r="F130" s="12">
        <f>+'DCA-Anexo I-G'!F131+'DCA-Anexo I-G'!F132+'DCA-Anexo I-G'!F134+'DCA-Anexo I-G'!F133</f>
        <v>0</v>
      </c>
      <c r="G130" s="12">
        <f>+'DCA-Anexo I-G'!G131+'DCA-Anexo I-G'!G132+'DCA-Anexo I-G'!G134+'DCA-Anexo I-G'!G133</f>
        <v>0</v>
      </c>
      <c r="H130" s="12">
        <f>+'DCA-Anexo I-G'!H131+'DCA-Anexo I-G'!H132+'DCA-Anexo I-G'!H134+'DCA-Anexo I-G'!H133</f>
        <v>0</v>
      </c>
      <c r="I130" s="12">
        <f>+'DCA-Anexo I-G'!I131+'DCA-Anexo I-G'!I132+'DCA-Anexo I-G'!I134+'DCA-Anexo I-G'!I133</f>
        <v>0</v>
      </c>
      <c r="J130" s="12">
        <f>+'DCA-Anexo I-G'!J131+'DCA-Anexo I-G'!J132+'DCA-Anexo I-G'!J134+'DCA-Anexo I-G'!J133</f>
        <v>0</v>
      </c>
    </row>
    <row r="131" spans="1:10" ht="12.75" customHeight="1">
      <c r="A131" s="3" t="s">
        <v>2645</v>
      </c>
      <c r="B131" s="11"/>
      <c r="C131" s="11"/>
      <c r="D131" s="11"/>
      <c r="E131" s="11"/>
      <c r="F131" s="11"/>
      <c r="G131" s="11"/>
      <c r="H131" s="11"/>
      <c r="I131" s="11"/>
      <c r="J131" s="11"/>
    </row>
    <row r="132" spans="1:10" ht="12.75" customHeight="1">
      <c r="A132" s="4" t="s">
        <v>2646</v>
      </c>
      <c r="B132" s="12"/>
      <c r="C132" s="12"/>
      <c r="D132" s="12"/>
      <c r="E132" s="12"/>
      <c r="F132" s="12"/>
      <c r="G132" s="12"/>
      <c r="H132" s="12"/>
      <c r="I132" s="12"/>
      <c r="J132" s="12"/>
    </row>
    <row r="133" spans="1:10" ht="12.75" customHeight="1">
      <c r="A133" s="3" t="s">
        <v>2647</v>
      </c>
      <c r="B133" s="11"/>
      <c r="C133" s="11"/>
      <c r="D133" s="11"/>
      <c r="E133" s="11"/>
      <c r="F133" s="11"/>
      <c r="G133" s="11"/>
      <c r="H133" s="11"/>
      <c r="I133" s="11"/>
      <c r="J133" s="11"/>
    </row>
    <row r="134" spans="1:10" ht="12.75" customHeight="1">
      <c r="A134" s="4" t="s">
        <v>2648</v>
      </c>
      <c r="B134" s="12"/>
      <c r="C134" s="12"/>
      <c r="D134" s="12"/>
      <c r="E134" s="12"/>
      <c r="F134" s="12"/>
      <c r="G134" s="12"/>
      <c r="H134" s="12"/>
      <c r="I134" s="12"/>
      <c r="J134" s="12"/>
    </row>
    <row r="135" spans="1:10" ht="12.75" customHeight="1">
      <c r="A135" s="3" t="s">
        <v>2649</v>
      </c>
      <c r="B135" s="11">
        <f>+'DCA-Anexo I-G'!B136+'DCA-Anexo I-G'!B137+'DCA-Anexo I-G'!B138+'DCA-Anexo I-G'!B139+'DCA-Anexo I-G'!B140+'DCA-Anexo I-G'!B142+'DCA-Anexo I-G'!B141</f>
        <v>0</v>
      </c>
      <c r="C135" s="11">
        <f>+'DCA-Anexo I-G'!C136+'DCA-Anexo I-G'!C137+'DCA-Anexo I-G'!C138+'DCA-Anexo I-G'!C139+'DCA-Anexo I-G'!C140+'DCA-Anexo I-G'!C142+'DCA-Anexo I-G'!C141</f>
        <v>0</v>
      </c>
      <c r="D135" s="11">
        <f>+'DCA-Anexo I-G'!D136+'DCA-Anexo I-G'!D137+'DCA-Anexo I-G'!D138+'DCA-Anexo I-G'!D139+'DCA-Anexo I-G'!D140+'DCA-Anexo I-G'!D142+'DCA-Anexo I-G'!D141</f>
        <v>0</v>
      </c>
      <c r="E135" s="11">
        <f>+'DCA-Anexo I-G'!E136+'DCA-Anexo I-G'!E137+'DCA-Anexo I-G'!E138+'DCA-Anexo I-G'!E139+'DCA-Anexo I-G'!E140+'DCA-Anexo I-G'!E142+'DCA-Anexo I-G'!E141</f>
        <v>0</v>
      </c>
      <c r="F135" s="11">
        <f>+'DCA-Anexo I-G'!F136+'DCA-Anexo I-G'!F137+'DCA-Anexo I-G'!F138+'DCA-Anexo I-G'!F139+'DCA-Anexo I-G'!F140+'DCA-Anexo I-G'!F142+'DCA-Anexo I-G'!F141</f>
        <v>0</v>
      </c>
      <c r="G135" s="11">
        <f>+'DCA-Anexo I-G'!G136+'DCA-Anexo I-G'!G137+'DCA-Anexo I-G'!G138+'DCA-Anexo I-G'!G139+'DCA-Anexo I-G'!G140+'DCA-Anexo I-G'!G142+'DCA-Anexo I-G'!G141</f>
        <v>0</v>
      </c>
      <c r="H135" s="11">
        <f>+'DCA-Anexo I-G'!H136+'DCA-Anexo I-G'!H137+'DCA-Anexo I-G'!H138+'DCA-Anexo I-G'!H139+'DCA-Anexo I-G'!H140+'DCA-Anexo I-G'!H142+'DCA-Anexo I-G'!H141</f>
        <v>0</v>
      </c>
      <c r="I135" s="11">
        <f>+'DCA-Anexo I-G'!I136+'DCA-Anexo I-G'!I137+'DCA-Anexo I-G'!I138+'DCA-Anexo I-G'!I139+'DCA-Anexo I-G'!I140+'DCA-Anexo I-G'!I142+'DCA-Anexo I-G'!I141</f>
        <v>0</v>
      </c>
      <c r="J135" s="11">
        <f>+'DCA-Anexo I-G'!J136+'DCA-Anexo I-G'!J137+'DCA-Anexo I-G'!J138+'DCA-Anexo I-G'!J139+'DCA-Anexo I-G'!J140+'DCA-Anexo I-G'!J142+'DCA-Anexo I-G'!J141</f>
        <v>0</v>
      </c>
    </row>
    <row r="136" spans="1:10" ht="12.75" customHeight="1">
      <c r="A136" s="4" t="s">
        <v>2650</v>
      </c>
      <c r="B136" s="12"/>
      <c r="C136" s="12"/>
      <c r="D136" s="12"/>
      <c r="E136" s="12"/>
      <c r="F136" s="12"/>
      <c r="G136" s="12"/>
      <c r="H136" s="12"/>
      <c r="I136" s="12"/>
      <c r="J136" s="12"/>
    </row>
    <row r="137" spans="1:10" ht="12.75" customHeight="1">
      <c r="A137" s="3" t="s">
        <v>2651</v>
      </c>
      <c r="B137" s="11"/>
      <c r="C137" s="11"/>
      <c r="D137" s="11"/>
      <c r="E137" s="11"/>
      <c r="F137" s="11"/>
      <c r="G137" s="11"/>
      <c r="H137" s="11"/>
      <c r="I137" s="11"/>
      <c r="J137" s="11"/>
    </row>
    <row r="138" spans="1:10" ht="12.75" customHeight="1">
      <c r="A138" s="4" t="s">
        <v>2652</v>
      </c>
      <c r="B138" s="12"/>
      <c r="C138" s="12"/>
      <c r="D138" s="12"/>
      <c r="E138" s="12"/>
      <c r="F138" s="12"/>
      <c r="G138" s="12"/>
      <c r="H138" s="12"/>
      <c r="I138" s="12"/>
      <c r="J138" s="12"/>
    </row>
    <row r="139" spans="1:10" ht="12.75" customHeight="1">
      <c r="A139" s="3" t="s">
        <v>2653</v>
      </c>
      <c r="B139" s="11"/>
      <c r="C139" s="11"/>
      <c r="D139" s="11"/>
      <c r="E139" s="11"/>
      <c r="F139" s="11"/>
      <c r="G139" s="11"/>
      <c r="H139" s="11"/>
      <c r="I139" s="11"/>
      <c r="J139" s="11"/>
    </row>
    <row r="140" spans="1:10" ht="12.75" customHeight="1">
      <c r="A140" s="4" t="s">
        <v>2654</v>
      </c>
      <c r="B140" s="12"/>
      <c r="C140" s="12"/>
      <c r="D140" s="12"/>
      <c r="E140" s="12"/>
      <c r="F140" s="12"/>
      <c r="G140" s="12"/>
      <c r="H140" s="12"/>
      <c r="I140" s="12"/>
      <c r="J140" s="12"/>
    </row>
    <row r="141" spans="1:10" ht="12.75" customHeight="1">
      <c r="A141" s="3" t="s">
        <v>2655</v>
      </c>
      <c r="B141" s="11"/>
      <c r="C141" s="11"/>
      <c r="D141" s="11"/>
      <c r="E141" s="11"/>
      <c r="F141" s="11"/>
      <c r="G141" s="11"/>
      <c r="H141" s="11"/>
      <c r="I141" s="11"/>
      <c r="J141" s="11"/>
    </row>
    <row r="142" spans="1:10" ht="12.75" customHeight="1">
      <c r="A142" s="4" t="s">
        <v>2656</v>
      </c>
      <c r="B142" s="12"/>
      <c r="C142" s="12"/>
      <c r="D142" s="12"/>
      <c r="E142" s="12"/>
      <c r="F142" s="12"/>
      <c r="G142" s="12"/>
      <c r="H142" s="12"/>
      <c r="I142" s="12"/>
      <c r="J142" s="12"/>
    </row>
    <row r="143" spans="1:10" ht="12.75" customHeight="1">
      <c r="A143" s="3" t="s">
        <v>2657</v>
      </c>
      <c r="B143" s="11">
        <f>+'DCA-Anexo I-G'!B144+'DCA-Anexo I-G'!B145+'DCA-Anexo I-G'!B146+'DCA-Anexo I-G'!B148+'DCA-Anexo I-G'!B147</f>
        <v>0</v>
      </c>
      <c r="C143" s="11">
        <f>+'DCA-Anexo I-G'!C144+'DCA-Anexo I-G'!C145+'DCA-Anexo I-G'!C146+'DCA-Anexo I-G'!C148+'DCA-Anexo I-G'!C147</f>
        <v>0</v>
      </c>
      <c r="D143" s="11">
        <f>+'DCA-Anexo I-G'!D144+'DCA-Anexo I-G'!D145+'DCA-Anexo I-G'!D146+'DCA-Anexo I-G'!D148+'DCA-Anexo I-G'!D147</f>
        <v>0</v>
      </c>
      <c r="E143" s="11">
        <f>+'DCA-Anexo I-G'!E144+'DCA-Anexo I-G'!E145+'DCA-Anexo I-G'!E146+'DCA-Anexo I-G'!E148+'DCA-Anexo I-G'!E147</f>
        <v>0</v>
      </c>
      <c r="F143" s="11">
        <f>+'DCA-Anexo I-G'!F144+'DCA-Anexo I-G'!F145+'DCA-Anexo I-G'!F146+'DCA-Anexo I-G'!F148+'DCA-Anexo I-G'!F147</f>
        <v>0</v>
      </c>
      <c r="G143" s="11">
        <f>+'DCA-Anexo I-G'!G144+'DCA-Anexo I-G'!G145+'DCA-Anexo I-G'!G146+'DCA-Anexo I-G'!G148+'DCA-Anexo I-G'!G147</f>
        <v>0</v>
      </c>
      <c r="H143" s="11">
        <f>+'DCA-Anexo I-G'!H144+'DCA-Anexo I-G'!H145+'DCA-Anexo I-G'!H146+'DCA-Anexo I-G'!H148+'DCA-Anexo I-G'!H147</f>
        <v>0</v>
      </c>
      <c r="I143" s="11">
        <f>+'DCA-Anexo I-G'!I144+'DCA-Anexo I-G'!I145+'DCA-Anexo I-G'!I146+'DCA-Anexo I-G'!I148+'DCA-Anexo I-G'!I147</f>
        <v>0</v>
      </c>
      <c r="J143" s="11">
        <f>+'DCA-Anexo I-G'!J144+'DCA-Anexo I-G'!J145+'DCA-Anexo I-G'!J146+'DCA-Anexo I-G'!J148+'DCA-Anexo I-G'!J147</f>
        <v>0</v>
      </c>
    </row>
    <row r="144" spans="1:10" ht="12.75" customHeight="1">
      <c r="A144" s="4" t="s">
        <v>2658</v>
      </c>
      <c r="B144" s="12"/>
      <c r="C144" s="12"/>
      <c r="D144" s="12"/>
      <c r="E144" s="12"/>
      <c r="F144" s="12"/>
      <c r="G144" s="12"/>
      <c r="H144" s="12"/>
      <c r="I144" s="12"/>
      <c r="J144" s="12"/>
    </row>
    <row r="145" spans="1:10" ht="12.75" customHeight="1">
      <c r="A145" s="3" t="s">
        <v>2659</v>
      </c>
      <c r="B145" s="11"/>
      <c r="C145" s="11"/>
      <c r="D145" s="11"/>
      <c r="E145" s="11"/>
      <c r="F145" s="11"/>
      <c r="G145" s="11"/>
      <c r="H145" s="11"/>
      <c r="I145" s="11"/>
      <c r="J145" s="11"/>
    </row>
    <row r="146" spans="1:10" ht="12.75" customHeight="1">
      <c r="A146" s="4" t="s">
        <v>2660</v>
      </c>
      <c r="B146" s="12"/>
      <c r="C146" s="12"/>
      <c r="D146" s="12"/>
      <c r="E146" s="12"/>
      <c r="F146" s="12"/>
      <c r="G146" s="12"/>
      <c r="H146" s="12"/>
      <c r="I146" s="12"/>
      <c r="J146" s="12"/>
    </row>
    <row r="147" spans="1:10" ht="12.75" customHeight="1">
      <c r="A147" s="3" t="s">
        <v>2661</v>
      </c>
      <c r="B147" s="11"/>
      <c r="C147" s="11"/>
      <c r="D147" s="11"/>
      <c r="E147" s="11"/>
      <c r="F147" s="11"/>
      <c r="G147" s="11"/>
      <c r="H147" s="11"/>
      <c r="I147" s="11"/>
      <c r="J147" s="11"/>
    </row>
    <row r="148" spans="1:10" ht="12.75" customHeight="1">
      <c r="A148" s="4" t="s">
        <v>2662</v>
      </c>
      <c r="B148" s="12"/>
      <c r="C148" s="12"/>
      <c r="D148" s="12"/>
      <c r="E148" s="12"/>
      <c r="F148" s="12"/>
      <c r="G148" s="12"/>
      <c r="H148" s="12"/>
      <c r="I148" s="12"/>
      <c r="J148" s="12"/>
    </row>
    <row r="149" spans="1:10" ht="12.75" customHeight="1">
      <c r="A149" s="3" t="s">
        <v>2663</v>
      </c>
      <c r="B149" s="11">
        <f>+'DCA-Anexo I-G'!B150+'DCA-Anexo I-G'!B151+'DCA-Anexo I-G'!B152+'DCA-Anexo I-G'!B153+'DCA-Anexo I-G'!B154+'DCA-Anexo I-G'!B156+'DCA-Anexo I-G'!B155</f>
        <v>0</v>
      </c>
      <c r="C149" s="11">
        <f>+'DCA-Anexo I-G'!C150+'DCA-Anexo I-G'!C151+'DCA-Anexo I-G'!C152+'DCA-Anexo I-G'!C153+'DCA-Anexo I-G'!C154+'DCA-Anexo I-G'!C156+'DCA-Anexo I-G'!C155</f>
        <v>0</v>
      </c>
      <c r="D149" s="11">
        <f>+'DCA-Anexo I-G'!D150+'DCA-Anexo I-G'!D151+'DCA-Anexo I-G'!D152+'DCA-Anexo I-G'!D153+'DCA-Anexo I-G'!D154+'DCA-Anexo I-G'!D156+'DCA-Anexo I-G'!D155</f>
        <v>0</v>
      </c>
      <c r="E149" s="11">
        <f>+'DCA-Anexo I-G'!E150+'DCA-Anexo I-G'!E151+'DCA-Anexo I-G'!E152+'DCA-Anexo I-G'!E153+'DCA-Anexo I-G'!E154+'DCA-Anexo I-G'!E156+'DCA-Anexo I-G'!E155</f>
        <v>0</v>
      </c>
      <c r="F149" s="11">
        <f>+'DCA-Anexo I-G'!F150+'DCA-Anexo I-G'!F151+'DCA-Anexo I-G'!F152+'DCA-Anexo I-G'!F153+'DCA-Anexo I-G'!F154+'DCA-Anexo I-G'!F156+'DCA-Anexo I-G'!F155</f>
        <v>0</v>
      </c>
      <c r="G149" s="11">
        <f>+'DCA-Anexo I-G'!G150+'DCA-Anexo I-G'!G151+'DCA-Anexo I-G'!G152+'DCA-Anexo I-G'!G153+'DCA-Anexo I-G'!G154+'DCA-Anexo I-G'!G156+'DCA-Anexo I-G'!G155</f>
        <v>0</v>
      </c>
      <c r="H149" s="11">
        <f>+'DCA-Anexo I-G'!H150+'DCA-Anexo I-G'!H151+'DCA-Anexo I-G'!H152+'DCA-Anexo I-G'!H153+'DCA-Anexo I-G'!H154+'DCA-Anexo I-G'!H156+'DCA-Anexo I-G'!H155</f>
        <v>0</v>
      </c>
      <c r="I149" s="11">
        <f>+'DCA-Anexo I-G'!I150+'DCA-Anexo I-G'!I151+'DCA-Anexo I-G'!I152+'DCA-Anexo I-G'!I153+'DCA-Anexo I-G'!I154+'DCA-Anexo I-G'!I156+'DCA-Anexo I-G'!I155</f>
        <v>0</v>
      </c>
      <c r="J149" s="11">
        <f>+'DCA-Anexo I-G'!J150+'DCA-Anexo I-G'!J151+'DCA-Anexo I-G'!J152+'DCA-Anexo I-G'!J153+'DCA-Anexo I-G'!J154+'DCA-Anexo I-G'!J156+'DCA-Anexo I-G'!J155</f>
        <v>0</v>
      </c>
    </row>
    <row r="150" spans="1:10" ht="12.75" customHeight="1">
      <c r="A150" s="4" t="s">
        <v>2664</v>
      </c>
      <c r="B150" s="12"/>
      <c r="C150" s="12"/>
      <c r="D150" s="12"/>
      <c r="E150" s="12"/>
      <c r="F150" s="12"/>
      <c r="G150" s="12"/>
      <c r="H150" s="12"/>
      <c r="I150" s="12"/>
      <c r="J150" s="12"/>
    </row>
    <row r="151" spans="1:10" ht="12.75" customHeight="1">
      <c r="A151" s="3" t="s">
        <v>2665</v>
      </c>
      <c r="B151" s="11"/>
      <c r="C151" s="11"/>
      <c r="D151" s="11"/>
      <c r="E151" s="11"/>
      <c r="F151" s="11"/>
      <c r="G151" s="11"/>
      <c r="H151" s="11"/>
      <c r="I151" s="11"/>
      <c r="J151" s="11"/>
    </row>
    <row r="152" spans="1:10" ht="12.75" customHeight="1">
      <c r="A152" s="4" t="s">
        <v>2666</v>
      </c>
      <c r="B152" s="12"/>
      <c r="C152" s="12"/>
      <c r="D152" s="12"/>
      <c r="E152" s="12"/>
      <c r="F152" s="12"/>
      <c r="G152" s="12"/>
      <c r="H152" s="12"/>
      <c r="I152" s="12"/>
      <c r="J152" s="12"/>
    </row>
    <row r="153" spans="1:10" ht="12.75" customHeight="1">
      <c r="A153" s="3" t="s">
        <v>2667</v>
      </c>
      <c r="B153" s="11"/>
      <c r="C153" s="11"/>
      <c r="D153" s="11"/>
      <c r="E153" s="11"/>
      <c r="F153" s="11"/>
      <c r="G153" s="11"/>
      <c r="H153" s="11"/>
      <c r="I153" s="11"/>
      <c r="J153" s="11"/>
    </row>
    <row r="154" spans="1:10" ht="12.75" customHeight="1">
      <c r="A154" s="4" t="s">
        <v>2668</v>
      </c>
      <c r="B154" s="12"/>
      <c r="C154" s="12"/>
      <c r="D154" s="12"/>
      <c r="E154" s="12"/>
      <c r="F154" s="12"/>
      <c r="G154" s="12"/>
      <c r="H154" s="12"/>
      <c r="I154" s="12"/>
      <c r="J154" s="12"/>
    </row>
    <row r="155" spans="1:10" ht="12.75" customHeight="1">
      <c r="A155" s="3" t="s">
        <v>2669</v>
      </c>
      <c r="B155" s="11"/>
      <c r="C155" s="11"/>
      <c r="D155" s="11"/>
      <c r="E155" s="11"/>
      <c r="F155" s="11"/>
      <c r="G155" s="11"/>
      <c r="H155" s="11"/>
      <c r="I155" s="11"/>
      <c r="J155" s="11"/>
    </row>
    <row r="156" spans="1:10" ht="12.75" customHeight="1">
      <c r="A156" s="4" t="s">
        <v>2670</v>
      </c>
      <c r="B156" s="12"/>
      <c r="C156" s="12"/>
      <c r="D156" s="12"/>
      <c r="E156" s="12"/>
      <c r="F156" s="12"/>
      <c r="G156" s="12"/>
      <c r="H156" s="12"/>
      <c r="I156" s="12"/>
      <c r="J156" s="12"/>
    </row>
    <row r="157" spans="1:10" ht="12.75" customHeight="1">
      <c r="A157" s="3" t="s">
        <v>2671</v>
      </c>
      <c r="B157" s="11">
        <f>+'DCA-Anexo I-G'!B158+'DCA-Anexo I-G'!B159+'DCA-Anexo I-G'!B161+'DCA-Anexo I-G'!B160</f>
        <v>0</v>
      </c>
      <c r="C157" s="11">
        <f>+'DCA-Anexo I-G'!C158+'DCA-Anexo I-G'!C159+'DCA-Anexo I-G'!C161+'DCA-Anexo I-G'!C160</f>
        <v>0</v>
      </c>
      <c r="D157" s="11">
        <f>+'DCA-Anexo I-G'!D158+'DCA-Anexo I-G'!D159+'DCA-Anexo I-G'!D161+'DCA-Anexo I-G'!D160</f>
        <v>0</v>
      </c>
      <c r="E157" s="11">
        <f>+'DCA-Anexo I-G'!E158+'DCA-Anexo I-G'!E159+'DCA-Anexo I-G'!E161+'DCA-Anexo I-G'!E160</f>
        <v>0</v>
      </c>
      <c r="F157" s="11">
        <f>+'DCA-Anexo I-G'!F158+'DCA-Anexo I-G'!F159+'DCA-Anexo I-G'!F161+'DCA-Anexo I-G'!F160</f>
        <v>0</v>
      </c>
      <c r="G157" s="11">
        <f>+'DCA-Anexo I-G'!G158+'DCA-Anexo I-G'!G159+'DCA-Anexo I-G'!G161+'DCA-Anexo I-G'!G160</f>
        <v>0</v>
      </c>
      <c r="H157" s="11">
        <f>+'DCA-Anexo I-G'!H158+'DCA-Anexo I-G'!H159+'DCA-Anexo I-G'!H161+'DCA-Anexo I-G'!H160</f>
        <v>0</v>
      </c>
      <c r="I157" s="11">
        <f>+'DCA-Anexo I-G'!I158+'DCA-Anexo I-G'!I159+'DCA-Anexo I-G'!I161+'DCA-Anexo I-G'!I160</f>
        <v>0</v>
      </c>
      <c r="J157" s="11">
        <f>+'DCA-Anexo I-G'!J158+'DCA-Anexo I-G'!J159+'DCA-Anexo I-G'!J161+'DCA-Anexo I-G'!J160</f>
        <v>0</v>
      </c>
    </row>
    <row r="158" spans="1:10" ht="12.75" customHeight="1">
      <c r="A158" s="4" t="s">
        <v>2672</v>
      </c>
      <c r="B158" s="12"/>
      <c r="C158" s="12"/>
      <c r="D158" s="12"/>
      <c r="E158" s="12"/>
      <c r="F158" s="12"/>
      <c r="G158" s="12"/>
      <c r="H158" s="12"/>
      <c r="I158" s="12"/>
      <c r="J158" s="12"/>
    </row>
    <row r="159" spans="1:10" ht="12.75" customHeight="1">
      <c r="A159" s="3" t="s">
        <v>2673</v>
      </c>
      <c r="B159" s="11"/>
      <c r="C159" s="11"/>
      <c r="D159" s="11"/>
      <c r="E159" s="11"/>
      <c r="F159" s="11"/>
      <c r="G159" s="11"/>
      <c r="H159" s="11"/>
      <c r="I159" s="11"/>
      <c r="J159" s="11"/>
    </row>
    <row r="160" spans="1:10" ht="12.75" customHeight="1">
      <c r="A160" s="4" t="s">
        <v>2674</v>
      </c>
      <c r="B160" s="12"/>
      <c r="C160" s="12"/>
      <c r="D160" s="12"/>
      <c r="E160" s="12"/>
      <c r="F160" s="12"/>
      <c r="G160" s="12"/>
      <c r="H160" s="12"/>
      <c r="I160" s="12"/>
      <c r="J160" s="12"/>
    </row>
    <row r="161" spans="1:10" ht="12.75" customHeight="1">
      <c r="A161" s="3" t="s">
        <v>2675</v>
      </c>
      <c r="B161" s="11"/>
      <c r="C161" s="11"/>
      <c r="D161" s="11"/>
      <c r="E161" s="11"/>
      <c r="F161" s="11"/>
      <c r="G161" s="11"/>
      <c r="H161" s="11"/>
      <c r="I161" s="11"/>
      <c r="J161" s="11"/>
    </row>
    <row r="162" spans="1:10" ht="12.75" customHeight="1">
      <c r="A162" s="4" t="s">
        <v>2676</v>
      </c>
      <c r="B162" s="12">
        <f>+'DCA-Anexo I-G'!B163+'DCA-Anexo I-G'!B164+'DCA-Anexo I-G'!B165+'DCA-Anexo I-G'!B166+'DCA-Anexo I-G'!B167+'DCA-Anexo I-G'!B169+'DCA-Anexo I-G'!B168</f>
        <v>0</v>
      </c>
      <c r="C162" s="12">
        <f>+'DCA-Anexo I-G'!C163+'DCA-Anexo I-G'!C164+'DCA-Anexo I-G'!C165+'DCA-Anexo I-G'!C166+'DCA-Anexo I-G'!C167+'DCA-Anexo I-G'!C169+'DCA-Anexo I-G'!C168</f>
        <v>0</v>
      </c>
      <c r="D162" s="12">
        <f>+'DCA-Anexo I-G'!D163+'DCA-Anexo I-G'!D164+'DCA-Anexo I-G'!D165+'DCA-Anexo I-G'!D166+'DCA-Anexo I-G'!D167+'DCA-Anexo I-G'!D169+'DCA-Anexo I-G'!D168</f>
        <v>0</v>
      </c>
      <c r="E162" s="12">
        <f>+'DCA-Anexo I-G'!E163+'DCA-Anexo I-G'!E164+'DCA-Anexo I-G'!E165+'DCA-Anexo I-G'!E166+'DCA-Anexo I-G'!E167+'DCA-Anexo I-G'!E169+'DCA-Anexo I-G'!E168</f>
        <v>0</v>
      </c>
      <c r="F162" s="12">
        <f>+'DCA-Anexo I-G'!F163+'DCA-Anexo I-G'!F164+'DCA-Anexo I-G'!F165+'DCA-Anexo I-G'!F166+'DCA-Anexo I-G'!F167+'DCA-Anexo I-G'!F169+'DCA-Anexo I-G'!F168</f>
        <v>0</v>
      </c>
      <c r="G162" s="12">
        <f>+'DCA-Anexo I-G'!G163+'DCA-Anexo I-G'!G164+'DCA-Anexo I-G'!G165+'DCA-Anexo I-G'!G166+'DCA-Anexo I-G'!G167+'DCA-Anexo I-G'!G169+'DCA-Anexo I-G'!G168</f>
        <v>0</v>
      </c>
      <c r="H162" s="12">
        <f>+'DCA-Anexo I-G'!H163+'DCA-Anexo I-G'!H164+'DCA-Anexo I-G'!H165+'DCA-Anexo I-G'!H166+'DCA-Anexo I-G'!H167+'DCA-Anexo I-G'!H169+'DCA-Anexo I-G'!H168</f>
        <v>0</v>
      </c>
      <c r="I162" s="12">
        <f>+'DCA-Anexo I-G'!I163+'DCA-Anexo I-G'!I164+'DCA-Anexo I-G'!I165+'DCA-Anexo I-G'!I166+'DCA-Anexo I-G'!I167+'DCA-Anexo I-G'!I169+'DCA-Anexo I-G'!I168</f>
        <v>0</v>
      </c>
      <c r="J162" s="12">
        <f>+'DCA-Anexo I-G'!J163+'DCA-Anexo I-G'!J164+'DCA-Anexo I-G'!J165+'DCA-Anexo I-G'!J166+'DCA-Anexo I-G'!J167+'DCA-Anexo I-G'!J169+'DCA-Anexo I-G'!J168</f>
        <v>0</v>
      </c>
    </row>
    <row r="163" spans="1:10" ht="12.75" customHeight="1">
      <c r="A163" s="3" t="s">
        <v>2677</v>
      </c>
      <c r="B163" s="11"/>
      <c r="C163" s="11"/>
      <c r="D163" s="11"/>
      <c r="E163" s="11"/>
      <c r="F163" s="11"/>
      <c r="G163" s="11"/>
      <c r="H163" s="11"/>
      <c r="I163" s="11"/>
      <c r="J163" s="11"/>
    </row>
    <row r="164" spans="1:10" ht="12.75" customHeight="1">
      <c r="A164" s="4" t="s">
        <v>2678</v>
      </c>
      <c r="B164" s="12"/>
      <c r="C164" s="12"/>
      <c r="D164" s="12"/>
      <c r="E164" s="12"/>
      <c r="F164" s="12"/>
      <c r="G164" s="12"/>
      <c r="H164" s="12"/>
      <c r="I164" s="12"/>
      <c r="J164" s="12"/>
    </row>
    <row r="165" spans="1:10" ht="12.75" customHeight="1">
      <c r="A165" s="3" t="s">
        <v>2679</v>
      </c>
      <c r="B165" s="11"/>
      <c r="C165" s="11"/>
      <c r="D165" s="11"/>
      <c r="E165" s="11"/>
      <c r="F165" s="11"/>
      <c r="G165" s="11"/>
      <c r="H165" s="11"/>
      <c r="I165" s="11"/>
      <c r="J165" s="11"/>
    </row>
    <row r="166" spans="1:10" ht="12.75" customHeight="1">
      <c r="A166" s="4" t="s">
        <v>2680</v>
      </c>
      <c r="B166" s="12"/>
      <c r="C166" s="12"/>
      <c r="D166" s="12"/>
      <c r="E166" s="12"/>
      <c r="F166" s="12"/>
      <c r="G166" s="12"/>
      <c r="H166" s="12"/>
      <c r="I166" s="12"/>
      <c r="J166" s="12"/>
    </row>
    <row r="167" spans="1:10" ht="12.75" customHeight="1">
      <c r="A167" s="3" t="s">
        <v>2681</v>
      </c>
      <c r="B167" s="11"/>
      <c r="C167" s="11"/>
      <c r="D167" s="11"/>
      <c r="E167" s="11"/>
      <c r="F167" s="11"/>
      <c r="G167" s="11"/>
      <c r="H167" s="11"/>
      <c r="I167" s="11"/>
      <c r="J167" s="11"/>
    </row>
    <row r="168" spans="1:10" ht="12.75" customHeight="1">
      <c r="A168" s="4" t="s">
        <v>2682</v>
      </c>
      <c r="B168" s="12"/>
      <c r="C168" s="12"/>
      <c r="D168" s="12"/>
      <c r="E168" s="12"/>
      <c r="F168" s="12"/>
      <c r="G168" s="12"/>
      <c r="H168" s="12"/>
      <c r="I168" s="12"/>
      <c r="J168" s="12"/>
    </row>
    <row r="169" spans="1:10" ht="12.75" customHeight="1">
      <c r="A169" s="3" t="s">
        <v>2683</v>
      </c>
      <c r="B169" s="11"/>
      <c r="C169" s="11"/>
      <c r="D169" s="11"/>
      <c r="E169" s="11"/>
      <c r="F169" s="11"/>
      <c r="G169" s="11"/>
      <c r="H169" s="11"/>
      <c r="I169" s="11"/>
      <c r="J169" s="11"/>
    </row>
    <row r="170" spans="1:10" ht="12.75" customHeight="1">
      <c r="A170" s="4" t="s">
        <v>2684</v>
      </c>
      <c r="B170" s="12">
        <f>+'DCA-Anexo I-G'!B171+'DCA-Anexo I-G'!B172+'DCA-Anexo I-G'!B173+'DCA-Anexo I-G'!B174+'DCA-Anexo I-G'!B175+'DCA-Anexo I-G'!B177+'DCA-Anexo I-G'!B176</f>
        <v>0</v>
      </c>
      <c r="C170" s="12">
        <f>+'DCA-Anexo I-G'!C171+'DCA-Anexo I-G'!C172+'DCA-Anexo I-G'!C173+'DCA-Anexo I-G'!C174+'DCA-Anexo I-G'!C175+'DCA-Anexo I-G'!C177+'DCA-Anexo I-G'!C176</f>
        <v>0</v>
      </c>
      <c r="D170" s="12">
        <f>+'DCA-Anexo I-G'!D171+'DCA-Anexo I-G'!D172+'DCA-Anexo I-G'!D173+'DCA-Anexo I-G'!D174+'DCA-Anexo I-G'!D175+'DCA-Anexo I-G'!D177+'DCA-Anexo I-G'!D176</f>
        <v>0</v>
      </c>
      <c r="E170" s="12">
        <f>+'DCA-Anexo I-G'!E171+'DCA-Anexo I-G'!E172+'DCA-Anexo I-G'!E173+'DCA-Anexo I-G'!E174+'DCA-Anexo I-G'!E175+'DCA-Anexo I-G'!E177+'DCA-Anexo I-G'!E176</f>
        <v>0</v>
      </c>
      <c r="F170" s="12">
        <f>+'DCA-Anexo I-G'!F171+'DCA-Anexo I-G'!F172+'DCA-Anexo I-G'!F173+'DCA-Anexo I-G'!F174+'DCA-Anexo I-G'!F175+'DCA-Anexo I-G'!F177+'DCA-Anexo I-G'!F176</f>
        <v>0</v>
      </c>
      <c r="G170" s="12">
        <f>+'DCA-Anexo I-G'!G171+'DCA-Anexo I-G'!G172+'DCA-Anexo I-G'!G173+'DCA-Anexo I-G'!G174+'DCA-Anexo I-G'!G175+'DCA-Anexo I-G'!G177+'DCA-Anexo I-G'!G176</f>
        <v>0</v>
      </c>
      <c r="H170" s="12">
        <f>+'DCA-Anexo I-G'!H171+'DCA-Anexo I-G'!H172+'DCA-Anexo I-G'!H173+'DCA-Anexo I-G'!H174+'DCA-Anexo I-G'!H175+'DCA-Anexo I-G'!H177+'DCA-Anexo I-G'!H176</f>
        <v>0</v>
      </c>
      <c r="I170" s="12">
        <f>+'DCA-Anexo I-G'!I171+'DCA-Anexo I-G'!I172+'DCA-Anexo I-G'!I173+'DCA-Anexo I-G'!I174+'DCA-Anexo I-G'!I175+'DCA-Anexo I-G'!I177+'DCA-Anexo I-G'!I176</f>
        <v>0</v>
      </c>
      <c r="J170" s="12">
        <f>+'DCA-Anexo I-G'!J171+'DCA-Anexo I-G'!J172+'DCA-Anexo I-G'!J173+'DCA-Anexo I-G'!J174+'DCA-Anexo I-G'!J175+'DCA-Anexo I-G'!J177+'DCA-Anexo I-G'!J176</f>
        <v>0</v>
      </c>
    </row>
    <row r="171" spans="1:10" ht="12.75" customHeight="1">
      <c r="A171" s="3" t="s">
        <v>2685</v>
      </c>
      <c r="B171" s="11"/>
      <c r="C171" s="11"/>
      <c r="D171" s="11"/>
      <c r="E171" s="11"/>
      <c r="F171" s="11"/>
      <c r="G171" s="11"/>
      <c r="H171" s="11"/>
      <c r="I171" s="11"/>
      <c r="J171" s="11"/>
    </row>
    <row r="172" spans="1:10" ht="12.75" customHeight="1">
      <c r="A172" s="4" t="s">
        <v>2686</v>
      </c>
      <c r="B172" s="12"/>
      <c r="C172" s="12"/>
      <c r="D172" s="12"/>
      <c r="E172" s="12"/>
      <c r="F172" s="12"/>
      <c r="G172" s="12"/>
      <c r="H172" s="12"/>
      <c r="I172" s="12"/>
      <c r="J172" s="12"/>
    </row>
    <row r="173" spans="1:10" ht="12.75" customHeight="1">
      <c r="A173" s="3" t="s">
        <v>2687</v>
      </c>
      <c r="B173" s="11"/>
      <c r="C173" s="11"/>
      <c r="D173" s="11"/>
      <c r="E173" s="11"/>
      <c r="F173" s="11"/>
      <c r="G173" s="11"/>
      <c r="H173" s="11"/>
      <c r="I173" s="11"/>
      <c r="J173" s="11"/>
    </row>
    <row r="174" spans="1:10" ht="12.75" customHeight="1">
      <c r="A174" s="4" t="s">
        <v>2688</v>
      </c>
      <c r="B174" s="12"/>
      <c r="C174" s="12"/>
      <c r="D174" s="12"/>
      <c r="E174" s="12"/>
      <c r="F174" s="12"/>
      <c r="G174" s="12"/>
      <c r="H174" s="12"/>
      <c r="I174" s="12"/>
      <c r="J174" s="12"/>
    </row>
    <row r="175" spans="1:10" ht="12.75" customHeight="1">
      <c r="A175" s="3" t="s">
        <v>2689</v>
      </c>
      <c r="B175" s="11"/>
      <c r="C175" s="11"/>
      <c r="D175" s="11"/>
      <c r="E175" s="11"/>
      <c r="F175" s="11"/>
      <c r="G175" s="11"/>
      <c r="H175" s="11"/>
      <c r="I175" s="11"/>
      <c r="J175" s="11"/>
    </row>
    <row r="176" spans="1:10" ht="12.75" customHeight="1">
      <c r="A176" s="4" t="s">
        <v>2690</v>
      </c>
      <c r="B176" s="12"/>
      <c r="C176" s="12"/>
      <c r="D176" s="12"/>
      <c r="E176" s="12"/>
      <c r="F176" s="12"/>
      <c r="G176" s="12"/>
      <c r="H176" s="12"/>
      <c r="I176" s="12"/>
      <c r="J176" s="12"/>
    </row>
    <row r="177" spans="1:10" ht="12.75" customHeight="1">
      <c r="A177" s="3" t="s">
        <v>2691</v>
      </c>
      <c r="B177" s="11"/>
      <c r="C177" s="11"/>
      <c r="D177" s="11"/>
      <c r="E177" s="11"/>
      <c r="F177" s="11"/>
      <c r="G177" s="11"/>
      <c r="H177" s="11"/>
      <c r="I177" s="11"/>
      <c r="J177" s="11"/>
    </row>
    <row r="178" spans="1:10" ht="12.75" customHeight="1">
      <c r="A178" s="4" t="s">
        <v>2692</v>
      </c>
      <c r="B178" s="12">
        <f>+'DCA-Anexo I-G'!B179+'DCA-Anexo I-G'!B180+'DCA-Anexo I-G'!B182+'DCA-Anexo I-G'!B181</f>
        <v>0</v>
      </c>
      <c r="C178" s="12">
        <f>+'DCA-Anexo I-G'!C179+'DCA-Anexo I-G'!C180+'DCA-Anexo I-G'!C182+'DCA-Anexo I-G'!C181</f>
        <v>0</v>
      </c>
      <c r="D178" s="12">
        <f>+'DCA-Anexo I-G'!D179+'DCA-Anexo I-G'!D180+'DCA-Anexo I-G'!D182+'DCA-Anexo I-G'!D181</f>
        <v>0</v>
      </c>
      <c r="E178" s="12">
        <f>+'DCA-Anexo I-G'!E179+'DCA-Anexo I-G'!E180+'DCA-Anexo I-G'!E182+'DCA-Anexo I-G'!E181</f>
        <v>0</v>
      </c>
      <c r="F178" s="12">
        <f>+'DCA-Anexo I-G'!F179+'DCA-Anexo I-G'!F180+'DCA-Anexo I-G'!F182+'DCA-Anexo I-G'!F181</f>
        <v>0</v>
      </c>
      <c r="G178" s="12">
        <f>+'DCA-Anexo I-G'!G179+'DCA-Anexo I-G'!G180+'DCA-Anexo I-G'!G182+'DCA-Anexo I-G'!G181</f>
        <v>0</v>
      </c>
      <c r="H178" s="12">
        <f>+'DCA-Anexo I-G'!H179+'DCA-Anexo I-G'!H180+'DCA-Anexo I-G'!H182+'DCA-Anexo I-G'!H181</f>
        <v>0</v>
      </c>
      <c r="I178" s="12">
        <f>+'DCA-Anexo I-G'!I179+'DCA-Anexo I-G'!I180+'DCA-Anexo I-G'!I182+'DCA-Anexo I-G'!I181</f>
        <v>0</v>
      </c>
      <c r="J178" s="12">
        <f>+'DCA-Anexo I-G'!J179+'DCA-Anexo I-G'!J180+'DCA-Anexo I-G'!J182+'DCA-Anexo I-G'!J181</f>
        <v>0</v>
      </c>
    </row>
    <row r="179" spans="1:10" ht="12.75" customHeight="1">
      <c r="A179" s="3" t="s">
        <v>2693</v>
      </c>
      <c r="B179" s="11"/>
      <c r="C179" s="11"/>
      <c r="D179" s="11"/>
      <c r="E179" s="11"/>
      <c r="F179" s="11"/>
      <c r="G179" s="11"/>
      <c r="H179" s="11"/>
      <c r="I179" s="11"/>
      <c r="J179" s="11"/>
    </row>
    <row r="180" spans="1:10" ht="12.75" customHeight="1">
      <c r="A180" s="4" t="s">
        <v>2694</v>
      </c>
      <c r="B180" s="12"/>
      <c r="C180" s="12"/>
      <c r="D180" s="12"/>
      <c r="E180" s="12"/>
      <c r="F180" s="12"/>
      <c r="G180" s="12"/>
      <c r="H180" s="12"/>
      <c r="I180" s="12"/>
      <c r="J180" s="12"/>
    </row>
    <row r="181" spans="1:10" ht="12.75" customHeight="1">
      <c r="A181" s="3" t="s">
        <v>2695</v>
      </c>
      <c r="B181" s="11"/>
      <c r="C181" s="11"/>
      <c r="D181" s="11"/>
      <c r="E181" s="11"/>
      <c r="F181" s="11"/>
      <c r="G181" s="11"/>
      <c r="H181" s="11"/>
      <c r="I181" s="11"/>
      <c r="J181" s="11"/>
    </row>
    <row r="182" spans="1:10" ht="12.75" customHeight="1">
      <c r="A182" s="4" t="s">
        <v>2696</v>
      </c>
      <c r="B182" s="12"/>
      <c r="C182" s="12"/>
      <c r="D182" s="12"/>
      <c r="E182" s="12"/>
      <c r="F182" s="12"/>
      <c r="G182" s="12"/>
      <c r="H182" s="12"/>
      <c r="I182" s="12"/>
      <c r="J182" s="12"/>
    </row>
    <row r="183" spans="1:10" ht="12.75" customHeight="1">
      <c r="A183" s="3" t="s">
        <v>2697</v>
      </c>
      <c r="B183" s="11">
        <f>+'DCA-Anexo I-G'!B184+'DCA-Anexo I-G'!B185+'DCA-Anexo I-G'!B186+'DCA-Anexo I-G'!B187+'DCA-Anexo I-G'!B189+'DCA-Anexo I-G'!B188</f>
        <v>0</v>
      </c>
      <c r="C183" s="11">
        <f>+'DCA-Anexo I-G'!C184+'DCA-Anexo I-G'!C185+'DCA-Anexo I-G'!C186+'DCA-Anexo I-G'!C187+'DCA-Anexo I-G'!C189+'DCA-Anexo I-G'!C188</f>
        <v>0</v>
      </c>
      <c r="D183" s="11">
        <f>+'DCA-Anexo I-G'!D184+'DCA-Anexo I-G'!D185+'DCA-Anexo I-G'!D186+'DCA-Anexo I-G'!D187+'DCA-Anexo I-G'!D189+'DCA-Anexo I-G'!D188</f>
        <v>0</v>
      </c>
      <c r="E183" s="11">
        <f>+'DCA-Anexo I-G'!E184+'DCA-Anexo I-G'!E185+'DCA-Anexo I-G'!E186+'DCA-Anexo I-G'!E187+'DCA-Anexo I-G'!E189+'DCA-Anexo I-G'!E188</f>
        <v>0</v>
      </c>
      <c r="F183" s="11">
        <f>+'DCA-Anexo I-G'!F184+'DCA-Anexo I-G'!F185+'DCA-Anexo I-G'!F186+'DCA-Anexo I-G'!F187+'DCA-Anexo I-G'!F189+'DCA-Anexo I-G'!F188</f>
        <v>0</v>
      </c>
      <c r="G183" s="11">
        <f>+'DCA-Anexo I-G'!G184+'DCA-Anexo I-G'!G185+'DCA-Anexo I-G'!G186+'DCA-Anexo I-G'!G187+'DCA-Anexo I-G'!G189+'DCA-Anexo I-G'!G188</f>
        <v>0</v>
      </c>
      <c r="H183" s="11">
        <f>+'DCA-Anexo I-G'!H184+'DCA-Anexo I-G'!H185+'DCA-Anexo I-G'!H186+'DCA-Anexo I-G'!H187+'DCA-Anexo I-G'!H189+'DCA-Anexo I-G'!H188</f>
        <v>0</v>
      </c>
      <c r="I183" s="11">
        <f>+'DCA-Anexo I-G'!I184+'DCA-Anexo I-G'!I185+'DCA-Anexo I-G'!I186+'DCA-Anexo I-G'!I187+'DCA-Anexo I-G'!I189+'DCA-Anexo I-G'!I188</f>
        <v>0</v>
      </c>
      <c r="J183" s="11">
        <f>+'DCA-Anexo I-G'!J184+'DCA-Anexo I-G'!J185+'DCA-Anexo I-G'!J186+'DCA-Anexo I-G'!J187+'DCA-Anexo I-G'!J189+'DCA-Anexo I-G'!J188</f>
        <v>0</v>
      </c>
    </row>
    <row r="184" spans="1:10" ht="12.75" customHeight="1">
      <c r="A184" s="4" t="s">
        <v>2698</v>
      </c>
      <c r="B184" s="12"/>
      <c r="C184" s="12"/>
      <c r="D184" s="12"/>
      <c r="E184" s="12"/>
      <c r="F184" s="12"/>
      <c r="G184" s="12"/>
      <c r="H184" s="12"/>
      <c r="I184" s="12"/>
      <c r="J184" s="12"/>
    </row>
    <row r="185" spans="1:10" ht="12.75" customHeight="1">
      <c r="A185" s="3" t="s">
        <v>2699</v>
      </c>
      <c r="B185" s="11"/>
      <c r="C185" s="11"/>
      <c r="D185" s="11"/>
      <c r="E185" s="11"/>
      <c r="F185" s="11"/>
      <c r="G185" s="11"/>
      <c r="H185" s="11"/>
      <c r="I185" s="11"/>
      <c r="J185" s="11"/>
    </row>
    <row r="186" spans="1:10" ht="12.75" customHeight="1">
      <c r="A186" s="4" t="s">
        <v>2700</v>
      </c>
      <c r="B186" s="12"/>
      <c r="C186" s="12"/>
      <c r="D186" s="12"/>
      <c r="E186" s="12"/>
      <c r="F186" s="12"/>
      <c r="G186" s="12"/>
      <c r="H186" s="12"/>
      <c r="I186" s="12"/>
      <c r="J186" s="12"/>
    </row>
    <row r="187" spans="1:10" ht="12.75" customHeight="1">
      <c r="A187" s="3" t="s">
        <v>2701</v>
      </c>
      <c r="B187" s="11"/>
      <c r="C187" s="11"/>
      <c r="D187" s="11"/>
      <c r="E187" s="11"/>
      <c r="F187" s="11"/>
      <c r="G187" s="11"/>
      <c r="H187" s="11"/>
      <c r="I187" s="11"/>
      <c r="J187" s="11"/>
    </row>
    <row r="188" spans="1:10" ht="12.75" customHeight="1">
      <c r="A188" s="4" t="s">
        <v>2702</v>
      </c>
      <c r="B188" s="12"/>
      <c r="C188" s="12"/>
      <c r="D188" s="12"/>
      <c r="E188" s="12"/>
      <c r="F188" s="12"/>
      <c r="G188" s="12"/>
      <c r="H188" s="12"/>
      <c r="I188" s="12"/>
      <c r="J188" s="12"/>
    </row>
    <row r="189" spans="1:10" ht="12.75" customHeight="1">
      <c r="A189" s="3" t="s">
        <v>2703</v>
      </c>
      <c r="B189" s="11"/>
      <c r="C189" s="11"/>
      <c r="D189" s="11"/>
      <c r="E189" s="11"/>
      <c r="F189" s="11"/>
      <c r="G189" s="11"/>
      <c r="H189" s="11"/>
      <c r="I189" s="11"/>
      <c r="J189" s="11"/>
    </row>
    <row r="190" spans="1:10" ht="12.75" customHeight="1">
      <c r="A190" s="4" t="s">
        <v>2704</v>
      </c>
      <c r="B190" s="12">
        <f>+'DCA-Anexo I-G'!B191+'DCA-Anexo I-G'!B192+'DCA-Anexo I-G'!B193+'DCA-Anexo I-G'!B194+'DCA-Anexo I-G'!B195+'DCA-Anexo I-G'!B197+'DCA-Anexo I-G'!B196</f>
        <v>0</v>
      </c>
      <c r="C190" s="12">
        <f>+'DCA-Anexo I-G'!C191+'DCA-Anexo I-G'!C192+'DCA-Anexo I-G'!C193+'DCA-Anexo I-G'!C194+'DCA-Anexo I-G'!C195+'DCA-Anexo I-G'!C197+'DCA-Anexo I-G'!C196</f>
        <v>0</v>
      </c>
      <c r="D190" s="12">
        <f>+'DCA-Anexo I-G'!D191+'DCA-Anexo I-G'!D192+'DCA-Anexo I-G'!D193+'DCA-Anexo I-G'!D194+'DCA-Anexo I-G'!D195+'DCA-Anexo I-G'!D197+'DCA-Anexo I-G'!D196</f>
        <v>0</v>
      </c>
      <c r="E190" s="12">
        <f>+'DCA-Anexo I-G'!E191+'DCA-Anexo I-G'!E192+'DCA-Anexo I-G'!E193+'DCA-Anexo I-G'!E194+'DCA-Anexo I-G'!E195+'DCA-Anexo I-G'!E197+'DCA-Anexo I-G'!E196</f>
        <v>0</v>
      </c>
      <c r="F190" s="12">
        <f>+'DCA-Anexo I-G'!F191+'DCA-Anexo I-G'!F192+'DCA-Anexo I-G'!F193+'DCA-Anexo I-G'!F194+'DCA-Anexo I-G'!F195+'DCA-Anexo I-G'!F197+'DCA-Anexo I-G'!F196</f>
        <v>0</v>
      </c>
      <c r="G190" s="12">
        <f>+'DCA-Anexo I-G'!G191+'DCA-Anexo I-G'!G192+'DCA-Anexo I-G'!G193+'DCA-Anexo I-G'!G194+'DCA-Anexo I-G'!G195+'DCA-Anexo I-G'!G197+'DCA-Anexo I-G'!G196</f>
        <v>0</v>
      </c>
      <c r="H190" s="12">
        <f>+'DCA-Anexo I-G'!H191+'DCA-Anexo I-G'!H192+'DCA-Anexo I-G'!H193+'DCA-Anexo I-G'!H194+'DCA-Anexo I-G'!H195+'DCA-Anexo I-G'!H197+'DCA-Anexo I-G'!H196</f>
        <v>0</v>
      </c>
      <c r="I190" s="12">
        <f>+'DCA-Anexo I-G'!I191+'DCA-Anexo I-G'!I192+'DCA-Anexo I-G'!I193+'DCA-Anexo I-G'!I194+'DCA-Anexo I-G'!I195+'DCA-Anexo I-G'!I197+'DCA-Anexo I-G'!I196</f>
        <v>0</v>
      </c>
      <c r="J190" s="12">
        <f>+'DCA-Anexo I-G'!J191+'DCA-Anexo I-G'!J192+'DCA-Anexo I-G'!J193+'DCA-Anexo I-G'!J194+'DCA-Anexo I-G'!J195+'DCA-Anexo I-G'!J197+'DCA-Anexo I-G'!J196</f>
        <v>0</v>
      </c>
    </row>
    <row r="191" spans="1:10" ht="12.75" customHeight="1">
      <c r="A191" s="3" t="s">
        <v>2705</v>
      </c>
      <c r="B191" s="11"/>
      <c r="C191" s="11"/>
      <c r="D191" s="11"/>
      <c r="E191" s="11"/>
      <c r="F191" s="11"/>
      <c r="G191" s="11"/>
      <c r="H191" s="11"/>
      <c r="I191" s="11"/>
      <c r="J191" s="11"/>
    </row>
    <row r="192" spans="1:10" ht="12.75" customHeight="1">
      <c r="A192" s="4" t="s">
        <v>2706</v>
      </c>
      <c r="B192" s="12"/>
      <c r="C192" s="12"/>
      <c r="D192" s="12"/>
      <c r="E192" s="12"/>
      <c r="F192" s="12"/>
      <c r="G192" s="12"/>
      <c r="H192" s="12"/>
      <c r="I192" s="12"/>
      <c r="J192" s="12"/>
    </row>
    <row r="193" spans="1:10" ht="12.75" customHeight="1">
      <c r="A193" s="3" t="s">
        <v>2707</v>
      </c>
      <c r="B193" s="11"/>
      <c r="C193" s="11"/>
      <c r="D193" s="11"/>
      <c r="E193" s="11"/>
      <c r="F193" s="11"/>
      <c r="G193" s="11"/>
      <c r="H193" s="11"/>
      <c r="I193" s="11"/>
      <c r="J193" s="11"/>
    </row>
    <row r="194" spans="1:10" ht="12.75" customHeight="1">
      <c r="A194" s="4" t="s">
        <v>2708</v>
      </c>
      <c r="B194" s="12"/>
      <c r="C194" s="12"/>
      <c r="D194" s="12"/>
      <c r="E194" s="12"/>
      <c r="F194" s="12"/>
      <c r="G194" s="12"/>
      <c r="H194" s="12"/>
      <c r="I194" s="12"/>
      <c r="J194" s="12"/>
    </row>
    <row r="195" spans="1:10" ht="12.75" customHeight="1">
      <c r="A195" s="3" t="s">
        <v>2709</v>
      </c>
      <c r="B195" s="11"/>
      <c r="C195" s="11"/>
      <c r="D195" s="11"/>
      <c r="E195" s="11"/>
      <c r="F195" s="11"/>
      <c r="G195" s="11"/>
      <c r="H195" s="11"/>
      <c r="I195" s="11"/>
      <c r="J195" s="11"/>
    </row>
    <row r="196" spans="1:10" ht="12.75" customHeight="1">
      <c r="A196" s="4" t="s">
        <v>2710</v>
      </c>
      <c r="B196" s="12"/>
      <c r="C196" s="12"/>
      <c r="D196" s="12"/>
      <c r="E196" s="12"/>
      <c r="F196" s="12"/>
      <c r="G196" s="12"/>
      <c r="H196" s="12"/>
      <c r="I196" s="12"/>
      <c r="J196" s="12"/>
    </row>
    <row r="197" spans="1:10" ht="12.75" customHeight="1">
      <c r="A197" s="3" t="s">
        <v>2711</v>
      </c>
      <c r="B197" s="11"/>
      <c r="C197" s="11"/>
      <c r="D197" s="11"/>
      <c r="E197" s="11"/>
      <c r="F197" s="11"/>
      <c r="G197" s="11"/>
      <c r="H197" s="11"/>
      <c r="I197" s="11"/>
      <c r="J197" s="11"/>
    </row>
    <row r="198" spans="1:10" ht="12.75" customHeight="1">
      <c r="A198" s="4" t="s">
        <v>2712</v>
      </c>
      <c r="B198" s="12">
        <f>+'DCA-Anexo I-G'!B199+'DCA-Anexo I-G'!B200+'DCA-Anexo I-G'!B201+'DCA-Anexo I-G'!B203+'DCA-Anexo I-G'!B202</f>
        <v>0</v>
      </c>
      <c r="C198" s="12">
        <f>+'DCA-Anexo I-G'!C199+'DCA-Anexo I-G'!C200+'DCA-Anexo I-G'!C201+'DCA-Anexo I-G'!C203+'DCA-Anexo I-G'!C202</f>
        <v>0</v>
      </c>
      <c r="D198" s="12">
        <f>+'DCA-Anexo I-G'!D199+'DCA-Anexo I-G'!D200+'DCA-Anexo I-G'!D201+'DCA-Anexo I-G'!D203+'DCA-Anexo I-G'!D202</f>
        <v>0</v>
      </c>
      <c r="E198" s="12">
        <f>+'DCA-Anexo I-G'!E199+'DCA-Anexo I-G'!E200+'DCA-Anexo I-G'!E201+'DCA-Anexo I-G'!E203+'DCA-Anexo I-G'!E202</f>
        <v>0</v>
      </c>
      <c r="F198" s="12">
        <f>+'DCA-Anexo I-G'!F199+'DCA-Anexo I-G'!F200+'DCA-Anexo I-G'!F201+'DCA-Anexo I-G'!F203+'DCA-Anexo I-G'!F202</f>
        <v>0</v>
      </c>
      <c r="G198" s="12">
        <f>+'DCA-Anexo I-G'!G199+'DCA-Anexo I-G'!G200+'DCA-Anexo I-G'!G201+'DCA-Anexo I-G'!G203+'DCA-Anexo I-G'!G202</f>
        <v>0</v>
      </c>
      <c r="H198" s="12">
        <f>+'DCA-Anexo I-G'!H199+'DCA-Anexo I-G'!H200+'DCA-Anexo I-G'!H201+'DCA-Anexo I-G'!H203+'DCA-Anexo I-G'!H202</f>
        <v>0</v>
      </c>
      <c r="I198" s="12">
        <f>+'DCA-Anexo I-G'!I199+'DCA-Anexo I-G'!I200+'DCA-Anexo I-G'!I201+'DCA-Anexo I-G'!I203+'DCA-Anexo I-G'!I202</f>
        <v>0</v>
      </c>
      <c r="J198" s="12">
        <f>+'DCA-Anexo I-G'!J199+'DCA-Anexo I-G'!J200+'DCA-Anexo I-G'!J201+'DCA-Anexo I-G'!J203+'DCA-Anexo I-G'!J202</f>
        <v>0</v>
      </c>
    </row>
    <row r="199" spans="1:10" ht="12.75" customHeight="1">
      <c r="A199" s="3" t="s">
        <v>2713</v>
      </c>
      <c r="B199" s="11"/>
      <c r="C199" s="11"/>
      <c r="D199" s="11"/>
      <c r="E199" s="11"/>
      <c r="F199" s="11"/>
      <c r="G199" s="11"/>
      <c r="H199" s="11"/>
      <c r="I199" s="11"/>
      <c r="J199" s="11"/>
    </row>
    <row r="200" spans="1:10" ht="12.75" customHeight="1">
      <c r="A200" s="4" t="s">
        <v>2714</v>
      </c>
      <c r="B200" s="12"/>
      <c r="C200" s="12"/>
      <c r="D200" s="12"/>
      <c r="E200" s="12"/>
      <c r="F200" s="12"/>
      <c r="G200" s="12"/>
      <c r="H200" s="12"/>
      <c r="I200" s="12"/>
      <c r="J200" s="12"/>
    </row>
    <row r="201" spans="1:10" ht="12.75" customHeight="1">
      <c r="A201" s="3" t="s">
        <v>2715</v>
      </c>
      <c r="B201" s="11"/>
      <c r="C201" s="11"/>
      <c r="D201" s="11"/>
      <c r="E201" s="11"/>
      <c r="F201" s="11"/>
      <c r="G201" s="11"/>
      <c r="H201" s="11"/>
      <c r="I201" s="11"/>
      <c r="J201" s="11"/>
    </row>
    <row r="202" spans="1:10" ht="12.75" customHeight="1">
      <c r="A202" s="4" t="s">
        <v>2716</v>
      </c>
      <c r="B202" s="12"/>
      <c r="C202" s="12"/>
      <c r="D202" s="12"/>
      <c r="E202" s="12"/>
      <c r="F202" s="12"/>
      <c r="G202" s="12"/>
      <c r="H202" s="12"/>
      <c r="I202" s="12"/>
      <c r="J202" s="12"/>
    </row>
    <row r="203" spans="1:10" ht="12.75" customHeight="1">
      <c r="A203" s="3" t="s">
        <v>2717</v>
      </c>
      <c r="B203" s="11"/>
      <c r="C203" s="11"/>
      <c r="D203" s="11"/>
      <c r="E203" s="11"/>
      <c r="F203" s="11"/>
      <c r="G203" s="11"/>
      <c r="H203" s="11"/>
      <c r="I203" s="11"/>
      <c r="J203" s="11"/>
    </row>
    <row r="204" spans="1:10" ht="12.75" customHeight="1">
      <c r="A204" s="4" t="s">
        <v>2718</v>
      </c>
      <c r="B204" s="12">
        <f>+'DCA-Anexo I-G'!B205+'DCA-Anexo I-G'!B206+'DCA-Anexo I-G'!B207+'DCA-Anexo I-G'!B208+'DCA-Anexo I-G'!B209+'DCA-Anexo I-G'!B210+'DCA-Anexo I-G'!B211+'DCA-Anexo I-G'!B212</f>
        <v>0</v>
      </c>
      <c r="C204" s="12">
        <f>+'DCA-Anexo I-G'!C205+'DCA-Anexo I-G'!C206+'DCA-Anexo I-G'!C207+'DCA-Anexo I-G'!C208+'DCA-Anexo I-G'!C209+'DCA-Anexo I-G'!C210+'DCA-Anexo I-G'!C211+'DCA-Anexo I-G'!C212</f>
        <v>0</v>
      </c>
      <c r="D204" s="12">
        <f>+'DCA-Anexo I-G'!D205+'DCA-Anexo I-G'!D206+'DCA-Anexo I-G'!D207+'DCA-Anexo I-G'!D208+'DCA-Anexo I-G'!D209+'DCA-Anexo I-G'!D210+'DCA-Anexo I-G'!D211+'DCA-Anexo I-G'!D212</f>
        <v>0</v>
      </c>
      <c r="E204" s="12">
        <f>+'DCA-Anexo I-G'!E205+'DCA-Anexo I-G'!E206+'DCA-Anexo I-G'!E207+'DCA-Anexo I-G'!E208+'DCA-Anexo I-G'!E209+'DCA-Anexo I-G'!E210+'DCA-Anexo I-G'!E211+'DCA-Anexo I-G'!E212</f>
        <v>0</v>
      </c>
      <c r="F204" s="12">
        <f>+'DCA-Anexo I-G'!F205+'DCA-Anexo I-G'!F206+'DCA-Anexo I-G'!F207+'DCA-Anexo I-G'!F208+'DCA-Anexo I-G'!F209+'DCA-Anexo I-G'!F210+'DCA-Anexo I-G'!F211+'DCA-Anexo I-G'!F212</f>
        <v>0</v>
      </c>
      <c r="G204" s="12">
        <f>+'DCA-Anexo I-G'!G205+'DCA-Anexo I-G'!G206+'DCA-Anexo I-G'!G207+'DCA-Anexo I-G'!G208+'DCA-Anexo I-G'!G209+'DCA-Anexo I-G'!G210+'DCA-Anexo I-G'!G211+'DCA-Anexo I-G'!G212</f>
        <v>0</v>
      </c>
      <c r="H204" s="12">
        <f>+'DCA-Anexo I-G'!H205+'DCA-Anexo I-G'!H206+'DCA-Anexo I-G'!H207+'DCA-Anexo I-G'!H208+'DCA-Anexo I-G'!H209+'DCA-Anexo I-G'!H210+'DCA-Anexo I-G'!H211+'DCA-Anexo I-G'!H212</f>
        <v>0</v>
      </c>
      <c r="I204" s="12">
        <f>+'DCA-Anexo I-G'!I205+'DCA-Anexo I-G'!I206+'DCA-Anexo I-G'!I207+'DCA-Anexo I-G'!I208+'DCA-Anexo I-G'!I209+'DCA-Anexo I-G'!I210+'DCA-Anexo I-G'!I211+'DCA-Anexo I-G'!I212</f>
        <v>0</v>
      </c>
      <c r="J204" s="12">
        <f>+'DCA-Anexo I-G'!J205+'DCA-Anexo I-G'!J206+'DCA-Anexo I-G'!J207+'DCA-Anexo I-G'!J208+'DCA-Anexo I-G'!J209+'DCA-Anexo I-G'!J210+'DCA-Anexo I-G'!J211+'DCA-Anexo I-G'!J212</f>
        <v>0</v>
      </c>
    </row>
    <row r="205" spans="1:10" ht="12.75" customHeight="1">
      <c r="A205" s="3" t="s">
        <v>2719</v>
      </c>
      <c r="B205" s="11"/>
      <c r="C205" s="11"/>
      <c r="D205" s="11"/>
      <c r="E205" s="11"/>
      <c r="F205" s="11"/>
      <c r="G205" s="11"/>
      <c r="H205" s="11"/>
      <c r="I205" s="11"/>
      <c r="J205" s="11"/>
    </row>
    <row r="206" spans="1:10" ht="12.75" customHeight="1">
      <c r="A206" s="4" t="s">
        <v>2720</v>
      </c>
      <c r="B206" s="12"/>
      <c r="C206" s="12"/>
      <c r="D206" s="12"/>
      <c r="E206" s="12"/>
      <c r="F206" s="12"/>
      <c r="G206" s="12"/>
      <c r="H206" s="12"/>
      <c r="I206" s="12"/>
      <c r="J206" s="12"/>
    </row>
    <row r="207" spans="1:10" ht="12.75" customHeight="1">
      <c r="A207" s="3" t="s">
        <v>2721</v>
      </c>
      <c r="B207" s="11"/>
      <c r="C207" s="11"/>
      <c r="D207" s="11"/>
      <c r="E207" s="11"/>
      <c r="F207" s="11"/>
      <c r="G207" s="11"/>
      <c r="H207" s="11"/>
      <c r="I207" s="11"/>
      <c r="J207" s="11"/>
    </row>
    <row r="208" spans="1:10" ht="12.75" customHeight="1">
      <c r="A208" s="4" t="s">
        <v>2722</v>
      </c>
      <c r="B208" s="12"/>
      <c r="C208" s="12"/>
      <c r="D208" s="12"/>
      <c r="E208" s="12"/>
      <c r="F208" s="12"/>
      <c r="G208" s="12"/>
      <c r="H208" s="12"/>
      <c r="I208" s="12"/>
      <c r="J208" s="12"/>
    </row>
    <row r="209" spans="1:10" ht="12.75" customHeight="1">
      <c r="A209" s="3" t="s">
        <v>2723</v>
      </c>
      <c r="B209" s="11"/>
      <c r="C209" s="11"/>
      <c r="D209" s="11"/>
      <c r="E209" s="11"/>
      <c r="F209" s="11"/>
      <c r="G209" s="11"/>
      <c r="H209" s="11"/>
      <c r="I209" s="11"/>
      <c r="J209" s="11"/>
    </row>
    <row r="210" spans="1:10" ht="12.75" customHeight="1">
      <c r="A210" s="4" t="s">
        <v>2724</v>
      </c>
      <c r="B210" s="12"/>
      <c r="C210" s="12"/>
      <c r="D210" s="12"/>
      <c r="E210" s="12"/>
      <c r="F210" s="12"/>
      <c r="G210" s="12"/>
      <c r="H210" s="12"/>
      <c r="I210" s="12"/>
      <c r="J210" s="12"/>
    </row>
    <row r="211" spans="1:10" ht="12.75" customHeight="1">
      <c r="A211" s="3" t="s">
        <v>2725</v>
      </c>
      <c r="B211" s="11"/>
      <c r="C211" s="11"/>
      <c r="D211" s="11"/>
      <c r="E211" s="11"/>
      <c r="F211" s="11"/>
      <c r="G211" s="11"/>
      <c r="H211" s="11"/>
      <c r="I211" s="11"/>
      <c r="J211" s="11"/>
    </row>
    <row r="212" spans="1:10" ht="12.75" customHeight="1">
      <c r="A212" s="4" t="s">
        <v>2726</v>
      </c>
      <c r="B212" s="12"/>
      <c r="C212" s="12"/>
      <c r="D212" s="12"/>
      <c r="E212" s="12"/>
      <c r="F212" s="12"/>
      <c r="G212" s="12"/>
      <c r="H212" s="12"/>
      <c r="I212" s="12"/>
      <c r="J212" s="12"/>
    </row>
    <row r="213" spans="1:10" ht="12.75" customHeight="1">
      <c r="A213" s="3" t="s">
        <v>2727</v>
      </c>
      <c r="B213" s="11"/>
      <c r="C213" s="11"/>
      <c r="D213" s="11"/>
      <c r="E213" s="11"/>
      <c r="F213" s="11"/>
      <c r="G213" s="11"/>
      <c r="H213" s="11"/>
      <c r="I213" s="11"/>
      <c r="J213" s="11"/>
    </row>
    <row r="216" spans="1:10" ht="25.5" customHeight="1">
      <c r="A216" s="7" t="s">
        <v>2744</v>
      </c>
    </row>
    <row r="217" spans="1:10" ht="25.5" customHeight="1">
      <c r="A217" s="7" t="s">
        <v>2745</v>
      </c>
    </row>
    <row r="218" spans="1:10" ht="12.75" customHeight="1">
      <c r="A218" s="7" t="s">
        <v>12</v>
      </c>
    </row>
    <row r="219" spans="1:10" ht="30" customHeight="1">
      <c r="A219" s="21" t="s">
        <v>2746</v>
      </c>
      <c r="B219" s="21" t="s">
        <v>14</v>
      </c>
    </row>
    <row r="220" spans="1:10" ht="30" customHeight="1">
      <c r="A220" s="22"/>
      <c r="B220" s="21" t="s">
        <v>15</v>
      </c>
    </row>
    <row r="221" spans="1:10" ht="25.5" customHeight="1">
      <c r="A221" s="3" t="s">
        <v>2747</v>
      </c>
      <c r="B221" s="5"/>
    </row>
    <row r="222" spans="1:10" ht="300" customHeight="1">
      <c r="A222" s="4" t="s">
        <v>1086</v>
      </c>
      <c r="B222" s="13"/>
    </row>
  </sheetData>
  <sheetProtection password="9C88" sheet="1" objects="1" scenarios="1"/>
  <mergeCells count="14">
    <mergeCell ref="H18"/>
    <mergeCell ref="I18"/>
    <mergeCell ref="J18"/>
    <mergeCell ref="A219:A220"/>
    <mergeCell ref="B219"/>
    <mergeCell ref="B220"/>
    <mergeCell ref="A17:A18"/>
    <mergeCell ref="B17:J17"/>
    <mergeCell ref="B18"/>
    <mergeCell ref="C18"/>
    <mergeCell ref="D18"/>
    <mergeCell ref="E18"/>
    <mergeCell ref="F18"/>
    <mergeCell ref="G18"/>
  </mergeCells>
  <pageMargins left="0.78740157499999996" right="0.78740157499999996" top="0.984251969" bottom="0.984251969" header="0.5" footer="0.5"/>
  <pageSetup orientation="portrait" horizontalDpi="300" verticalDpi="300"/>
  <headerFooter alignWithMargins="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6F5FE-2DCA-4C3B-91B4-BEE9457930A8}">
  <dimension ref="A1:E1232"/>
  <sheetViews>
    <sheetView showGridLines="0" tabSelected="1" topLeftCell="A1205" zoomScale="110" zoomScaleNormal="110" workbookViewId="0">
      <pane xSplit="1" topLeftCell="B1" activePane="topRight" state="frozen"/>
      <selection pane="topRight" activeCell="I1223" sqref="I1222:I1223"/>
    </sheetView>
  </sheetViews>
  <sheetFormatPr defaultRowHeight="13.2"/>
  <cols>
    <col min="1" max="1" width="76.88671875" customWidth="1"/>
    <col min="2" max="2" width="21" customWidth="1"/>
  </cols>
  <sheetData>
    <row r="1" spans="1:5" ht="74.099999999999994" customHeight="1">
      <c r="A1" s="8"/>
    </row>
    <row r="2" spans="1:5">
      <c r="A2" s="19" t="s">
        <v>0</v>
      </c>
    </row>
    <row r="3" spans="1:5" ht="20.100000000000001" customHeight="1">
      <c r="A3" s="1" t="s">
        <v>1</v>
      </c>
    </row>
    <row r="4" spans="1:5" ht="20.100000000000001" customHeight="1">
      <c r="A4" s="1" t="s">
        <v>2</v>
      </c>
    </row>
    <row r="5" spans="1:5" ht="20.100000000000001" customHeight="1">
      <c r="A5" s="1" t="s">
        <v>3</v>
      </c>
      <c r="E5" s="10"/>
    </row>
    <row r="7" spans="1:5">
      <c r="A7" s="2" t="s">
        <v>4</v>
      </c>
    </row>
    <row r="8" spans="1:5">
      <c r="A8" s="2" t="s">
        <v>5</v>
      </c>
    </row>
    <row r="9" spans="1:5">
      <c r="A9" s="2" t="s">
        <v>6</v>
      </c>
    </row>
    <row r="10" spans="1:5">
      <c r="A10" s="2" t="s">
        <v>7</v>
      </c>
    </row>
    <row r="11" spans="1:5">
      <c r="A11" s="2" t="s">
        <v>8</v>
      </c>
    </row>
    <row r="12" spans="1:5">
      <c r="A12" s="2" t="s">
        <v>9</v>
      </c>
    </row>
    <row r="14" spans="1:5" ht="25.5" customHeight="1">
      <c r="A14" s="7" t="s">
        <v>2748</v>
      </c>
    </row>
    <row r="15" spans="1:5" ht="12.75" customHeight="1">
      <c r="A15" s="7" t="s">
        <v>2749</v>
      </c>
    </row>
    <row r="16" spans="1:5" ht="12.75" customHeight="1">
      <c r="A16" s="7" t="s">
        <v>12</v>
      </c>
    </row>
    <row r="17" spans="1:2" ht="30" customHeight="1">
      <c r="A17" s="21" t="s">
        <v>2750</v>
      </c>
      <c r="B17" s="21" t="s">
        <v>14</v>
      </c>
    </row>
    <row r="18" spans="1:2" ht="30" customHeight="1">
      <c r="A18" s="22"/>
      <c r="B18" s="21" t="s">
        <v>15</v>
      </c>
    </row>
    <row r="19" spans="1:2" ht="12.75" customHeight="1">
      <c r="A19" s="3" t="s">
        <v>2751</v>
      </c>
      <c r="B19" s="5"/>
    </row>
    <row r="20" spans="1:2" ht="12.75" customHeight="1">
      <c r="A20" s="4" t="s">
        <v>2752</v>
      </c>
      <c r="B20" s="6"/>
    </row>
    <row r="21" spans="1:2" ht="12.75" customHeight="1">
      <c r="A21" s="3" t="s">
        <v>2753</v>
      </c>
      <c r="B21" s="11">
        <f>+'DCA-Anexo I-HI'!B22+'DCA-Anexo I-HI'!B302+'DCA-Anexo I-HI'!B360+'DCA-Anexo I-HI'!B493+'DCA-Anexo I-HI'!B131+'DCA-Anexo I-HI'!B80+'DCA-Anexo I-HI'!B426+'DCA-Anexo I-HI'!B165+'DCA-Anexo I-HI'!B471</f>
        <v>191048984.32000005</v>
      </c>
    </row>
    <row r="22" spans="1:2" ht="12.75" customHeight="1">
      <c r="A22" s="4" t="s">
        <v>2754</v>
      </c>
      <c r="B22" s="12">
        <f>+'DCA-Anexo I-HI'!B23+'DCA-Anexo I-HI'!B58+'DCA-Anexo I-HI'!B31+'DCA-Anexo I-HI'!B65</f>
        <v>59168230.190000005</v>
      </c>
    </row>
    <row r="23" spans="1:2" ht="12.75" customHeight="1">
      <c r="A23" s="3" t="s">
        <v>2755</v>
      </c>
      <c r="B23" s="11">
        <f>+'DCA-Anexo I-HI'!B24+'DCA-Anexo I-HI'!B27+'DCA-Anexo I-HI'!B29</f>
        <v>53305379.950000003</v>
      </c>
    </row>
    <row r="24" spans="1:2" ht="25.5" customHeight="1">
      <c r="A24" s="4" t="s">
        <v>2756</v>
      </c>
      <c r="B24" s="12">
        <f>+'DCA-Anexo I-HI'!B25+'DCA-Anexo I-HI'!B26</f>
        <v>53305379.950000003</v>
      </c>
    </row>
    <row r="25" spans="1:2" ht="25.5" customHeight="1">
      <c r="A25" s="3" t="s">
        <v>2757</v>
      </c>
      <c r="B25" s="11">
        <v>53305379.950000003</v>
      </c>
    </row>
    <row r="26" spans="1:2" ht="25.5" customHeight="1">
      <c r="A26" s="4" t="s">
        <v>2758</v>
      </c>
      <c r="B26" s="12">
        <v>0</v>
      </c>
    </row>
    <row r="27" spans="1:2" ht="25.5" customHeight="1">
      <c r="A27" s="3" t="s">
        <v>2759</v>
      </c>
      <c r="B27" s="11">
        <f>+'DCA-Anexo I-HI'!B28</f>
        <v>0</v>
      </c>
    </row>
    <row r="28" spans="1:2" ht="25.5" customHeight="1">
      <c r="A28" s="4" t="s">
        <v>2760</v>
      </c>
      <c r="B28" s="12">
        <v>0</v>
      </c>
    </row>
    <row r="29" spans="1:2" ht="12.75" customHeight="1">
      <c r="A29" s="3" t="s">
        <v>2761</v>
      </c>
      <c r="B29" s="11">
        <f>+'DCA-Anexo I-HI'!B30</f>
        <v>0</v>
      </c>
    </row>
    <row r="30" spans="1:2" ht="12.75" customHeight="1">
      <c r="A30" s="4" t="s">
        <v>2762</v>
      </c>
      <c r="B30" s="12">
        <v>0</v>
      </c>
    </row>
    <row r="31" spans="1:2" ht="12.75" customHeight="1">
      <c r="A31" s="3" t="s">
        <v>2763</v>
      </c>
      <c r="B31" s="11">
        <f>+'DCA-Anexo I-HI'!B32+'DCA-Anexo I-HI'!B52+'DCA-Anexo I-HI'!B43+'DCA-Anexo I-HI'!B49+'DCA-Anexo I-HI'!B37+'DCA-Anexo I-HI'!B41</f>
        <v>5842845.25</v>
      </c>
    </row>
    <row r="32" spans="1:2" ht="12.75" customHeight="1">
      <c r="A32" s="4" t="s">
        <v>2764</v>
      </c>
      <c r="B32" s="12">
        <f>+'DCA-Anexo I-HI'!B33+'DCA-Anexo I-HI'!B35+'DCA-Anexo I-HI'!B34+'DCA-Anexo I-HI'!B36</f>
        <v>0</v>
      </c>
    </row>
    <row r="33" spans="1:2" ht="12.75" customHeight="1">
      <c r="A33" s="3" t="s">
        <v>2765</v>
      </c>
      <c r="B33" s="11">
        <v>0</v>
      </c>
    </row>
    <row r="34" spans="1:2" ht="12.75" customHeight="1">
      <c r="A34" s="4" t="s">
        <v>2766</v>
      </c>
      <c r="B34" s="12">
        <v>0</v>
      </c>
    </row>
    <row r="35" spans="1:2" ht="12.75" customHeight="1">
      <c r="A35" s="3" t="s">
        <v>2767</v>
      </c>
      <c r="B35" s="11">
        <v>0</v>
      </c>
    </row>
    <row r="36" spans="1:2" ht="12.75" customHeight="1">
      <c r="A36" s="4" t="s">
        <v>2768</v>
      </c>
      <c r="B36" s="12">
        <v>0</v>
      </c>
    </row>
    <row r="37" spans="1:2" ht="12.75" customHeight="1">
      <c r="A37" s="3" t="s">
        <v>2769</v>
      </c>
      <c r="B37" s="11">
        <f>+'DCA-Anexo I-HI'!B38+'DCA-Anexo I-HI'!B39+'DCA-Anexo I-HI'!B40</f>
        <v>5842845.25</v>
      </c>
    </row>
    <row r="38" spans="1:2" ht="12.75" customHeight="1">
      <c r="A38" s="4" t="s">
        <v>2770</v>
      </c>
      <c r="B38" s="12">
        <v>0</v>
      </c>
    </row>
    <row r="39" spans="1:2" ht="12.75" customHeight="1">
      <c r="A39" s="3" t="s">
        <v>2771</v>
      </c>
      <c r="B39" s="11">
        <v>0</v>
      </c>
    </row>
    <row r="40" spans="1:2" ht="12.75" customHeight="1">
      <c r="A40" s="4" t="s">
        <v>2772</v>
      </c>
      <c r="B40" s="12">
        <v>5842845.25</v>
      </c>
    </row>
    <row r="41" spans="1:2" ht="12.75" customHeight="1">
      <c r="A41" s="3" t="s">
        <v>2773</v>
      </c>
      <c r="B41" s="11">
        <f>+'DCA-Anexo I-HI'!B42</f>
        <v>0</v>
      </c>
    </row>
    <row r="42" spans="1:2" ht="12.75" customHeight="1">
      <c r="A42" s="4" t="s">
        <v>2774</v>
      </c>
      <c r="B42" s="12">
        <v>0</v>
      </c>
    </row>
    <row r="43" spans="1:2" ht="12.75" customHeight="1">
      <c r="A43" s="3" t="s">
        <v>2775</v>
      </c>
      <c r="B43" s="11">
        <f>+'DCA-Anexo I-HI'!B44+'DCA-Anexo I-HI'!B45+'DCA-Anexo I-HI'!B46+'DCA-Anexo I-HI'!B47+'DCA-Anexo I-HI'!B48</f>
        <v>0</v>
      </c>
    </row>
    <row r="44" spans="1:2" ht="12.75" customHeight="1">
      <c r="A44" s="4" t="s">
        <v>2776</v>
      </c>
      <c r="B44" s="12">
        <v>0</v>
      </c>
    </row>
    <row r="45" spans="1:2" ht="12.75" customHeight="1">
      <c r="A45" s="3" t="s">
        <v>2777</v>
      </c>
      <c r="B45" s="11">
        <v>0</v>
      </c>
    </row>
    <row r="46" spans="1:2" ht="12.75" customHeight="1">
      <c r="A46" s="4" t="s">
        <v>2778</v>
      </c>
      <c r="B46" s="12">
        <v>0</v>
      </c>
    </row>
    <row r="47" spans="1:2" ht="12.75" customHeight="1">
      <c r="A47" s="3" t="s">
        <v>2779</v>
      </c>
      <c r="B47" s="11">
        <v>0</v>
      </c>
    </row>
    <row r="48" spans="1:2" ht="25.5" customHeight="1">
      <c r="A48" s="4" t="s">
        <v>2780</v>
      </c>
      <c r="B48" s="12">
        <v>0</v>
      </c>
    </row>
    <row r="49" spans="1:2" ht="12.75" customHeight="1">
      <c r="A49" s="3" t="s">
        <v>2781</v>
      </c>
      <c r="B49" s="11">
        <f>+'DCA-Anexo I-HI'!B50+'DCA-Anexo I-HI'!B51</f>
        <v>0</v>
      </c>
    </row>
    <row r="50" spans="1:2" ht="25.5" customHeight="1">
      <c r="A50" s="4" t="s">
        <v>2782</v>
      </c>
      <c r="B50" s="12">
        <v>0</v>
      </c>
    </row>
    <row r="51" spans="1:2" ht="25.5" customHeight="1">
      <c r="A51" s="3" t="s">
        <v>2783</v>
      </c>
      <c r="B51" s="11">
        <v>0</v>
      </c>
    </row>
    <row r="52" spans="1:2" ht="12.75" customHeight="1">
      <c r="A52" s="4" t="s">
        <v>2784</v>
      </c>
      <c r="B52" s="12">
        <f>+'DCA-Anexo I-HI'!B53+'DCA-Anexo I-HI'!B56+'DCA-Anexo I-HI'!B55+'DCA-Anexo I-HI'!B57+'DCA-Anexo I-HI'!B54</f>
        <v>0</v>
      </c>
    </row>
    <row r="53" spans="1:2" ht="12.75" customHeight="1">
      <c r="A53" s="3" t="s">
        <v>2785</v>
      </c>
      <c r="B53" s="11">
        <v>0</v>
      </c>
    </row>
    <row r="54" spans="1:2" ht="12.75" customHeight="1">
      <c r="A54" s="4" t="s">
        <v>2786</v>
      </c>
      <c r="B54" s="12">
        <v>0</v>
      </c>
    </row>
    <row r="55" spans="1:2" ht="12.75" customHeight="1">
      <c r="A55" s="3" t="s">
        <v>2787</v>
      </c>
      <c r="B55" s="11">
        <v>0</v>
      </c>
    </row>
    <row r="56" spans="1:2" ht="12.75" customHeight="1">
      <c r="A56" s="4" t="s">
        <v>2788</v>
      </c>
      <c r="B56" s="12">
        <v>0</v>
      </c>
    </row>
    <row r="57" spans="1:2" ht="12.75" customHeight="1">
      <c r="A57" s="3" t="s">
        <v>2789</v>
      </c>
      <c r="B57" s="11">
        <v>0</v>
      </c>
    </row>
    <row r="58" spans="1:2" ht="12.75" customHeight="1">
      <c r="A58" s="4" t="s">
        <v>2790</v>
      </c>
      <c r="B58" s="12">
        <f>+'DCA-Anexo I-HI'!B63+'DCA-Anexo I-HI'!B59+'DCA-Anexo I-HI'!B61</f>
        <v>0</v>
      </c>
    </row>
    <row r="59" spans="1:2" ht="12.75" customHeight="1">
      <c r="A59" s="3" t="s">
        <v>2791</v>
      </c>
      <c r="B59" s="11">
        <f>+'DCA-Anexo I-HI'!B60</f>
        <v>0</v>
      </c>
    </row>
    <row r="60" spans="1:2" ht="12.75" customHeight="1">
      <c r="A60" s="4" t="s">
        <v>2792</v>
      </c>
      <c r="B60" s="12">
        <v>0</v>
      </c>
    </row>
    <row r="61" spans="1:2" ht="12.75" customHeight="1">
      <c r="A61" s="3" t="s">
        <v>2793</v>
      </c>
      <c r="B61" s="11">
        <f>+'DCA-Anexo I-HI'!B62</f>
        <v>0</v>
      </c>
    </row>
    <row r="62" spans="1:2" ht="12.75" customHeight="1">
      <c r="A62" s="4" t="s">
        <v>2794</v>
      </c>
      <c r="B62" s="12">
        <v>0</v>
      </c>
    </row>
    <row r="63" spans="1:2" ht="12.75" customHeight="1">
      <c r="A63" s="3" t="s">
        <v>2795</v>
      </c>
      <c r="B63" s="11">
        <f>+'DCA-Anexo I-HI'!B64</f>
        <v>0</v>
      </c>
    </row>
    <row r="64" spans="1:2" ht="12.75" customHeight="1">
      <c r="A64" s="4" t="s">
        <v>2796</v>
      </c>
      <c r="B64" s="12">
        <v>0</v>
      </c>
    </row>
    <row r="65" spans="1:2" ht="25.5" customHeight="1">
      <c r="A65" s="3" t="s">
        <v>2797</v>
      </c>
      <c r="B65" s="11">
        <f>+'DCA-Anexo I-HI'!B68+'DCA-Anexo I-HI'!B66+'DCA-Anexo I-HI'!B74</f>
        <v>20004.990000000002</v>
      </c>
    </row>
    <row r="66" spans="1:2" ht="12.75" customHeight="1">
      <c r="A66" s="4" t="s">
        <v>2798</v>
      </c>
      <c r="B66" s="12">
        <f>+'DCA-Anexo I-HI'!B67</f>
        <v>20004.990000000002</v>
      </c>
    </row>
    <row r="67" spans="1:2" ht="25.5" customHeight="1">
      <c r="A67" s="3" t="s">
        <v>2799</v>
      </c>
      <c r="B67" s="11">
        <v>20004.990000000002</v>
      </c>
    </row>
    <row r="68" spans="1:2" ht="12.75" customHeight="1">
      <c r="A68" s="4" t="s">
        <v>2800</v>
      </c>
      <c r="B68" s="12">
        <f>+'DCA-Anexo I-HI'!B69+'DCA-Anexo I-HI'!B70+'DCA-Anexo I-HI'!B71+'DCA-Anexo I-HI'!B72+'DCA-Anexo I-HI'!B73</f>
        <v>0</v>
      </c>
    </row>
    <row r="69" spans="1:2" ht="25.5" customHeight="1">
      <c r="A69" s="3" t="s">
        <v>2801</v>
      </c>
      <c r="B69" s="11">
        <v>0</v>
      </c>
    </row>
    <row r="70" spans="1:2" ht="25.5" customHeight="1">
      <c r="A70" s="4" t="s">
        <v>2802</v>
      </c>
      <c r="B70" s="12">
        <v>0</v>
      </c>
    </row>
    <row r="71" spans="1:2" ht="25.5" customHeight="1">
      <c r="A71" s="3" t="s">
        <v>2803</v>
      </c>
      <c r="B71" s="11">
        <v>0</v>
      </c>
    </row>
    <row r="72" spans="1:2" ht="25.5" customHeight="1">
      <c r="A72" s="4" t="s">
        <v>2804</v>
      </c>
      <c r="B72" s="12">
        <v>0</v>
      </c>
    </row>
    <row r="73" spans="1:2" ht="25.5" customHeight="1">
      <c r="A73" s="3" t="s">
        <v>2805</v>
      </c>
      <c r="B73" s="11">
        <v>0</v>
      </c>
    </row>
    <row r="74" spans="1:2" ht="12.75" customHeight="1">
      <c r="A74" s="4" t="s">
        <v>2806</v>
      </c>
      <c r="B74" s="12">
        <f>+'DCA-Anexo I-HI'!B75+'DCA-Anexo I-HI'!B76+'DCA-Anexo I-HI'!B77+'DCA-Anexo I-HI'!B78+'DCA-Anexo I-HI'!B79</f>
        <v>0</v>
      </c>
    </row>
    <row r="75" spans="1:2" ht="12.75" customHeight="1">
      <c r="A75" s="3" t="s">
        <v>2807</v>
      </c>
      <c r="B75" s="11">
        <v>0</v>
      </c>
    </row>
    <row r="76" spans="1:2" ht="12.75" customHeight="1">
      <c r="A76" s="4" t="s">
        <v>2808</v>
      </c>
      <c r="B76" s="12">
        <v>0</v>
      </c>
    </row>
    <row r="77" spans="1:2" ht="25.5" customHeight="1">
      <c r="A77" s="3" t="s">
        <v>2809</v>
      </c>
      <c r="B77" s="11">
        <v>0</v>
      </c>
    </row>
    <row r="78" spans="1:2" ht="25.5" customHeight="1">
      <c r="A78" s="4" t="s">
        <v>2810</v>
      </c>
      <c r="B78" s="12">
        <v>0</v>
      </c>
    </row>
    <row r="79" spans="1:2" ht="25.5" customHeight="1">
      <c r="A79" s="3" t="s">
        <v>2811</v>
      </c>
      <c r="B79" s="11">
        <v>0</v>
      </c>
    </row>
    <row r="80" spans="1:2" ht="12.75" customHeight="1">
      <c r="A80" s="4" t="s">
        <v>2812</v>
      </c>
      <c r="B80" s="12">
        <f>+'DCA-Anexo I-HI'!B108+'DCA-Anexo I-HI'!B120+'DCA-Anexo I-HI'!B101+'DCA-Anexo I-HI'!B81+'DCA-Anexo I-HI'!B92+'DCA-Anexo I-HI'!B117</f>
        <v>0</v>
      </c>
    </row>
    <row r="81" spans="1:2" ht="12.75" customHeight="1">
      <c r="A81" s="3" t="s">
        <v>2813</v>
      </c>
      <c r="B81" s="11">
        <f>+'DCA-Anexo I-HI'!B82+'DCA-Anexo I-HI'!B84+'DCA-Anexo I-HI'!B86+'DCA-Anexo I-HI'!B88+'DCA-Anexo I-HI'!B90</f>
        <v>0</v>
      </c>
    </row>
    <row r="82" spans="1:2" ht="12.75" customHeight="1">
      <c r="A82" s="4" t="s">
        <v>2814</v>
      </c>
      <c r="B82" s="12">
        <f>+'DCA-Anexo I-HI'!B83</f>
        <v>0</v>
      </c>
    </row>
    <row r="83" spans="1:2" ht="12.75" customHeight="1">
      <c r="A83" s="3" t="s">
        <v>2815</v>
      </c>
      <c r="B83" s="11">
        <v>0</v>
      </c>
    </row>
    <row r="84" spans="1:2" ht="12.75" customHeight="1">
      <c r="A84" s="4" t="s">
        <v>2816</v>
      </c>
      <c r="B84" s="12">
        <f>+'DCA-Anexo I-HI'!B85</f>
        <v>0</v>
      </c>
    </row>
    <row r="85" spans="1:2" ht="12.75" customHeight="1">
      <c r="A85" s="3" t="s">
        <v>2817</v>
      </c>
      <c r="B85" s="11">
        <v>0</v>
      </c>
    </row>
    <row r="86" spans="1:2" ht="12.75" customHeight="1">
      <c r="A86" s="4" t="s">
        <v>2818</v>
      </c>
      <c r="B86" s="12">
        <f>+'DCA-Anexo I-HI'!B87</f>
        <v>0</v>
      </c>
    </row>
    <row r="87" spans="1:2" ht="12.75" customHeight="1">
      <c r="A87" s="3" t="s">
        <v>2819</v>
      </c>
      <c r="B87" s="11">
        <v>0</v>
      </c>
    </row>
    <row r="88" spans="1:2" ht="12.75" customHeight="1">
      <c r="A88" s="4" t="s">
        <v>2820</v>
      </c>
      <c r="B88" s="12">
        <f>+'DCA-Anexo I-HI'!B89</f>
        <v>0</v>
      </c>
    </row>
    <row r="89" spans="1:2" ht="12.75" customHeight="1">
      <c r="A89" s="3" t="s">
        <v>2821</v>
      </c>
      <c r="B89" s="11">
        <v>0</v>
      </c>
    </row>
    <row r="90" spans="1:2" ht="12.75" customHeight="1">
      <c r="A90" s="4" t="s">
        <v>2822</v>
      </c>
      <c r="B90" s="12">
        <f>+'DCA-Anexo I-HI'!B91</f>
        <v>0</v>
      </c>
    </row>
    <row r="91" spans="1:2" ht="12.75" customHeight="1">
      <c r="A91" s="3" t="s">
        <v>2823</v>
      </c>
      <c r="B91" s="11">
        <v>0</v>
      </c>
    </row>
    <row r="92" spans="1:2" ht="12.75" customHeight="1">
      <c r="A92" s="4" t="s">
        <v>2824</v>
      </c>
      <c r="B92" s="12">
        <f>+'DCA-Anexo I-HI'!B97+'DCA-Anexo I-HI'!B93+'DCA-Anexo I-HI'!B95+'DCA-Anexo I-HI'!B99</f>
        <v>0</v>
      </c>
    </row>
    <row r="93" spans="1:2" ht="12.75" customHeight="1">
      <c r="A93" s="3" t="s">
        <v>2825</v>
      </c>
      <c r="B93" s="11">
        <f>+'DCA-Anexo I-HI'!B94</f>
        <v>0</v>
      </c>
    </row>
    <row r="94" spans="1:2" ht="12.75" customHeight="1">
      <c r="A94" s="4" t="s">
        <v>2826</v>
      </c>
      <c r="B94" s="12">
        <v>0</v>
      </c>
    </row>
    <row r="95" spans="1:2" ht="12.75" customHeight="1">
      <c r="A95" s="3" t="s">
        <v>2827</v>
      </c>
      <c r="B95" s="11">
        <f>+'DCA-Anexo I-HI'!B96</f>
        <v>0</v>
      </c>
    </row>
    <row r="96" spans="1:2" ht="12.75" customHeight="1">
      <c r="A96" s="4" t="s">
        <v>2828</v>
      </c>
      <c r="B96" s="12">
        <v>0</v>
      </c>
    </row>
    <row r="97" spans="1:2" ht="12.75" customHeight="1">
      <c r="A97" s="3" t="s">
        <v>2829</v>
      </c>
      <c r="B97" s="11">
        <f>+'DCA-Anexo I-HI'!B98</f>
        <v>0</v>
      </c>
    </row>
    <row r="98" spans="1:2" ht="12.75" customHeight="1">
      <c r="A98" s="4" t="s">
        <v>2830</v>
      </c>
      <c r="B98" s="12">
        <v>0</v>
      </c>
    </row>
    <row r="99" spans="1:2" ht="12.75" customHeight="1">
      <c r="A99" s="3" t="s">
        <v>2831</v>
      </c>
      <c r="B99" s="11">
        <f>+'DCA-Anexo I-HI'!B100</f>
        <v>0</v>
      </c>
    </row>
    <row r="100" spans="1:2" ht="12.75" customHeight="1">
      <c r="A100" s="4" t="s">
        <v>2832</v>
      </c>
      <c r="B100" s="12">
        <v>0</v>
      </c>
    </row>
    <row r="101" spans="1:2" ht="12.75" customHeight="1">
      <c r="A101" s="3" t="s">
        <v>2833</v>
      </c>
      <c r="B101" s="11">
        <f>+'DCA-Anexo I-HI'!B106+'DCA-Anexo I-HI'!B104+'DCA-Anexo I-HI'!B102</f>
        <v>0</v>
      </c>
    </row>
    <row r="102" spans="1:2" ht="12.75" customHeight="1">
      <c r="A102" s="4" t="s">
        <v>2834</v>
      </c>
      <c r="B102" s="12">
        <f>+'DCA-Anexo I-HI'!B103</f>
        <v>0</v>
      </c>
    </row>
    <row r="103" spans="1:2" ht="25.5" customHeight="1">
      <c r="A103" s="3" t="s">
        <v>2835</v>
      </c>
      <c r="B103" s="11">
        <v>0</v>
      </c>
    </row>
    <row r="104" spans="1:2" ht="25.5" customHeight="1">
      <c r="A104" s="4" t="s">
        <v>2836</v>
      </c>
      <c r="B104" s="12">
        <f>+'DCA-Anexo I-HI'!B105</f>
        <v>0</v>
      </c>
    </row>
    <row r="105" spans="1:2" ht="25.5" customHeight="1">
      <c r="A105" s="3" t="s">
        <v>2837</v>
      </c>
      <c r="B105" s="11">
        <v>0</v>
      </c>
    </row>
    <row r="106" spans="1:2" ht="12.75" customHeight="1">
      <c r="A106" s="4" t="s">
        <v>2838</v>
      </c>
      <c r="B106" s="12">
        <f>+'DCA-Anexo I-HI'!B107</f>
        <v>0</v>
      </c>
    </row>
    <row r="107" spans="1:2" ht="25.5" customHeight="1">
      <c r="A107" s="3" t="s">
        <v>2839</v>
      </c>
      <c r="B107" s="11">
        <v>0</v>
      </c>
    </row>
    <row r="108" spans="1:2" ht="12.75" customHeight="1">
      <c r="A108" s="4" t="s">
        <v>2840</v>
      </c>
      <c r="B108" s="12">
        <f>+'DCA-Anexo I-HI'!B109+'DCA-Anexo I-HI'!B111+'DCA-Anexo I-HI'!B113+'DCA-Anexo I-HI'!B115</f>
        <v>0</v>
      </c>
    </row>
    <row r="109" spans="1:2" ht="12.75" customHeight="1">
      <c r="A109" s="3" t="s">
        <v>2841</v>
      </c>
      <c r="B109" s="11">
        <f>+'DCA-Anexo I-HI'!B110</f>
        <v>0</v>
      </c>
    </row>
    <row r="110" spans="1:2" ht="12.75" customHeight="1">
      <c r="A110" s="4" t="s">
        <v>2842</v>
      </c>
      <c r="B110" s="12">
        <v>0</v>
      </c>
    </row>
    <row r="111" spans="1:2" ht="12.75" customHeight="1">
      <c r="A111" s="3" t="s">
        <v>2843</v>
      </c>
      <c r="B111" s="11">
        <f>+'DCA-Anexo I-HI'!B112</f>
        <v>0</v>
      </c>
    </row>
    <row r="112" spans="1:2" ht="12.75" customHeight="1">
      <c r="A112" s="4" t="s">
        <v>2844</v>
      </c>
      <c r="B112" s="12">
        <v>0</v>
      </c>
    </row>
    <row r="113" spans="1:2" ht="25.5" customHeight="1">
      <c r="A113" s="3" t="s">
        <v>2845</v>
      </c>
      <c r="B113" s="11">
        <f>+'DCA-Anexo I-HI'!B114</f>
        <v>0</v>
      </c>
    </row>
    <row r="114" spans="1:2" ht="25.5" customHeight="1">
      <c r="A114" s="4" t="s">
        <v>2846</v>
      </c>
      <c r="B114" s="12">
        <v>0</v>
      </c>
    </row>
    <row r="115" spans="1:2" ht="12.75" customHeight="1">
      <c r="A115" s="3" t="s">
        <v>2847</v>
      </c>
      <c r="B115" s="11">
        <f>+'DCA-Anexo I-HI'!B116</f>
        <v>0</v>
      </c>
    </row>
    <row r="116" spans="1:2" ht="25.5" customHeight="1">
      <c r="A116" s="4" t="s">
        <v>2848</v>
      </c>
      <c r="B116" s="12">
        <v>0</v>
      </c>
    </row>
    <row r="117" spans="1:2" ht="12.75" customHeight="1">
      <c r="A117" s="3" t="s">
        <v>2849</v>
      </c>
      <c r="B117" s="11">
        <f>+'DCA-Anexo I-HI'!B118</f>
        <v>0</v>
      </c>
    </row>
    <row r="118" spans="1:2" ht="12.75" customHeight="1">
      <c r="A118" s="4" t="s">
        <v>2850</v>
      </c>
      <c r="B118" s="12">
        <f>+'DCA-Anexo I-HI'!B119</f>
        <v>0</v>
      </c>
    </row>
    <row r="119" spans="1:2" ht="25.5" customHeight="1">
      <c r="A119" s="3" t="s">
        <v>2851</v>
      </c>
      <c r="B119" s="11">
        <v>0</v>
      </c>
    </row>
    <row r="120" spans="1:2" ht="12.75" customHeight="1">
      <c r="A120" s="4" t="s">
        <v>2852</v>
      </c>
      <c r="B120" s="12">
        <f>+'DCA-Anexo I-HI'!B128+'DCA-Anexo I-HI'!B124+'DCA-Anexo I-HI'!B121+'DCA-Anexo I-HI'!B126</f>
        <v>0</v>
      </c>
    </row>
    <row r="121" spans="1:2" ht="25.5" customHeight="1">
      <c r="A121" s="3" t="s">
        <v>2853</v>
      </c>
      <c r="B121" s="11">
        <f>+'DCA-Anexo I-HI'!B122+'DCA-Anexo I-HI'!B123</f>
        <v>0</v>
      </c>
    </row>
    <row r="122" spans="1:2" ht="25.5" customHeight="1">
      <c r="A122" s="4" t="s">
        <v>2854</v>
      </c>
      <c r="B122" s="12">
        <v>0</v>
      </c>
    </row>
    <row r="123" spans="1:2" ht="25.5" customHeight="1">
      <c r="A123" s="3" t="s">
        <v>2855</v>
      </c>
      <c r="B123" s="11">
        <v>0</v>
      </c>
    </row>
    <row r="124" spans="1:2" ht="25.5" customHeight="1">
      <c r="A124" s="4" t="s">
        <v>2856</v>
      </c>
      <c r="B124" s="12">
        <f>+'DCA-Anexo I-HI'!B125</f>
        <v>0</v>
      </c>
    </row>
    <row r="125" spans="1:2" ht="25.5" customHeight="1">
      <c r="A125" s="3" t="s">
        <v>2857</v>
      </c>
      <c r="B125" s="11">
        <v>0</v>
      </c>
    </row>
    <row r="126" spans="1:2" ht="25.5" customHeight="1">
      <c r="A126" s="4" t="s">
        <v>2858</v>
      </c>
      <c r="B126" s="12">
        <f>+'DCA-Anexo I-HI'!B127</f>
        <v>0</v>
      </c>
    </row>
    <row r="127" spans="1:2" ht="25.5" customHeight="1">
      <c r="A127" s="3" t="s">
        <v>2859</v>
      </c>
      <c r="B127" s="11">
        <v>0</v>
      </c>
    </row>
    <row r="128" spans="1:2" ht="12.75" customHeight="1">
      <c r="A128" s="4" t="s">
        <v>2860</v>
      </c>
      <c r="B128" s="12">
        <f>+'DCA-Anexo I-HI'!B129+'DCA-Anexo I-HI'!B130</f>
        <v>0</v>
      </c>
    </row>
    <row r="129" spans="1:2" ht="25.5" customHeight="1">
      <c r="A129" s="3" t="s">
        <v>2861</v>
      </c>
      <c r="B129" s="11">
        <v>0</v>
      </c>
    </row>
    <row r="130" spans="1:2" ht="25.5" customHeight="1">
      <c r="A130" s="4" t="s">
        <v>2862</v>
      </c>
      <c r="B130" s="12">
        <v>0</v>
      </c>
    </row>
    <row r="131" spans="1:2" ht="12.75" customHeight="1">
      <c r="A131" s="3" t="s">
        <v>2863</v>
      </c>
      <c r="B131" s="11">
        <f>+'DCA-Anexo I-HI'!B158+'DCA-Anexo I-HI'!B141+'DCA-Anexo I-HI'!B132</f>
        <v>80117573.109999999</v>
      </c>
    </row>
    <row r="132" spans="1:2" ht="12.75" customHeight="1">
      <c r="A132" s="4" t="s">
        <v>2864</v>
      </c>
      <c r="B132" s="12">
        <f>+'DCA-Anexo I-HI'!B135+'DCA-Anexo I-HI'!B133</f>
        <v>23774678.629999999</v>
      </c>
    </row>
    <row r="133" spans="1:2" ht="12.75" customHeight="1">
      <c r="A133" s="3" t="s">
        <v>2865</v>
      </c>
      <c r="B133" s="11">
        <f>+'DCA-Anexo I-HI'!B134</f>
        <v>23531508.149999999</v>
      </c>
    </row>
    <row r="134" spans="1:2" ht="12.75" customHeight="1">
      <c r="A134" s="4" t="s">
        <v>2866</v>
      </c>
      <c r="B134" s="12">
        <v>23531508.149999999</v>
      </c>
    </row>
    <row r="135" spans="1:2" ht="12.75" customHeight="1">
      <c r="A135" s="3" t="s">
        <v>2867</v>
      </c>
      <c r="B135" s="11">
        <f>+'DCA-Anexo I-HI'!B136+'DCA-Anexo I-HI'!B137+'DCA-Anexo I-HI'!B138+'DCA-Anexo I-HI'!B139+'DCA-Anexo I-HI'!B140</f>
        <v>243170.48</v>
      </c>
    </row>
    <row r="136" spans="1:2" ht="12.75" customHeight="1">
      <c r="A136" s="4" t="s">
        <v>2868</v>
      </c>
      <c r="B136" s="12">
        <v>243170.48</v>
      </c>
    </row>
    <row r="137" spans="1:2" ht="12.75" customHeight="1">
      <c r="A137" s="3" t="s">
        <v>2869</v>
      </c>
      <c r="B137" s="11">
        <v>0</v>
      </c>
    </row>
    <row r="138" spans="1:2" ht="25.5" customHeight="1">
      <c r="A138" s="4" t="s">
        <v>2870</v>
      </c>
      <c r="B138" s="12">
        <v>0</v>
      </c>
    </row>
    <row r="139" spans="1:2" ht="25.5" customHeight="1">
      <c r="A139" s="3" t="s">
        <v>2871</v>
      </c>
      <c r="B139" s="11">
        <v>0</v>
      </c>
    </row>
    <row r="140" spans="1:2" ht="25.5" customHeight="1">
      <c r="A140" s="4" t="s">
        <v>2872</v>
      </c>
      <c r="B140" s="12">
        <v>0</v>
      </c>
    </row>
    <row r="141" spans="1:2" ht="12.75" customHeight="1">
      <c r="A141" s="3" t="s">
        <v>2873</v>
      </c>
      <c r="B141" s="11">
        <f>+'DCA-Anexo I-HI'!B152+'DCA-Anexo I-HI'!B146+'DCA-Anexo I-HI'!B142+'DCA-Anexo I-HI'!B144</f>
        <v>54635861.839999996</v>
      </c>
    </row>
    <row r="142" spans="1:2" ht="12.75" customHeight="1">
      <c r="A142" s="4" t="s">
        <v>2874</v>
      </c>
      <c r="B142" s="12">
        <f>+'DCA-Anexo I-HI'!B143</f>
        <v>1210345</v>
      </c>
    </row>
    <row r="143" spans="1:2" ht="12.75" customHeight="1">
      <c r="A143" s="3" t="s">
        <v>2875</v>
      </c>
      <c r="B143" s="11">
        <v>1210345</v>
      </c>
    </row>
    <row r="144" spans="1:2" ht="12.75" customHeight="1">
      <c r="A144" s="4" t="s">
        <v>2876</v>
      </c>
      <c r="B144" s="12">
        <f>+'DCA-Anexo I-HI'!B145</f>
        <v>2326372.58</v>
      </c>
    </row>
    <row r="145" spans="1:2" ht="12.75" customHeight="1">
      <c r="A145" s="3" t="s">
        <v>2877</v>
      </c>
      <c r="B145" s="11">
        <v>2326372.58</v>
      </c>
    </row>
    <row r="146" spans="1:2" ht="12.75" customHeight="1">
      <c r="A146" s="4" t="s">
        <v>2878</v>
      </c>
      <c r="B146" s="12">
        <f>+'DCA-Anexo I-HI'!B147+'DCA-Anexo I-HI'!B148+'DCA-Anexo I-HI'!B149+'DCA-Anexo I-HI'!B150+'DCA-Anexo I-HI'!B151</f>
        <v>51099144.259999998</v>
      </c>
    </row>
    <row r="147" spans="1:2" ht="12.75" customHeight="1">
      <c r="A147" s="3" t="s">
        <v>2879</v>
      </c>
      <c r="B147" s="11">
        <v>51099144.259999998</v>
      </c>
    </row>
    <row r="148" spans="1:2" ht="12.75" customHeight="1">
      <c r="A148" s="4" t="s">
        <v>2880</v>
      </c>
      <c r="B148" s="12">
        <v>0</v>
      </c>
    </row>
    <row r="149" spans="1:2" ht="12.75" customHeight="1">
      <c r="A149" s="3" t="s">
        <v>2881</v>
      </c>
      <c r="B149" s="11">
        <v>0</v>
      </c>
    </row>
    <row r="150" spans="1:2" ht="12.75" customHeight="1">
      <c r="A150" s="4" t="s">
        <v>2882</v>
      </c>
      <c r="B150" s="12">
        <v>0</v>
      </c>
    </row>
    <row r="151" spans="1:2" ht="12.75" customHeight="1">
      <c r="A151" s="3" t="s">
        <v>2883</v>
      </c>
      <c r="B151" s="11">
        <v>0</v>
      </c>
    </row>
    <row r="152" spans="1:2" ht="25.5" customHeight="1">
      <c r="A152" s="4" t="s">
        <v>2884</v>
      </c>
      <c r="B152" s="12">
        <f>+'DCA-Anexo I-HI'!B153+'DCA-Anexo I-HI'!B154+'DCA-Anexo I-HI'!B155+'DCA-Anexo I-HI'!B156+'DCA-Anexo I-HI'!B157</f>
        <v>0</v>
      </c>
    </row>
    <row r="153" spans="1:2" ht="25.5" customHeight="1">
      <c r="A153" s="3" t="s">
        <v>2885</v>
      </c>
      <c r="B153" s="11">
        <v>0</v>
      </c>
    </row>
    <row r="154" spans="1:2" ht="25.5" customHeight="1">
      <c r="A154" s="4" t="s">
        <v>2886</v>
      </c>
      <c r="B154" s="12">
        <v>0</v>
      </c>
    </row>
    <row r="155" spans="1:2" ht="25.5" customHeight="1">
      <c r="A155" s="3" t="s">
        <v>2887</v>
      </c>
      <c r="B155" s="11">
        <v>0</v>
      </c>
    </row>
    <row r="156" spans="1:2" ht="25.5" customHeight="1">
      <c r="A156" s="4" t="s">
        <v>2888</v>
      </c>
      <c r="B156" s="12">
        <v>0</v>
      </c>
    </row>
    <row r="157" spans="1:2" ht="25.5" customHeight="1">
      <c r="A157" s="3" t="s">
        <v>2889</v>
      </c>
      <c r="B157" s="11">
        <v>0</v>
      </c>
    </row>
    <row r="158" spans="1:2" ht="12.75" customHeight="1">
      <c r="A158" s="4" t="s">
        <v>2890</v>
      </c>
      <c r="B158" s="12">
        <f>+'DCA-Anexo I-HI'!B161+'DCA-Anexo I-HI'!B163+'DCA-Anexo I-HI'!B159</f>
        <v>1707032.64</v>
      </c>
    </row>
    <row r="159" spans="1:2" ht="12.75" customHeight="1">
      <c r="A159" s="3" t="s">
        <v>2891</v>
      </c>
      <c r="B159" s="11">
        <f>+'DCA-Anexo I-HI'!B160</f>
        <v>1707032.64</v>
      </c>
    </row>
    <row r="160" spans="1:2" ht="12.75" customHeight="1">
      <c r="A160" s="4" t="s">
        <v>2892</v>
      </c>
      <c r="B160" s="12">
        <v>1707032.64</v>
      </c>
    </row>
    <row r="161" spans="1:2" ht="12.75" customHeight="1">
      <c r="A161" s="3" t="s">
        <v>2893</v>
      </c>
      <c r="B161" s="11">
        <f>+'DCA-Anexo I-HI'!B162</f>
        <v>0</v>
      </c>
    </row>
    <row r="162" spans="1:2" ht="12.75" customHeight="1">
      <c r="A162" s="4" t="s">
        <v>2894</v>
      </c>
      <c r="B162" s="12">
        <v>0</v>
      </c>
    </row>
    <row r="163" spans="1:2" ht="12.75" customHeight="1">
      <c r="A163" s="3" t="s">
        <v>2895</v>
      </c>
      <c r="B163" s="11">
        <f>+'DCA-Anexo I-HI'!B164</f>
        <v>0</v>
      </c>
    </row>
    <row r="164" spans="1:2" ht="12.75" customHeight="1">
      <c r="A164" s="4" t="s">
        <v>2896</v>
      </c>
      <c r="B164" s="12">
        <v>0</v>
      </c>
    </row>
    <row r="165" spans="1:2" ht="12.75" customHeight="1">
      <c r="A165" s="3" t="s">
        <v>2897</v>
      </c>
      <c r="B165" s="11">
        <f>+'DCA-Anexo I-HI'!B166+'DCA-Anexo I-HI'!B191+'DCA-Anexo I-HI'!B230+'DCA-Anexo I-HI'!B259+'DCA-Anexo I-HI'!B271+'DCA-Anexo I-HI'!B278+'DCA-Anexo I-HI'!B283+'DCA-Anexo I-HI'!B266</f>
        <v>1329246.5599999998</v>
      </c>
    </row>
    <row r="166" spans="1:2" ht="25.5" customHeight="1">
      <c r="A166" s="4" t="s">
        <v>2898</v>
      </c>
      <c r="B166" s="12">
        <f>+'DCA-Anexo I-HI'!B189+'DCA-Anexo I-HI'!B173+'DCA-Anexo I-HI'!B181+'DCA-Anexo I-HI'!B183+'DCA-Anexo I-HI'!B167+'DCA-Anexo I-HI'!B175</f>
        <v>1325125.4099999999</v>
      </c>
    </row>
    <row r="167" spans="1:2" ht="12.75" customHeight="1">
      <c r="A167" s="3" t="s">
        <v>2899</v>
      </c>
      <c r="B167" s="11">
        <f>+'DCA-Anexo I-HI'!B171+'DCA-Anexo I-HI'!B172+'DCA-Anexo I-HI'!B170+'DCA-Anexo I-HI'!B168+'DCA-Anexo I-HI'!B169</f>
        <v>0</v>
      </c>
    </row>
    <row r="168" spans="1:2" ht="25.5" customHeight="1">
      <c r="A168" s="4" t="s">
        <v>2900</v>
      </c>
      <c r="B168" s="12">
        <v>0</v>
      </c>
    </row>
    <row r="169" spans="1:2" ht="25.5" customHeight="1">
      <c r="A169" s="3" t="s">
        <v>2901</v>
      </c>
      <c r="B169" s="11"/>
    </row>
    <row r="170" spans="1:2" ht="25.5" customHeight="1">
      <c r="A170" s="4" t="s">
        <v>2902</v>
      </c>
      <c r="B170" s="12"/>
    </row>
    <row r="171" spans="1:2" ht="25.5" customHeight="1">
      <c r="A171" s="3" t="s">
        <v>2903</v>
      </c>
      <c r="B171" s="11"/>
    </row>
    <row r="172" spans="1:2" ht="25.5" customHeight="1">
      <c r="A172" s="4" t="s">
        <v>2904</v>
      </c>
      <c r="B172" s="12"/>
    </row>
    <row r="173" spans="1:2" ht="12.75" customHeight="1">
      <c r="A173" s="3" t="s">
        <v>2905</v>
      </c>
      <c r="B173" s="11">
        <f>+'DCA-Anexo I-HI'!B174</f>
        <v>0</v>
      </c>
    </row>
    <row r="174" spans="1:2" ht="25.5" customHeight="1">
      <c r="A174" s="4" t="s">
        <v>2906</v>
      </c>
      <c r="B174" s="12"/>
    </row>
    <row r="175" spans="1:2" ht="12.75" customHeight="1">
      <c r="A175" s="3" t="s">
        <v>2907</v>
      </c>
      <c r="B175" s="11">
        <f>+'DCA-Anexo I-HI'!B176+'DCA-Anexo I-HI'!B177+'DCA-Anexo I-HI'!B178+'DCA-Anexo I-HI'!B179+'DCA-Anexo I-HI'!B180</f>
        <v>0</v>
      </c>
    </row>
    <row r="176" spans="1:2" ht="12.75" customHeight="1">
      <c r="A176" s="4" t="s">
        <v>2908</v>
      </c>
      <c r="B176" s="12"/>
    </row>
    <row r="177" spans="1:2" ht="12.75" customHeight="1">
      <c r="A177" s="3" t="s">
        <v>2909</v>
      </c>
      <c r="B177" s="11"/>
    </row>
    <row r="178" spans="1:2" ht="25.5" customHeight="1">
      <c r="A178" s="4" t="s">
        <v>2910</v>
      </c>
      <c r="B178" s="12"/>
    </row>
    <row r="179" spans="1:2" ht="25.5" customHeight="1">
      <c r="A179" s="3" t="s">
        <v>2911</v>
      </c>
      <c r="B179" s="11"/>
    </row>
    <row r="180" spans="1:2" ht="25.5" customHeight="1">
      <c r="A180" s="4" t="s">
        <v>2912</v>
      </c>
      <c r="B180" s="12"/>
    </row>
    <row r="181" spans="1:2" ht="25.5" customHeight="1">
      <c r="A181" s="3" t="s">
        <v>2913</v>
      </c>
      <c r="B181" s="11">
        <f>+'DCA-Anexo I-HI'!B182</f>
        <v>0</v>
      </c>
    </row>
    <row r="182" spans="1:2" ht="25.5" customHeight="1">
      <c r="A182" s="4" t="s">
        <v>2914</v>
      </c>
      <c r="B182" s="12"/>
    </row>
    <row r="183" spans="1:2" ht="25.5" customHeight="1">
      <c r="A183" s="3" t="s">
        <v>2915</v>
      </c>
      <c r="B183" s="11">
        <f>+'DCA-Anexo I-HI'!B184+'DCA-Anexo I-HI'!B186+'DCA-Anexo I-HI'!B188+'DCA-Anexo I-HI'!B187+'DCA-Anexo I-HI'!B185</f>
        <v>1325125.4099999999</v>
      </c>
    </row>
    <row r="184" spans="1:2" ht="25.5" customHeight="1">
      <c r="A184" s="4" t="s">
        <v>2916</v>
      </c>
      <c r="B184" s="12">
        <v>1325125.4099999999</v>
      </c>
    </row>
    <row r="185" spans="1:2" ht="25.5" customHeight="1">
      <c r="A185" s="3" t="s">
        <v>2917</v>
      </c>
      <c r="B185" s="11"/>
    </row>
    <row r="186" spans="1:2" ht="25.5" customHeight="1">
      <c r="A186" s="4" t="s">
        <v>2918</v>
      </c>
      <c r="B186" s="12"/>
    </row>
    <row r="187" spans="1:2" ht="25.5" customHeight="1">
      <c r="A187" s="3" t="s">
        <v>2919</v>
      </c>
      <c r="B187" s="11"/>
    </row>
    <row r="188" spans="1:2" ht="25.5" customHeight="1">
      <c r="A188" s="4" t="s">
        <v>2920</v>
      </c>
      <c r="B188" s="12"/>
    </row>
    <row r="189" spans="1:2" ht="25.5" customHeight="1">
      <c r="A189" s="3" t="s">
        <v>2921</v>
      </c>
      <c r="B189" s="11">
        <f>+'DCA-Anexo I-HI'!B190</f>
        <v>0</v>
      </c>
    </row>
    <row r="190" spans="1:2" ht="25.5" customHeight="1">
      <c r="A190" s="4" t="s">
        <v>2922</v>
      </c>
      <c r="B190" s="12"/>
    </row>
    <row r="191" spans="1:2" ht="12.75" customHeight="1">
      <c r="A191" s="3" t="s">
        <v>2923</v>
      </c>
      <c r="B191" s="11">
        <f>+'DCA-Anexo I-HI'!B224+'DCA-Anexo I-HI'!B198+'DCA-Anexo I-HI'!B206+'DCA-Anexo I-HI'!B192+'DCA-Anexo I-HI'!B200+'DCA-Anexo I-HI'!B212+'DCA-Anexo I-HI'!B218</f>
        <v>0</v>
      </c>
    </row>
    <row r="192" spans="1:2" ht="25.5" customHeight="1">
      <c r="A192" s="4" t="s">
        <v>2924</v>
      </c>
      <c r="B192" s="12">
        <f>+'DCA-Anexo I-HI'!B195+'DCA-Anexo I-HI'!B196+'DCA-Anexo I-HI'!B193+'DCA-Anexo I-HI'!B197+'DCA-Anexo I-HI'!B194</f>
        <v>0</v>
      </c>
    </row>
    <row r="193" spans="1:2" ht="25.5" customHeight="1">
      <c r="A193" s="3" t="s">
        <v>2925</v>
      </c>
      <c r="B193" s="11"/>
    </row>
    <row r="194" spans="1:2" ht="25.5" customHeight="1">
      <c r="A194" s="4" t="s">
        <v>2926</v>
      </c>
      <c r="B194" s="12"/>
    </row>
    <row r="195" spans="1:2" ht="25.5" customHeight="1">
      <c r="A195" s="3" t="s">
        <v>2927</v>
      </c>
      <c r="B195" s="11"/>
    </row>
    <row r="196" spans="1:2" ht="25.5" customHeight="1">
      <c r="A196" s="4" t="s">
        <v>2928</v>
      </c>
      <c r="B196" s="12"/>
    </row>
    <row r="197" spans="1:2" ht="25.5" customHeight="1">
      <c r="A197" s="3" t="s">
        <v>2929</v>
      </c>
      <c r="B197" s="11"/>
    </row>
    <row r="198" spans="1:2" ht="25.5" customHeight="1">
      <c r="A198" s="4" t="s">
        <v>2930</v>
      </c>
      <c r="B198" s="12">
        <f>+'DCA-Anexo I-HI'!B199</f>
        <v>0</v>
      </c>
    </row>
    <row r="199" spans="1:2" ht="25.5" customHeight="1">
      <c r="A199" s="3" t="s">
        <v>2931</v>
      </c>
      <c r="B199" s="11"/>
    </row>
    <row r="200" spans="1:2" ht="25.5" customHeight="1">
      <c r="A200" s="4" t="s">
        <v>2932</v>
      </c>
      <c r="B200" s="12">
        <f>+'DCA-Anexo I-HI'!B201+'DCA-Anexo I-HI'!B202+'DCA-Anexo I-HI'!B203+'DCA-Anexo I-HI'!B204+'DCA-Anexo I-HI'!B205</f>
        <v>0</v>
      </c>
    </row>
    <row r="201" spans="1:2" ht="25.5" customHeight="1">
      <c r="A201" s="3" t="s">
        <v>2933</v>
      </c>
      <c r="B201" s="11"/>
    </row>
    <row r="202" spans="1:2" ht="25.5" customHeight="1">
      <c r="A202" s="4" t="s">
        <v>2934</v>
      </c>
      <c r="B202" s="12"/>
    </row>
    <row r="203" spans="1:2" ht="25.5" customHeight="1">
      <c r="A203" s="3" t="s">
        <v>2935</v>
      </c>
      <c r="B203" s="11"/>
    </row>
    <row r="204" spans="1:2" ht="25.5" customHeight="1">
      <c r="A204" s="4" t="s">
        <v>2936</v>
      </c>
      <c r="B204" s="12"/>
    </row>
    <row r="205" spans="1:2" ht="25.5" customHeight="1">
      <c r="A205" s="3" t="s">
        <v>2937</v>
      </c>
      <c r="B205" s="11"/>
    </row>
    <row r="206" spans="1:2" ht="12.75" customHeight="1">
      <c r="A206" s="4" t="s">
        <v>2938</v>
      </c>
      <c r="B206" s="12">
        <f>+'DCA-Anexo I-HI'!B207+'DCA-Anexo I-HI'!B208+'DCA-Anexo I-HI'!B209+'DCA-Anexo I-HI'!B210+'DCA-Anexo I-HI'!B211</f>
        <v>0</v>
      </c>
    </row>
    <row r="207" spans="1:2" ht="25.5" customHeight="1">
      <c r="A207" s="3" t="s">
        <v>2939</v>
      </c>
      <c r="B207" s="11"/>
    </row>
    <row r="208" spans="1:2" ht="25.5" customHeight="1">
      <c r="A208" s="4" t="s">
        <v>2940</v>
      </c>
      <c r="B208" s="12"/>
    </row>
    <row r="209" spans="1:2" ht="25.5" customHeight="1">
      <c r="A209" s="3" t="s">
        <v>2941</v>
      </c>
      <c r="B209" s="11"/>
    </row>
    <row r="210" spans="1:2" ht="25.5" customHeight="1">
      <c r="A210" s="4" t="s">
        <v>2942</v>
      </c>
      <c r="B210" s="12"/>
    </row>
    <row r="211" spans="1:2" ht="25.5" customHeight="1">
      <c r="A211" s="3" t="s">
        <v>2943</v>
      </c>
      <c r="B211" s="11"/>
    </row>
    <row r="212" spans="1:2" ht="25.5" customHeight="1">
      <c r="A212" s="4" t="s">
        <v>2944</v>
      </c>
      <c r="B212" s="12">
        <f>+'DCA-Anexo I-HI'!B213+'DCA-Anexo I-HI'!B214+'DCA-Anexo I-HI'!B215+'DCA-Anexo I-HI'!B216+'DCA-Anexo I-HI'!B217</f>
        <v>0</v>
      </c>
    </row>
    <row r="213" spans="1:2" ht="25.5" customHeight="1">
      <c r="A213" s="3" t="s">
        <v>2945</v>
      </c>
      <c r="B213" s="11"/>
    </row>
    <row r="214" spans="1:2" ht="25.5" customHeight="1">
      <c r="A214" s="4" t="s">
        <v>2946</v>
      </c>
      <c r="B214" s="12"/>
    </row>
    <row r="215" spans="1:2" ht="25.5" customHeight="1">
      <c r="A215" s="3" t="s">
        <v>2947</v>
      </c>
      <c r="B215" s="11"/>
    </row>
    <row r="216" spans="1:2" ht="25.5" customHeight="1">
      <c r="A216" s="4" t="s">
        <v>2948</v>
      </c>
      <c r="B216" s="12"/>
    </row>
    <row r="217" spans="1:2" ht="25.5" customHeight="1">
      <c r="A217" s="3" t="s">
        <v>2949</v>
      </c>
      <c r="B217" s="11"/>
    </row>
    <row r="218" spans="1:2" ht="25.5" customHeight="1">
      <c r="A218" s="4" t="s">
        <v>2950</v>
      </c>
      <c r="B218" s="12">
        <f>+'DCA-Anexo I-HI'!B219+'DCA-Anexo I-HI'!B220+'DCA-Anexo I-HI'!B221+'DCA-Anexo I-HI'!B222+'DCA-Anexo I-HI'!B223</f>
        <v>0</v>
      </c>
    </row>
    <row r="219" spans="1:2" ht="25.5" customHeight="1">
      <c r="A219" s="3" t="s">
        <v>2951</v>
      </c>
      <c r="B219" s="11"/>
    </row>
    <row r="220" spans="1:2" ht="25.5" customHeight="1">
      <c r="A220" s="4" t="s">
        <v>2952</v>
      </c>
      <c r="B220" s="12"/>
    </row>
    <row r="221" spans="1:2" ht="25.5" customHeight="1">
      <c r="A221" s="3" t="s">
        <v>2953</v>
      </c>
      <c r="B221" s="11"/>
    </row>
    <row r="222" spans="1:2" ht="25.5" customHeight="1">
      <c r="A222" s="4" t="s">
        <v>2954</v>
      </c>
      <c r="B222" s="12"/>
    </row>
    <row r="223" spans="1:2" ht="25.5" customHeight="1">
      <c r="A223" s="3" t="s">
        <v>2955</v>
      </c>
      <c r="B223" s="11"/>
    </row>
    <row r="224" spans="1:2" ht="12.75" customHeight="1">
      <c r="A224" s="4" t="s">
        <v>2956</v>
      </c>
      <c r="B224" s="12">
        <f>+'DCA-Anexo I-HI'!B225+'DCA-Anexo I-HI'!B226+'DCA-Anexo I-HI'!B227+'DCA-Anexo I-HI'!B228+'DCA-Anexo I-HI'!B229</f>
        <v>0</v>
      </c>
    </row>
    <row r="225" spans="1:2" ht="12.75" customHeight="1">
      <c r="A225" s="3" t="s">
        <v>2957</v>
      </c>
      <c r="B225" s="11"/>
    </row>
    <row r="226" spans="1:2" ht="12.75" customHeight="1">
      <c r="A226" s="4" t="s">
        <v>2958</v>
      </c>
      <c r="B226" s="12"/>
    </row>
    <row r="227" spans="1:2" ht="12.75" customHeight="1">
      <c r="A227" s="3" t="s">
        <v>2959</v>
      </c>
      <c r="B227" s="11"/>
    </row>
    <row r="228" spans="1:2" ht="25.5" customHeight="1">
      <c r="A228" s="4" t="s">
        <v>2960</v>
      </c>
      <c r="B228" s="12"/>
    </row>
    <row r="229" spans="1:2" ht="25.5" customHeight="1">
      <c r="A229" s="3" t="s">
        <v>2961</v>
      </c>
      <c r="B229" s="11"/>
    </row>
    <row r="230" spans="1:2" ht="12.75" customHeight="1">
      <c r="A230" s="4" t="s">
        <v>2962</v>
      </c>
      <c r="B230" s="12">
        <f>+'DCA-Anexo I-HI'!B231+'DCA-Anexo I-HI'!B237+'DCA-Anexo I-HI'!B239+'DCA-Anexo I-HI'!B245+'DCA-Anexo I-HI'!B247+'DCA-Anexo I-HI'!B253</f>
        <v>4121.1499999999996</v>
      </c>
    </row>
    <row r="231" spans="1:2" ht="25.5" customHeight="1">
      <c r="A231" s="3" t="s">
        <v>2963</v>
      </c>
      <c r="B231" s="11">
        <f>+'DCA-Anexo I-HI'!B236+'DCA-Anexo I-HI'!B235+'DCA-Anexo I-HI'!B234+'DCA-Anexo I-HI'!B232+'DCA-Anexo I-HI'!B233</f>
        <v>0</v>
      </c>
    </row>
    <row r="232" spans="1:2" ht="25.5" customHeight="1">
      <c r="A232" s="4" t="s">
        <v>2964</v>
      </c>
      <c r="B232" s="12"/>
    </row>
    <row r="233" spans="1:2" ht="25.5" customHeight="1">
      <c r="A233" s="3" t="s">
        <v>2965</v>
      </c>
      <c r="B233" s="11"/>
    </row>
    <row r="234" spans="1:2" ht="25.5" customHeight="1">
      <c r="A234" s="4" t="s">
        <v>2966</v>
      </c>
      <c r="B234" s="12"/>
    </row>
    <row r="235" spans="1:2" ht="25.5" customHeight="1">
      <c r="A235" s="3" t="s">
        <v>2967</v>
      </c>
      <c r="B235" s="11"/>
    </row>
    <row r="236" spans="1:2" ht="25.5" customHeight="1">
      <c r="A236" s="4" t="s">
        <v>2968</v>
      </c>
      <c r="B236" s="12"/>
    </row>
    <row r="237" spans="1:2" ht="25.5" customHeight="1">
      <c r="A237" s="3" t="s">
        <v>2969</v>
      </c>
      <c r="B237" s="11">
        <f>+'DCA-Anexo I-HI'!B238</f>
        <v>0</v>
      </c>
    </row>
    <row r="238" spans="1:2" ht="25.5" customHeight="1">
      <c r="A238" s="4" t="s">
        <v>2970</v>
      </c>
      <c r="B238" s="12"/>
    </row>
    <row r="239" spans="1:2" ht="25.5" customHeight="1">
      <c r="A239" s="3" t="s">
        <v>2971</v>
      </c>
      <c r="B239" s="11">
        <f>+'DCA-Anexo I-HI'!B240+'DCA-Anexo I-HI'!B241+'DCA-Anexo I-HI'!B242+'DCA-Anexo I-HI'!B243+'DCA-Anexo I-HI'!B244</f>
        <v>0</v>
      </c>
    </row>
    <row r="240" spans="1:2" ht="25.5" customHeight="1">
      <c r="A240" s="4" t="s">
        <v>2972</v>
      </c>
      <c r="B240" s="12"/>
    </row>
    <row r="241" spans="1:2" ht="25.5" customHeight="1">
      <c r="A241" s="3" t="s">
        <v>2973</v>
      </c>
      <c r="B241" s="11"/>
    </row>
    <row r="242" spans="1:2" ht="25.5" customHeight="1">
      <c r="A242" s="4" t="s">
        <v>2974</v>
      </c>
      <c r="B242" s="12"/>
    </row>
    <row r="243" spans="1:2" ht="25.5" customHeight="1">
      <c r="A243" s="3" t="s">
        <v>2975</v>
      </c>
      <c r="B243" s="11"/>
    </row>
    <row r="244" spans="1:2" ht="25.5" customHeight="1">
      <c r="A244" s="4" t="s">
        <v>2976</v>
      </c>
      <c r="B244" s="12"/>
    </row>
    <row r="245" spans="1:2" ht="25.5" customHeight="1">
      <c r="A245" s="3" t="s">
        <v>2977</v>
      </c>
      <c r="B245" s="11">
        <f>+'DCA-Anexo I-HI'!B246</f>
        <v>0</v>
      </c>
    </row>
    <row r="246" spans="1:2" ht="25.5" customHeight="1">
      <c r="A246" s="4" t="s">
        <v>2978</v>
      </c>
      <c r="B246" s="12"/>
    </row>
    <row r="247" spans="1:2" ht="25.5" customHeight="1">
      <c r="A247" s="3" t="s">
        <v>2979</v>
      </c>
      <c r="B247" s="11">
        <f>+'DCA-Anexo I-HI'!B248+'DCA-Anexo I-HI'!B249+'DCA-Anexo I-HI'!B250+'DCA-Anexo I-HI'!B251+'DCA-Anexo I-HI'!B252</f>
        <v>0</v>
      </c>
    </row>
    <row r="248" spans="1:2" ht="25.5" customHeight="1">
      <c r="A248" s="4" t="s">
        <v>2980</v>
      </c>
      <c r="B248" s="12"/>
    </row>
    <row r="249" spans="1:2" ht="25.5" customHeight="1">
      <c r="A249" s="3" t="s">
        <v>2981</v>
      </c>
      <c r="B249" s="11"/>
    </row>
    <row r="250" spans="1:2" ht="25.5" customHeight="1">
      <c r="A250" s="4" t="s">
        <v>2982</v>
      </c>
      <c r="B250" s="12"/>
    </row>
    <row r="251" spans="1:2" ht="25.5" customHeight="1">
      <c r="A251" s="3" t="s">
        <v>2983</v>
      </c>
      <c r="B251" s="11"/>
    </row>
    <row r="252" spans="1:2" ht="25.5" customHeight="1">
      <c r="A252" s="4" t="s">
        <v>2984</v>
      </c>
      <c r="B252" s="12"/>
    </row>
    <row r="253" spans="1:2" ht="12.75" customHeight="1">
      <c r="A253" s="3" t="s">
        <v>2985</v>
      </c>
      <c r="B253" s="11">
        <f>+'DCA-Anexo I-HI'!B258+'DCA-Anexo I-HI'!B257+'DCA-Anexo I-HI'!B254+'DCA-Anexo I-HI'!B256+'DCA-Anexo I-HI'!B255</f>
        <v>4121.1499999999996</v>
      </c>
    </row>
    <row r="254" spans="1:2" ht="25.5" customHeight="1">
      <c r="A254" s="4" t="s">
        <v>2986</v>
      </c>
      <c r="B254" s="12"/>
    </row>
    <row r="255" spans="1:2" ht="12.75" customHeight="1">
      <c r="A255" s="3" t="s">
        <v>2987</v>
      </c>
      <c r="B255" s="11"/>
    </row>
    <row r="256" spans="1:2" ht="25.5" customHeight="1">
      <c r="A256" s="4" t="s">
        <v>2988</v>
      </c>
      <c r="B256" s="12">
        <v>4121.1499999999996</v>
      </c>
    </row>
    <row r="257" spans="1:2" ht="25.5" customHeight="1">
      <c r="A257" s="3" t="s">
        <v>2989</v>
      </c>
      <c r="B257" s="11"/>
    </row>
    <row r="258" spans="1:2" ht="25.5" customHeight="1">
      <c r="A258" s="4" t="s">
        <v>2990</v>
      </c>
      <c r="B258" s="12"/>
    </row>
    <row r="259" spans="1:2" ht="12.75" customHeight="1">
      <c r="A259" s="3" t="s">
        <v>2991</v>
      </c>
      <c r="B259" s="11">
        <f>+'DCA-Anexo I-HI'!B260</f>
        <v>0</v>
      </c>
    </row>
    <row r="260" spans="1:2" ht="12.75" customHeight="1">
      <c r="A260" s="4" t="s">
        <v>2992</v>
      </c>
      <c r="B260" s="12">
        <f>+'DCA-Anexo I-HI'!B261+'DCA-Anexo I-HI'!B262+'DCA-Anexo I-HI'!B263+'DCA-Anexo I-HI'!B264+'DCA-Anexo I-HI'!B265</f>
        <v>0</v>
      </c>
    </row>
    <row r="261" spans="1:2" ht="12.75" customHeight="1">
      <c r="A261" s="3" t="s">
        <v>2993</v>
      </c>
      <c r="B261" s="11"/>
    </row>
    <row r="262" spans="1:2" ht="12.75" customHeight="1">
      <c r="A262" s="4" t="s">
        <v>2994</v>
      </c>
      <c r="B262" s="12"/>
    </row>
    <row r="263" spans="1:2" ht="25.5" customHeight="1">
      <c r="A263" s="3" t="s">
        <v>2995</v>
      </c>
      <c r="B263" s="11"/>
    </row>
    <row r="264" spans="1:2" ht="25.5" customHeight="1">
      <c r="A264" s="4" t="s">
        <v>2996</v>
      </c>
      <c r="B264" s="12"/>
    </row>
    <row r="265" spans="1:2" ht="25.5" customHeight="1">
      <c r="A265" s="3" t="s">
        <v>2997</v>
      </c>
      <c r="B265" s="11"/>
    </row>
    <row r="266" spans="1:2" ht="25.5" customHeight="1">
      <c r="A266" s="4" t="s">
        <v>2998</v>
      </c>
      <c r="B266" s="12">
        <f>+'DCA-Anexo I-HI'!B267+'DCA-Anexo I-HI'!B269</f>
        <v>0</v>
      </c>
    </row>
    <row r="267" spans="1:2" ht="12.75" customHeight="1">
      <c r="A267" s="3" t="s">
        <v>2999</v>
      </c>
      <c r="B267" s="11">
        <f>+'DCA-Anexo I-HI'!B268</f>
        <v>0</v>
      </c>
    </row>
    <row r="268" spans="1:2" ht="25.5" customHeight="1">
      <c r="A268" s="4" t="s">
        <v>3000</v>
      </c>
      <c r="B268" s="12"/>
    </row>
    <row r="269" spans="1:2" ht="12.75" customHeight="1">
      <c r="A269" s="3" t="s">
        <v>3001</v>
      </c>
      <c r="B269" s="11">
        <f>+'DCA-Anexo I-HI'!B270</f>
        <v>0</v>
      </c>
    </row>
    <row r="270" spans="1:2" ht="25.5" customHeight="1">
      <c r="A270" s="4" t="s">
        <v>3002</v>
      </c>
      <c r="B270" s="12"/>
    </row>
    <row r="271" spans="1:2" ht="25.5" customHeight="1">
      <c r="A271" s="3" t="s">
        <v>3003</v>
      </c>
      <c r="B271" s="11">
        <f>+'DCA-Anexo I-HI'!B272</f>
        <v>0</v>
      </c>
    </row>
    <row r="272" spans="1:2" ht="25.5" customHeight="1">
      <c r="A272" s="4" t="s">
        <v>3004</v>
      </c>
      <c r="B272" s="12">
        <f>+'DCA-Anexo I-HI'!B273+'DCA-Anexo I-HI'!B274+'DCA-Anexo I-HI'!B275+'DCA-Anexo I-HI'!B276+'DCA-Anexo I-HI'!B277</f>
        <v>0</v>
      </c>
    </row>
    <row r="273" spans="1:2" ht="25.5" customHeight="1">
      <c r="A273" s="3" t="s">
        <v>3005</v>
      </c>
      <c r="B273" s="11"/>
    </row>
    <row r="274" spans="1:2" ht="25.5" customHeight="1">
      <c r="A274" s="4" t="s">
        <v>3006</v>
      </c>
      <c r="B274" s="12"/>
    </row>
    <row r="275" spans="1:2" ht="25.5" customHeight="1">
      <c r="A275" s="3" t="s">
        <v>3007</v>
      </c>
      <c r="B275" s="11"/>
    </row>
    <row r="276" spans="1:2" ht="25.5" customHeight="1">
      <c r="A276" s="4" t="s">
        <v>3008</v>
      </c>
      <c r="B276" s="12"/>
    </row>
    <row r="277" spans="1:2" ht="25.5" customHeight="1">
      <c r="A277" s="3" t="s">
        <v>3009</v>
      </c>
      <c r="B277" s="11"/>
    </row>
    <row r="278" spans="1:2" ht="12.75" customHeight="1">
      <c r="A278" s="4" t="s">
        <v>3010</v>
      </c>
      <c r="B278" s="12">
        <f>+'DCA-Anexo I-HI'!B279+'DCA-Anexo I-HI'!B281</f>
        <v>0</v>
      </c>
    </row>
    <row r="279" spans="1:2" ht="12.75" customHeight="1">
      <c r="A279" s="3" t="s">
        <v>3011</v>
      </c>
      <c r="B279" s="11">
        <f>+'DCA-Anexo I-HI'!B280</f>
        <v>0</v>
      </c>
    </row>
    <row r="280" spans="1:2" ht="12.75" customHeight="1">
      <c r="A280" s="4" t="s">
        <v>3012</v>
      </c>
      <c r="B280" s="12"/>
    </row>
    <row r="281" spans="1:2" ht="12.75" customHeight="1">
      <c r="A281" s="3" t="s">
        <v>3013</v>
      </c>
      <c r="B281" s="11">
        <f>+'DCA-Anexo I-HI'!B282</f>
        <v>0</v>
      </c>
    </row>
    <row r="282" spans="1:2" ht="12.75" customHeight="1">
      <c r="A282" s="4" t="s">
        <v>3014</v>
      </c>
      <c r="B282" s="12"/>
    </row>
    <row r="283" spans="1:2" ht="25.5" customHeight="1">
      <c r="A283" s="3" t="s">
        <v>3015</v>
      </c>
      <c r="B283" s="11">
        <f>+'DCA-Anexo I-HI'!B296+'DCA-Anexo I-HI'!B290+'DCA-Anexo I-HI'!B284</f>
        <v>0</v>
      </c>
    </row>
    <row r="284" spans="1:2" ht="12.75" customHeight="1">
      <c r="A284" s="4" t="s">
        <v>3016</v>
      </c>
      <c r="B284" s="12">
        <f>+'DCA-Anexo I-HI'!B285+'DCA-Anexo I-HI'!B286+'DCA-Anexo I-HI'!B287+'DCA-Anexo I-HI'!B288+'DCA-Anexo I-HI'!B289</f>
        <v>0</v>
      </c>
    </row>
    <row r="285" spans="1:2" ht="25.5" customHeight="1">
      <c r="A285" s="3" t="s">
        <v>3017</v>
      </c>
      <c r="B285" s="11"/>
    </row>
    <row r="286" spans="1:2" ht="12.75" customHeight="1">
      <c r="A286" s="4" t="s">
        <v>3018</v>
      </c>
      <c r="B286" s="12"/>
    </row>
    <row r="287" spans="1:2" ht="25.5" customHeight="1">
      <c r="A287" s="3" t="s">
        <v>3019</v>
      </c>
      <c r="B287" s="11"/>
    </row>
    <row r="288" spans="1:2" ht="25.5" customHeight="1">
      <c r="A288" s="4" t="s">
        <v>3020</v>
      </c>
      <c r="B288" s="12"/>
    </row>
    <row r="289" spans="1:2" ht="25.5" customHeight="1">
      <c r="A289" s="3" t="s">
        <v>3021</v>
      </c>
      <c r="B289" s="11"/>
    </row>
    <row r="290" spans="1:2" ht="12.75" customHeight="1">
      <c r="A290" s="4" t="s">
        <v>3022</v>
      </c>
      <c r="B290" s="12">
        <f>+'DCA-Anexo I-HI'!B291+'DCA-Anexo I-HI'!B292+'DCA-Anexo I-HI'!B293+'DCA-Anexo I-HI'!B294+'DCA-Anexo I-HI'!B295</f>
        <v>0</v>
      </c>
    </row>
    <row r="291" spans="1:2" ht="25.5" customHeight="1">
      <c r="A291" s="3" t="s">
        <v>3023</v>
      </c>
      <c r="B291" s="11"/>
    </row>
    <row r="292" spans="1:2" ht="25.5" customHeight="1">
      <c r="A292" s="4" t="s">
        <v>3024</v>
      </c>
      <c r="B292" s="12"/>
    </row>
    <row r="293" spans="1:2" ht="25.5" customHeight="1">
      <c r="A293" s="3" t="s">
        <v>3025</v>
      </c>
      <c r="B293" s="11"/>
    </row>
    <row r="294" spans="1:2" ht="25.5" customHeight="1">
      <c r="A294" s="4" t="s">
        <v>3026</v>
      </c>
      <c r="B294" s="12"/>
    </row>
    <row r="295" spans="1:2" ht="25.5" customHeight="1">
      <c r="A295" s="3" t="s">
        <v>3027</v>
      </c>
      <c r="B295" s="11"/>
    </row>
    <row r="296" spans="1:2" ht="12.75" customHeight="1">
      <c r="A296" s="4" t="s">
        <v>3028</v>
      </c>
      <c r="B296" s="12">
        <f>+'DCA-Anexo I-HI'!B297+'DCA-Anexo I-HI'!B298+'DCA-Anexo I-HI'!B299+'DCA-Anexo I-HI'!B300+'DCA-Anexo I-HI'!B301</f>
        <v>0</v>
      </c>
    </row>
    <row r="297" spans="1:2" ht="25.5" customHeight="1">
      <c r="A297" s="3" t="s">
        <v>3029</v>
      </c>
      <c r="B297" s="11"/>
    </row>
    <row r="298" spans="1:2" ht="25.5" customHeight="1">
      <c r="A298" s="4" t="s">
        <v>3030</v>
      </c>
      <c r="B298" s="12"/>
    </row>
    <row r="299" spans="1:2" ht="25.5" customHeight="1">
      <c r="A299" s="3" t="s">
        <v>3031</v>
      </c>
      <c r="B299" s="11"/>
    </row>
    <row r="300" spans="1:2" ht="25.5" customHeight="1">
      <c r="A300" s="4" t="s">
        <v>3032</v>
      </c>
      <c r="B300" s="12"/>
    </row>
    <row r="301" spans="1:2" ht="25.5" customHeight="1">
      <c r="A301" s="3" t="s">
        <v>3033</v>
      </c>
      <c r="B301" s="11"/>
    </row>
    <row r="302" spans="1:2" ht="12.75" customHeight="1">
      <c r="A302" s="4" t="s">
        <v>3034</v>
      </c>
      <c r="B302" s="12">
        <f>+'DCA-Anexo I-HI'!B346+'DCA-Anexo I-HI'!B337+'DCA-Anexo I-HI'!B343+'DCA-Anexo I-HI'!B314+'DCA-Anexo I-HI'!B340+'DCA-Anexo I-HI'!B332+'DCA-Anexo I-HI'!B303+'DCA-Anexo I-HI'!B353</f>
        <v>49285455.200000003</v>
      </c>
    </row>
    <row r="303" spans="1:2" ht="12.75" customHeight="1">
      <c r="A303" s="3" t="s">
        <v>3035</v>
      </c>
      <c r="B303" s="11">
        <f>+'DCA-Anexo I-HI'!B304+'DCA-Anexo I-HI'!B306+'DCA-Anexo I-HI'!B308+'DCA-Anexo I-HI'!B310+'DCA-Anexo I-HI'!B312</f>
        <v>33650785.700000003</v>
      </c>
    </row>
    <row r="304" spans="1:2" ht="25.5" customHeight="1">
      <c r="A304" s="4" t="s">
        <v>3036</v>
      </c>
      <c r="B304" s="12">
        <f>+'DCA-Anexo I-HI'!B305</f>
        <v>33650785.700000003</v>
      </c>
    </row>
    <row r="305" spans="1:2" ht="25.5" customHeight="1">
      <c r="A305" s="3" t="s">
        <v>3037</v>
      </c>
      <c r="B305" s="11">
        <v>33650785.700000003</v>
      </c>
    </row>
    <row r="306" spans="1:2" ht="25.5" customHeight="1">
      <c r="A306" s="4" t="s">
        <v>3038</v>
      </c>
      <c r="B306" s="12">
        <f>+'DCA-Anexo I-HI'!B307</f>
        <v>0</v>
      </c>
    </row>
    <row r="307" spans="1:2" ht="25.5" customHeight="1">
      <c r="A307" s="3" t="s">
        <v>3039</v>
      </c>
      <c r="B307" s="11"/>
    </row>
    <row r="308" spans="1:2" ht="25.5" customHeight="1">
      <c r="A308" s="4" t="s">
        <v>3040</v>
      </c>
      <c r="B308" s="12">
        <f>+'DCA-Anexo I-HI'!B309</f>
        <v>0</v>
      </c>
    </row>
    <row r="309" spans="1:2" ht="25.5" customHeight="1">
      <c r="A309" s="3" t="s">
        <v>3041</v>
      </c>
      <c r="B309" s="11"/>
    </row>
    <row r="310" spans="1:2" ht="25.5" customHeight="1">
      <c r="A310" s="4" t="s">
        <v>3042</v>
      </c>
      <c r="B310" s="12">
        <f>+'DCA-Anexo I-HI'!B311</f>
        <v>0</v>
      </c>
    </row>
    <row r="311" spans="1:2" ht="25.5" customHeight="1">
      <c r="A311" s="3" t="s">
        <v>3043</v>
      </c>
      <c r="B311" s="11"/>
    </row>
    <row r="312" spans="1:2" ht="25.5" customHeight="1">
      <c r="A312" s="4" t="s">
        <v>3044</v>
      </c>
      <c r="B312" s="12">
        <f>+'DCA-Anexo I-HI'!B313</f>
        <v>0</v>
      </c>
    </row>
    <row r="313" spans="1:2" ht="25.5" customHeight="1">
      <c r="A313" s="3" t="s">
        <v>3045</v>
      </c>
      <c r="B313" s="11"/>
    </row>
    <row r="314" spans="1:2" ht="12.75" customHeight="1">
      <c r="A314" s="4" t="s">
        <v>3046</v>
      </c>
      <c r="B314" s="12">
        <f>+'DCA-Anexo I-HI'!B315+'DCA-Anexo I-HI'!B322+'DCA-Anexo I-HI'!B320+'DCA-Anexo I-HI'!B327</f>
        <v>15193653.369999999</v>
      </c>
    </row>
    <row r="315" spans="1:2" ht="12.75" customHeight="1">
      <c r="A315" s="3" t="s">
        <v>3047</v>
      </c>
      <c r="B315" s="11">
        <f>+'DCA-Anexo I-HI'!B316+'DCA-Anexo I-HI'!B317+'DCA-Anexo I-HI'!B318+'DCA-Anexo I-HI'!B319</f>
        <v>0</v>
      </c>
    </row>
    <row r="316" spans="1:2" ht="25.5" customHeight="1">
      <c r="A316" s="4" t="s">
        <v>3048</v>
      </c>
      <c r="B316" s="12"/>
    </row>
    <row r="317" spans="1:2" ht="25.5" customHeight="1">
      <c r="A317" s="3" t="s">
        <v>3049</v>
      </c>
      <c r="B317" s="11"/>
    </row>
    <row r="318" spans="1:2" ht="25.5" customHeight="1">
      <c r="A318" s="4" t="s">
        <v>3050</v>
      </c>
      <c r="B318" s="12"/>
    </row>
    <row r="319" spans="1:2" ht="25.5" customHeight="1">
      <c r="A319" s="3" t="s">
        <v>3051</v>
      </c>
      <c r="B319" s="11"/>
    </row>
    <row r="320" spans="1:2" ht="12.75" customHeight="1">
      <c r="A320" s="4" t="s">
        <v>3052</v>
      </c>
      <c r="B320" s="12">
        <f>+'DCA-Anexo I-HI'!B321</f>
        <v>15193653.369999999</v>
      </c>
    </row>
    <row r="321" spans="1:2" ht="12.75" customHeight="1">
      <c r="A321" s="3" t="s">
        <v>3053</v>
      </c>
      <c r="B321" s="11">
        <v>15193653.369999999</v>
      </c>
    </row>
    <row r="322" spans="1:2" ht="12.75" customHeight="1">
      <c r="A322" s="4" t="s">
        <v>3054</v>
      </c>
      <c r="B322" s="12">
        <f>+'DCA-Anexo I-HI'!B325+'DCA-Anexo I-HI'!B326+'DCA-Anexo I-HI'!B323+'DCA-Anexo I-HI'!B324</f>
        <v>0</v>
      </c>
    </row>
    <row r="323" spans="1:2" ht="12.75" customHeight="1">
      <c r="A323" s="3" t="s">
        <v>3055</v>
      </c>
      <c r="B323" s="11"/>
    </row>
    <row r="324" spans="1:2" ht="12.75" customHeight="1">
      <c r="A324" s="4" t="s">
        <v>3056</v>
      </c>
      <c r="B324" s="12"/>
    </row>
    <row r="325" spans="1:2" ht="12.75" customHeight="1">
      <c r="A325" s="3" t="s">
        <v>3057</v>
      </c>
      <c r="B325" s="11"/>
    </row>
    <row r="326" spans="1:2" ht="12.75" customHeight="1">
      <c r="A326" s="4" t="s">
        <v>3058</v>
      </c>
      <c r="B326" s="12"/>
    </row>
    <row r="327" spans="1:2" ht="12.75" customHeight="1">
      <c r="A327" s="3" t="s">
        <v>3059</v>
      </c>
      <c r="B327" s="11">
        <f>+'DCA-Anexo I-HI'!B331+'DCA-Anexo I-HI'!B329+'DCA-Anexo I-HI'!B330+'DCA-Anexo I-HI'!B328</f>
        <v>0</v>
      </c>
    </row>
    <row r="328" spans="1:2" ht="12.75" customHeight="1">
      <c r="A328" s="4" t="s">
        <v>3060</v>
      </c>
      <c r="B328" s="12"/>
    </row>
    <row r="329" spans="1:2" ht="12.75" customHeight="1">
      <c r="A329" s="3" t="s">
        <v>3061</v>
      </c>
      <c r="B329" s="11"/>
    </row>
    <row r="330" spans="1:2" ht="12.75" customHeight="1">
      <c r="A330" s="4" t="s">
        <v>3062</v>
      </c>
      <c r="B330" s="12"/>
    </row>
    <row r="331" spans="1:2" ht="12.75" customHeight="1">
      <c r="A331" s="3" t="s">
        <v>3063</v>
      </c>
      <c r="B331" s="11"/>
    </row>
    <row r="332" spans="1:2" ht="12.75" customHeight="1">
      <c r="A332" s="4" t="s">
        <v>3064</v>
      </c>
      <c r="B332" s="12">
        <f>+'DCA-Anexo I-HI'!B335+'DCA-Anexo I-HI'!B333</f>
        <v>0</v>
      </c>
    </row>
    <row r="333" spans="1:2" ht="25.5" customHeight="1">
      <c r="A333" s="3" t="s">
        <v>3065</v>
      </c>
      <c r="B333" s="11">
        <f>+'DCA-Anexo I-HI'!B334</f>
        <v>0</v>
      </c>
    </row>
    <row r="334" spans="1:2" ht="25.5" customHeight="1">
      <c r="A334" s="4" t="s">
        <v>3066</v>
      </c>
      <c r="B334" s="12"/>
    </row>
    <row r="335" spans="1:2" ht="25.5" customHeight="1">
      <c r="A335" s="3" t="s">
        <v>3067</v>
      </c>
      <c r="B335" s="11">
        <f>+'DCA-Anexo I-HI'!B336</f>
        <v>0</v>
      </c>
    </row>
    <row r="336" spans="1:2" ht="25.5" customHeight="1">
      <c r="A336" s="4" t="s">
        <v>3068</v>
      </c>
      <c r="B336" s="12"/>
    </row>
    <row r="337" spans="1:2" ht="12.75" customHeight="1">
      <c r="A337" s="3" t="s">
        <v>3069</v>
      </c>
      <c r="B337" s="11">
        <f>+'DCA-Anexo I-HI'!B338</f>
        <v>0</v>
      </c>
    </row>
    <row r="338" spans="1:2" ht="12.75" customHeight="1">
      <c r="A338" s="4" t="s">
        <v>3070</v>
      </c>
      <c r="B338" s="12">
        <f>+'DCA-Anexo I-HI'!B339</f>
        <v>0</v>
      </c>
    </row>
    <row r="339" spans="1:2" ht="25.5" customHeight="1">
      <c r="A339" s="3" t="s">
        <v>3071</v>
      </c>
      <c r="B339" s="11"/>
    </row>
    <row r="340" spans="1:2" ht="12.75" customHeight="1">
      <c r="A340" s="4" t="s">
        <v>3072</v>
      </c>
      <c r="B340" s="12">
        <f>+'DCA-Anexo I-HI'!B341</f>
        <v>0</v>
      </c>
    </row>
    <row r="341" spans="1:2" ht="12.75" customHeight="1">
      <c r="A341" s="3" t="s">
        <v>3073</v>
      </c>
      <c r="B341" s="11">
        <f>+'DCA-Anexo I-HI'!B342</f>
        <v>0</v>
      </c>
    </row>
    <row r="342" spans="1:2" ht="12.75" customHeight="1">
      <c r="A342" s="4" t="s">
        <v>3074</v>
      </c>
      <c r="B342" s="12"/>
    </row>
    <row r="343" spans="1:2" ht="12.75" customHeight="1">
      <c r="A343" s="3" t="s">
        <v>3075</v>
      </c>
      <c r="B343" s="11">
        <f>+'DCA-Anexo I-HI'!B344</f>
        <v>0</v>
      </c>
    </row>
    <row r="344" spans="1:2" ht="12.75" customHeight="1">
      <c r="A344" s="4" t="s">
        <v>3076</v>
      </c>
      <c r="B344" s="12">
        <f>+'DCA-Anexo I-HI'!B345</f>
        <v>0</v>
      </c>
    </row>
    <row r="345" spans="1:2" ht="12.75" customHeight="1">
      <c r="A345" s="3" t="s">
        <v>3077</v>
      </c>
      <c r="B345" s="11"/>
    </row>
    <row r="346" spans="1:2" ht="12.75" customHeight="1">
      <c r="A346" s="4" t="s">
        <v>3078</v>
      </c>
      <c r="B346" s="12">
        <f>+'DCA-Anexo I-HI'!B351+'DCA-Anexo I-HI'!B347</f>
        <v>441016.13</v>
      </c>
    </row>
    <row r="347" spans="1:2" ht="12.75" customHeight="1">
      <c r="A347" s="3" t="s">
        <v>3079</v>
      </c>
      <c r="B347" s="11">
        <f>+'DCA-Anexo I-HI'!B349+'DCA-Anexo I-HI'!B350+'DCA-Anexo I-HI'!B348</f>
        <v>441016.13</v>
      </c>
    </row>
    <row r="348" spans="1:2" ht="25.5" customHeight="1">
      <c r="A348" s="4" t="s">
        <v>3080</v>
      </c>
      <c r="B348" s="12">
        <v>441016.13</v>
      </c>
    </row>
    <row r="349" spans="1:2" ht="25.5" customHeight="1">
      <c r="A349" s="3" t="s">
        <v>3081</v>
      </c>
      <c r="B349" s="11"/>
    </row>
    <row r="350" spans="1:2" ht="25.5" customHeight="1">
      <c r="A350" s="4" t="s">
        <v>3082</v>
      </c>
      <c r="B350" s="12"/>
    </row>
    <row r="351" spans="1:2" ht="12.75" customHeight="1">
      <c r="A351" s="3" t="s">
        <v>3083</v>
      </c>
      <c r="B351" s="11">
        <f>+'DCA-Anexo I-HI'!B352</f>
        <v>0</v>
      </c>
    </row>
    <row r="352" spans="1:2" ht="25.5" customHeight="1">
      <c r="A352" s="4" t="s">
        <v>3084</v>
      </c>
      <c r="B352" s="12"/>
    </row>
    <row r="353" spans="1:2" ht="12.75" customHeight="1">
      <c r="A353" s="3" t="s">
        <v>3085</v>
      </c>
      <c r="B353" s="11">
        <f>+'DCA-Anexo I-HI'!B354</f>
        <v>0</v>
      </c>
    </row>
    <row r="354" spans="1:2" ht="12.75" customHeight="1">
      <c r="A354" s="4" t="s">
        <v>3086</v>
      </c>
      <c r="B354" s="12">
        <f>+'DCA-Anexo I-HI'!B355+'DCA-Anexo I-HI'!B356+'DCA-Anexo I-HI'!B357+'DCA-Anexo I-HI'!B358+'DCA-Anexo I-HI'!B359</f>
        <v>0</v>
      </c>
    </row>
    <row r="355" spans="1:2" ht="25.5" customHeight="1">
      <c r="A355" s="3" t="s">
        <v>3087</v>
      </c>
      <c r="B355" s="11"/>
    </row>
    <row r="356" spans="1:2" ht="12.75" customHeight="1">
      <c r="A356" s="4" t="s">
        <v>3088</v>
      </c>
      <c r="B356" s="12"/>
    </row>
    <row r="357" spans="1:2" ht="25.5" customHeight="1">
      <c r="A357" s="3" t="s">
        <v>3089</v>
      </c>
      <c r="B357" s="11"/>
    </row>
    <row r="358" spans="1:2" ht="25.5" customHeight="1">
      <c r="A358" s="4" t="s">
        <v>3090</v>
      </c>
      <c r="B358" s="12"/>
    </row>
    <row r="359" spans="1:2" ht="25.5" customHeight="1">
      <c r="A359" s="3" t="s">
        <v>3091</v>
      </c>
      <c r="B359" s="11"/>
    </row>
    <row r="360" spans="1:2" ht="25.5" customHeight="1">
      <c r="A360" s="4" t="s">
        <v>3092</v>
      </c>
      <c r="B360" s="12">
        <f>+'DCA-Anexo I-HI'!B412+'DCA-Anexo I-HI'!B361+'DCA-Anexo I-HI'!B419+'DCA-Anexo I-HI'!B403+'DCA-Anexo I-HI'!B386</f>
        <v>932.65</v>
      </c>
    </row>
    <row r="361" spans="1:2" ht="25.5" customHeight="1">
      <c r="A361" s="3" t="s">
        <v>3093</v>
      </c>
      <c r="B361" s="11">
        <f>+'DCA-Anexo I-HI'!B376+'DCA-Anexo I-HI'!B366+'DCA-Anexo I-HI'!B378+'DCA-Anexo I-HI'!B368+'DCA-Anexo I-HI'!B364+'DCA-Anexo I-HI'!B362+'DCA-Anexo I-HI'!B384+'DCA-Anexo I-HI'!B374</f>
        <v>0</v>
      </c>
    </row>
    <row r="362" spans="1:2" ht="12.75" customHeight="1">
      <c r="A362" s="4" t="s">
        <v>3094</v>
      </c>
      <c r="B362" s="12">
        <f>+'DCA-Anexo I-HI'!B363</f>
        <v>0</v>
      </c>
    </row>
    <row r="363" spans="1:2" ht="12.75" customHeight="1">
      <c r="A363" s="3" t="s">
        <v>3095</v>
      </c>
      <c r="B363" s="11"/>
    </row>
    <row r="364" spans="1:2" ht="12.75" customHeight="1">
      <c r="A364" s="4" t="s">
        <v>3096</v>
      </c>
      <c r="B364" s="12">
        <f>+'DCA-Anexo I-HI'!B365</f>
        <v>0</v>
      </c>
    </row>
    <row r="365" spans="1:2" ht="12.75" customHeight="1">
      <c r="A365" s="3" t="s">
        <v>3097</v>
      </c>
      <c r="B365" s="11"/>
    </row>
    <row r="366" spans="1:2" ht="12.75" customHeight="1">
      <c r="A366" s="4" t="s">
        <v>3098</v>
      </c>
      <c r="B366" s="12">
        <f>+'DCA-Anexo I-HI'!B367</f>
        <v>0</v>
      </c>
    </row>
    <row r="367" spans="1:2" ht="12.75" customHeight="1">
      <c r="A367" s="3" t="s">
        <v>3099</v>
      </c>
      <c r="B367" s="11"/>
    </row>
    <row r="368" spans="1:2" ht="12.75" customHeight="1">
      <c r="A368" s="4" t="s">
        <v>3100</v>
      </c>
      <c r="B368" s="12">
        <f>+'DCA-Anexo I-HI'!B372+'DCA-Anexo I-HI'!B370+'DCA-Anexo I-HI'!B373+'DCA-Anexo I-HI'!B371+'DCA-Anexo I-HI'!B369</f>
        <v>0</v>
      </c>
    </row>
    <row r="369" spans="1:2" ht="25.5" customHeight="1">
      <c r="A369" s="3" t="s">
        <v>3101</v>
      </c>
      <c r="B369" s="11"/>
    </row>
    <row r="370" spans="1:2" ht="25.5" customHeight="1">
      <c r="A370" s="4" t="s">
        <v>3102</v>
      </c>
      <c r="B370" s="12"/>
    </row>
    <row r="371" spans="1:2" ht="25.5" customHeight="1">
      <c r="A371" s="3" t="s">
        <v>3103</v>
      </c>
      <c r="B371" s="11"/>
    </row>
    <row r="372" spans="1:2" ht="25.5" customHeight="1">
      <c r="A372" s="4" t="s">
        <v>3104</v>
      </c>
      <c r="B372" s="12"/>
    </row>
    <row r="373" spans="1:2" ht="25.5" customHeight="1">
      <c r="A373" s="3" t="s">
        <v>3105</v>
      </c>
      <c r="B373" s="11"/>
    </row>
    <row r="374" spans="1:2" ht="12.75" customHeight="1">
      <c r="A374" s="4" t="s">
        <v>3106</v>
      </c>
      <c r="B374" s="12">
        <f>+'DCA-Anexo I-HI'!B375</f>
        <v>0</v>
      </c>
    </row>
    <row r="375" spans="1:2" ht="25.5" customHeight="1">
      <c r="A375" s="3" t="s">
        <v>3107</v>
      </c>
      <c r="B375" s="11"/>
    </row>
    <row r="376" spans="1:2" ht="12.75" customHeight="1">
      <c r="A376" s="4" t="s">
        <v>3108</v>
      </c>
      <c r="B376" s="12">
        <f>+'DCA-Anexo I-HI'!B377</f>
        <v>0</v>
      </c>
    </row>
    <row r="377" spans="1:2" ht="25.5" customHeight="1">
      <c r="A377" s="3" t="s">
        <v>3109</v>
      </c>
      <c r="B377" s="11"/>
    </row>
    <row r="378" spans="1:2" ht="25.5" customHeight="1">
      <c r="A378" s="4" t="s">
        <v>3110</v>
      </c>
      <c r="B378" s="12">
        <f>+'DCA-Anexo I-HI'!B380+'DCA-Anexo I-HI'!B382+'DCA-Anexo I-HI'!B379+'DCA-Anexo I-HI'!B383+'DCA-Anexo I-HI'!B381</f>
        <v>0</v>
      </c>
    </row>
    <row r="379" spans="1:2" ht="25.5" customHeight="1">
      <c r="A379" s="3" t="s">
        <v>3111</v>
      </c>
      <c r="B379" s="11"/>
    </row>
    <row r="380" spans="1:2" ht="25.5" customHeight="1">
      <c r="A380" s="4" t="s">
        <v>3112</v>
      </c>
      <c r="B380" s="12"/>
    </row>
    <row r="381" spans="1:2" ht="38.25" customHeight="1">
      <c r="A381" s="3" t="s">
        <v>3113</v>
      </c>
      <c r="B381" s="11"/>
    </row>
    <row r="382" spans="1:2" ht="38.25" customHeight="1">
      <c r="A382" s="4" t="s">
        <v>3114</v>
      </c>
      <c r="B382" s="12"/>
    </row>
    <row r="383" spans="1:2" ht="38.25" customHeight="1">
      <c r="A383" s="3" t="s">
        <v>3115</v>
      </c>
      <c r="B383" s="11"/>
    </row>
    <row r="384" spans="1:2" ht="25.5" customHeight="1">
      <c r="A384" s="4" t="s">
        <v>3116</v>
      </c>
      <c r="B384" s="12">
        <f>+'DCA-Anexo I-HI'!B385</f>
        <v>0</v>
      </c>
    </row>
    <row r="385" spans="1:2" ht="25.5" customHeight="1">
      <c r="A385" s="3" t="s">
        <v>3117</v>
      </c>
      <c r="B385" s="11"/>
    </row>
    <row r="386" spans="1:2" ht="12.75" customHeight="1">
      <c r="A386" s="4" t="s">
        <v>3118</v>
      </c>
      <c r="B386" s="12">
        <f>+'DCA-Anexo I-HI'!B387+'DCA-Anexo I-HI'!B393+'DCA-Anexo I-HI'!B395+'DCA-Anexo I-HI'!B397</f>
        <v>0</v>
      </c>
    </row>
    <row r="387" spans="1:2" ht="12.75" customHeight="1">
      <c r="A387" s="3" t="s">
        <v>3119</v>
      </c>
      <c r="B387" s="11">
        <f>+'DCA-Anexo I-HI'!B388+'DCA-Anexo I-HI'!B389+'DCA-Anexo I-HI'!B390+'DCA-Anexo I-HI'!B391+'DCA-Anexo I-HI'!B392</f>
        <v>0</v>
      </c>
    </row>
    <row r="388" spans="1:2" ht="12.75" customHeight="1">
      <c r="A388" s="4" t="s">
        <v>3120</v>
      </c>
      <c r="B388" s="12"/>
    </row>
    <row r="389" spans="1:2" ht="12.75" customHeight="1">
      <c r="A389" s="3" t="s">
        <v>3121</v>
      </c>
      <c r="B389" s="11"/>
    </row>
    <row r="390" spans="1:2" ht="25.5" customHeight="1">
      <c r="A390" s="4" t="s">
        <v>3122</v>
      </c>
      <c r="B390" s="12"/>
    </row>
    <row r="391" spans="1:2" ht="25.5" customHeight="1">
      <c r="A391" s="3" t="s">
        <v>3123</v>
      </c>
      <c r="B391" s="11"/>
    </row>
    <row r="392" spans="1:2" ht="25.5" customHeight="1">
      <c r="A392" s="4" t="s">
        <v>3124</v>
      </c>
      <c r="B392" s="12"/>
    </row>
    <row r="393" spans="1:2" ht="12.75" customHeight="1">
      <c r="A393" s="3" t="s">
        <v>3125</v>
      </c>
      <c r="B393" s="11">
        <f>+'DCA-Anexo I-HI'!B394</f>
        <v>0</v>
      </c>
    </row>
    <row r="394" spans="1:2" ht="12.75" customHeight="1">
      <c r="A394" s="4" t="s">
        <v>3126</v>
      </c>
      <c r="B394" s="12"/>
    </row>
    <row r="395" spans="1:2" ht="12.75" customHeight="1">
      <c r="A395" s="3" t="s">
        <v>3127</v>
      </c>
      <c r="B395" s="11">
        <f>+'DCA-Anexo I-HI'!B396</f>
        <v>0</v>
      </c>
    </row>
    <row r="396" spans="1:2" ht="12.75" customHeight="1">
      <c r="A396" s="4" t="s">
        <v>3128</v>
      </c>
      <c r="B396" s="12"/>
    </row>
    <row r="397" spans="1:2" ht="12.75" customHeight="1">
      <c r="A397" s="3" t="s">
        <v>3129</v>
      </c>
      <c r="B397" s="11">
        <f>+'DCA-Anexo I-HI'!B398+'DCA-Anexo I-HI'!B399+'DCA-Anexo I-HI'!B400+'DCA-Anexo I-HI'!B401+'DCA-Anexo I-HI'!B402</f>
        <v>0</v>
      </c>
    </row>
    <row r="398" spans="1:2" ht="12.75" customHeight="1">
      <c r="A398" s="4" t="s">
        <v>3130</v>
      </c>
      <c r="B398" s="12"/>
    </row>
    <row r="399" spans="1:2" ht="12.75" customHeight="1">
      <c r="A399" s="3" t="s">
        <v>3131</v>
      </c>
      <c r="B399" s="11"/>
    </row>
    <row r="400" spans="1:2" ht="25.5" customHeight="1">
      <c r="A400" s="4" t="s">
        <v>3132</v>
      </c>
      <c r="B400" s="12"/>
    </row>
    <row r="401" spans="1:2" ht="25.5" customHeight="1">
      <c r="A401" s="3" t="s">
        <v>3133</v>
      </c>
      <c r="B401" s="11"/>
    </row>
    <row r="402" spans="1:2" ht="25.5" customHeight="1">
      <c r="A402" s="4" t="s">
        <v>3134</v>
      </c>
      <c r="B402" s="12"/>
    </row>
    <row r="403" spans="1:2" ht="12.75" customHeight="1">
      <c r="A403" s="3" t="s">
        <v>3135</v>
      </c>
      <c r="B403" s="11">
        <f>+'DCA-Anexo I-HI'!B404+'DCA-Anexo I-HI'!B410+'DCA-Anexo I-HI'!B408+'DCA-Anexo I-HI'!B406</f>
        <v>932.65</v>
      </c>
    </row>
    <row r="404" spans="1:2" ht="12.75" customHeight="1">
      <c r="A404" s="4" t="s">
        <v>3136</v>
      </c>
      <c r="B404" s="12">
        <f>+'DCA-Anexo I-HI'!B405</f>
        <v>932.65</v>
      </c>
    </row>
    <row r="405" spans="1:2" ht="12.75" customHeight="1">
      <c r="A405" s="3" t="s">
        <v>3137</v>
      </c>
      <c r="B405" s="11">
        <v>932.65</v>
      </c>
    </row>
    <row r="406" spans="1:2" ht="12.75" customHeight="1">
      <c r="A406" s="4" t="s">
        <v>3138</v>
      </c>
      <c r="B406" s="12">
        <f>+'DCA-Anexo I-HI'!B407</f>
        <v>0</v>
      </c>
    </row>
    <row r="407" spans="1:2" ht="12.75" customHeight="1">
      <c r="A407" s="3" t="s">
        <v>3139</v>
      </c>
      <c r="B407" s="11"/>
    </row>
    <row r="408" spans="1:2" ht="12.75" customHeight="1">
      <c r="A408" s="4" t="s">
        <v>3140</v>
      </c>
      <c r="B408" s="12">
        <f>+'DCA-Anexo I-HI'!B409</f>
        <v>0</v>
      </c>
    </row>
    <row r="409" spans="1:2" ht="12.75" customHeight="1">
      <c r="A409" s="3" t="s">
        <v>3141</v>
      </c>
      <c r="B409" s="11"/>
    </row>
    <row r="410" spans="1:2" ht="12.75" customHeight="1">
      <c r="A410" s="4" t="s">
        <v>3142</v>
      </c>
      <c r="B410" s="12">
        <f>+'DCA-Anexo I-HI'!B411</f>
        <v>0</v>
      </c>
    </row>
    <row r="411" spans="1:2" ht="12.75" customHeight="1">
      <c r="A411" s="3" t="s">
        <v>3143</v>
      </c>
      <c r="B411" s="11"/>
    </row>
    <row r="412" spans="1:2" ht="12.75" customHeight="1">
      <c r="A412" s="4" t="s">
        <v>3144</v>
      </c>
      <c r="B412" s="12">
        <f>+'DCA-Anexo I-HI'!B413</f>
        <v>0</v>
      </c>
    </row>
    <row r="413" spans="1:2" ht="12.75" customHeight="1">
      <c r="A413" s="3" t="s">
        <v>3145</v>
      </c>
      <c r="B413" s="11">
        <f>+'DCA-Anexo I-HI'!B414+'DCA-Anexo I-HI'!B415+'DCA-Anexo I-HI'!B416+'DCA-Anexo I-HI'!B417+'DCA-Anexo I-HI'!B418</f>
        <v>0</v>
      </c>
    </row>
    <row r="414" spans="1:2" ht="12.75" customHeight="1">
      <c r="A414" s="4" t="s">
        <v>3146</v>
      </c>
      <c r="B414" s="12"/>
    </row>
    <row r="415" spans="1:2" ht="12.75" customHeight="1">
      <c r="A415" s="3" t="s">
        <v>3147</v>
      </c>
      <c r="B415" s="11"/>
    </row>
    <row r="416" spans="1:2" ht="12.75" customHeight="1">
      <c r="A416" s="4" t="s">
        <v>3148</v>
      </c>
      <c r="B416" s="12"/>
    </row>
    <row r="417" spans="1:2" ht="12.75" customHeight="1">
      <c r="A417" s="3" t="s">
        <v>3149</v>
      </c>
      <c r="B417" s="11"/>
    </row>
    <row r="418" spans="1:2" ht="12.75" customHeight="1">
      <c r="A418" s="4" t="s">
        <v>3150</v>
      </c>
      <c r="B418" s="12"/>
    </row>
    <row r="419" spans="1:2" ht="12.75" customHeight="1">
      <c r="A419" s="3" t="s">
        <v>3151</v>
      </c>
      <c r="B419" s="11">
        <f>+'DCA-Anexo I-HI'!B420</f>
        <v>0</v>
      </c>
    </row>
    <row r="420" spans="1:2" ht="12.75" customHeight="1">
      <c r="A420" s="4" t="s">
        <v>3152</v>
      </c>
      <c r="B420" s="12">
        <f>+'DCA-Anexo I-HI'!B421+'DCA-Anexo I-HI'!B422+'DCA-Anexo I-HI'!B423+'DCA-Anexo I-HI'!B424+'DCA-Anexo I-HI'!B425</f>
        <v>0</v>
      </c>
    </row>
    <row r="421" spans="1:2" ht="12.75" customHeight="1">
      <c r="A421" s="3" t="s">
        <v>3153</v>
      </c>
      <c r="B421" s="11"/>
    </row>
    <row r="422" spans="1:2" ht="12.75" customHeight="1">
      <c r="A422" s="4" t="s">
        <v>3154</v>
      </c>
      <c r="B422" s="12"/>
    </row>
    <row r="423" spans="1:2" ht="12.75" customHeight="1">
      <c r="A423" s="3" t="s">
        <v>3155</v>
      </c>
      <c r="B423" s="11"/>
    </row>
    <row r="424" spans="1:2" ht="12.75" customHeight="1">
      <c r="A424" s="4" t="s">
        <v>3156</v>
      </c>
      <c r="B424" s="12"/>
    </row>
    <row r="425" spans="1:2" ht="12.75" customHeight="1">
      <c r="A425" s="3" t="s">
        <v>3157</v>
      </c>
      <c r="B425" s="11"/>
    </row>
    <row r="426" spans="1:2" ht="12.75" customHeight="1">
      <c r="A426" s="4" t="s">
        <v>3158</v>
      </c>
      <c r="B426" s="12">
        <f>+'DCA-Anexo I-HI'!B446+'DCA-Anexo I-HI'!B427</f>
        <v>1125146.6100000001</v>
      </c>
    </row>
    <row r="427" spans="1:2" ht="12.75" customHeight="1">
      <c r="A427" s="3" t="s">
        <v>3159</v>
      </c>
      <c r="B427" s="11">
        <f>+'DCA-Anexo I-HI'!B440+'DCA-Anexo I-HI'!B434+'DCA-Anexo I-HI'!B428</f>
        <v>44429</v>
      </c>
    </row>
    <row r="428" spans="1:2" ht="12.75" customHeight="1">
      <c r="A428" s="4" t="s">
        <v>3160</v>
      </c>
      <c r="B428" s="12">
        <f>+'DCA-Anexo I-HI'!B429+'DCA-Anexo I-HI'!B430+'DCA-Anexo I-HI'!B431+'DCA-Anexo I-HI'!B432+'DCA-Anexo I-HI'!B433</f>
        <v>0</v>
      </c>
    </row>
    <row r="429" spans="1:2" ht="12.75" customHeight="1">
      <c r="A429" s="3" t="s">
        <v>3161</v>
      </c>
      <c r="B429" s="11"/>
    </row>
    <row r="430" spans="1:2" ht="12.75" customHeight="1">
      <c r="A430" s="4" t="s">
        <v>3162</v>
      </c>
      <c r="B430" s="12"/>
    </row>
    <row r="431" spans="1:2" ht="12.75" customHeight="1">
      <c r="A431" s="3" t="s">
        <v>3163</v>
      </c>
      <c r="B431" s="11"/>
    </row>
    <row r="432" spans="1:2" ht="12.75" customHeight="1">
      <c r="A432" s="4" t="s">
        <v>3164</v>
      </c>
      <c r="B432" s="12"/>
    </row>
    <row r="433" spans="1:2" ht="12.75" customHeight="1">
      <c r="A433" s="3" t="s">
        <v>3165</v>
      </c>
      <c r="B433" s="11"/>
    </row>
    <row r="434" spans="1:2" ht="12.75" customHeight="1">
      <c r="A434" s="4" t="s">
        <v>3166</v>
      </c>
      <c r="B434" s="12">
        <f>+'DCA-Anexo I-HI'!B435+'DCA-Anexo I-HI'!B436+'DCA-Anexo I-HI'!B437+'DCA-Anexo I-HI'!B438+'DCA-Anexo I-HI'!B439</f>
        <v>0</v>
      </c>
    </row>
    <row r="435" spans="1:2" ht="12.75" customHeight="1">
      <c r="A435" s="3" t="s">
        <v>3167</v>
      </c>
      <c r="B435" s="11"/>
    </row>
    <row r="436" spans="1:2" ht="12.75" customHeight="1">
      <c r="A436" s="4" t="s">
        <v>3168</v>
      </c>
      <c r="B436" s="12"/>
    </row>
    <row r="437" spans="1:2" ht="12.75" customHeight="1">
      <c r="A437" s="3" t="s">
        <v>3169</v>
      </c>
      <c r="B437" s="11"/>
    </row>
    <row r="438" spans="1:2" ht="12.75" customHeight="1">
      <c r="A438" s="4" t="s">
        <v>3170</v>
      </c>
      <c r="B438" s="12"/>
    </row>
    <row r="439" spans="1:2" ht="12.75" customHeight="1">
      <c r="A439" s="3" t="s">
        <v>3171</v>
      </c>
      <c r="B439" s="11"/>
    </row>
    <row r="440" spans="1:2" ht="12.75" customHeight="1">
      <c r="A440" s="4" t="s">
        <v>3172</v>
      </c>
      <c r="B440" s="12">
        <f>+'DCA-Anexo I-HI'!B441+'DCA-Anexo I-HI'!B442+'DCA-Anexo I-HI'!B443+'DCA-Anexo I-HI'!B444+'DCA-Anexo I-HI'!B445</f>
        <v>44429</v>
      </c>
    </row>
    <row r="441" spans="1:2" ht="12.75" customHeight="1">
      <c r="A441" s="3" t="s">
        <v>3173</v>
      </c>
      <c r="B441" s="11">
        <v>44429</v>
      </c>
    </row>
    <row r="442" spans="1:2" ht="12.75" customHeight="1">
      <c r="A442" s="4" t="s">
        <v>3174</v>
      </c>
      <c r="B442" s="12"/>
    </row>
    <row r="443" spans="1:2" ht="12.75" customHeight="1">
      <c r="A443" s="3" t="s">
        <v>3175</v>
      </c>
      <c r="B443" s="11"/>
    </row>
    <row r="444" spans="1:2" ht="12.75" customHeight="1">
      <c r="A444" s="4" t="s">
        <v>3176</v>
      </c>
      <c r="B444" s="12"/>
    </row>
    <row r="445" spans="1:2" ht="12.75" customHeight="1">
      <c r="A445" s="3" t="s">
        <v>3177</v>
      </c>
      <c r="B445" s="11"/>
    </row>
    <row r="446" spans="1:2" ht="12.75" customHeight="1">
      <c r="A446" s="4" t="s">
        <v>3178</v>
      </c>
      <c r="B446" s="12">
        <f>+'DCA-Anexo I-HI'!B459+'DCA-Anexo I-HI'!B447+'DCA-Anexo I-HI'!B465+'DCA-Anexo I-HI'!B453</f>
        <v>1080717.6100000001</v>
      </c>
    </row>
    <row r="447" spans="1:2" ht="12.75" customHeight="1">
      <c r="A447" s="3" t="s">
        <v>3179</v>
      </c>
      <c r="B447" s="11">
        <f>+'DCA-Anexo I-HI'!B452+'DCA-Anexo I-HI'!B448+'DCA-Anexo I-HI'!B449+'DCA-Anexo I-HI'!B450+'DCA-Anexo I-HI'!B451</f>
        <v>1080717.6100000001</v>
      </c>
    </row>
    <row r="448" spans="1:2" ht="12.75" customHeight="1">
      <c r="A448" s="4" t="s">
        <v>3180</v>
      </c>
      <c r="B448" s="12">
        <v>1080717.6100000001</v>
      </c>
    </row>
    <row r="449" spans="1:2" ht="12.75" customHeight="1">
      <c r="A449" s="3" t="s">
        <v>3181</v>
      </c>
      <c r="B449" s="11"/>
    </row>
    <row r="450" spans="1:2" ht="12.75" customHeight="1">
      <c r="A450" s="4" t="s">
        <v>3182</v>
      </c>
      <c r="B450" s="12"/>
    </row>
    <row r="451" spans="1:2" ht="12.75" customHeight="1">
      <c r="A451" s="3" t="s">
        <v>3183</v>
      </c>
      <c r="B451" s="11"/>
    </row>
    <row r="452" spans="1:2" ht="12.75" customHeight="1">
      <c r="A452" s="4" t="s">
        <v>3184</v>
      </c>
      <c r="B452" s="12"/>
    </row>
    <row r="453" spans="1:2" ht="12.75" customHeight="1">
      <c r="A453" s="3" t="s">
        <v>3185</v>
      </c>
      <c r="B453" s="11">
        <f>+'DCA-Anexo I-HI'!B454+'DCA-Anexo I-HI'!B455+'DCA-Anexo I-HI'!B456+'DCA-Anexo I-HI'!B457+'DCA-Anexo I-HI'!B458</f>
        <v>0</v>
      </c>
    </row>
    <row r="454" spans="1:2" ht="25.5" customHeight="1">
      <c r="A454" s="4" t="s">
        <v>3186</v>
      </c>
      <c r="B454" s="12"/>
    </row>
    <row r="455" spans="1:2" ht="25.5" customHeight="1">
      <c r="A455" s="3" t="s">
        <v>3187</v>
      </c>
      <c r="B455" s="11"/>
    </row>
    <row r="456" spans="1:2" ht="25.5" customHeight="1">
      <c r="A456" s="4" t="s">
        <v>3188</v>
      </c>
      <c r="B456" s="12"/>
    </row>
    <row r="457" spans="1:2" ht="25.5" customHeight="1">
      <c r="A457" s="3" t="s">
        <v>3189</v>
      </c>
      <c r="B457" s="11"/>
    </row>
    <row r="458" spans="1:2" ht="25.5" customHeight="1">
      <c r="A458" s="4" t="s">
        <v>3190</v>
      </c>
      <c r="B458" s="12"/>
    </row>
    <row r="459" spans="1:2" ht="25.5" customHeight="1">
      <c r="A459" s="3" t="s">
        <v>3191</v>
      </c>
      <c r="B459" s="11">
        <f>+'DCA-Anexo I-HI'!B460+'DCA-Anexo I-HI'!B461+'DCA-Anexo I-HI'!B462+'DCA-Anexo I-HI'!B463+'DCA-Anexo I-HI'!B464</f>
        <v>0</v>
      </c>
    </row>
    <row r="460" spans="1:2" ht="25.5" customHeight="1">
      <c r="A460" s="4" t="s">
        <v>3192</v>
      </c>
      <c r="B460" s="12"/>
    </row>
    <row r="461" spans="1:2" ht="25.5" customHeight="1">
      <c r="A461" s="3" t="s">
        <v>3193</v>
      </c>
      <c r="B461" s="11"/>
    </row>
    <row r="462" spans="1:2" ht="25.5" customHeight="1">
      <c r="A462" s="4" t="s">
        <v>3194</v>
      </c>
      <c r="B462" s="12"/>
    </row>
    <row r="463" spans="1:2" ht="25.5" customHeight="1">
      <c r="A463" s="3" t="s">
        <v>3195</v>
      </c>
      <c r="B463" s="11"/>
    </row>
    <row r="464" spans="1:2" ht="25.5" customHeight="1">
      <c r="A464" s="4" t="s">
        <v>3196</v>
      </c>
      <c r="B464" s="12"/>
    </row>
    <row r="465" spans="1:2" ht="12.75" customHeight="1">
      <c r="A465" s="3" t="s">
        <v>3197</v>
      </c>
      <c r="B465" s="11">
        <f>+'DCA-Anexo I-HI'!B466+'DCA-Anexo I-HI'!B467+'DCA-Anexo I-HI'!B468+'DCA-Anexo I-HI'!B469+'DCA-Anexo I-HI'!B470</f>
        <v>0</v>
      </c>
    </row>
    <row r="466" spans="1:2" ht="12.75" customHeight="1">
      <c r="A466" s="4" t="s">
        <v>3198</v>
      </c>
      <c r="B466" s="12"/>
    </row>
    <row r="467" spans="1:2" ht="12.75" customHeight="1">
      <c r="A467" s="3" t="s">
        <v>3199</v>
      </c>
      <c r="B467" s="11"/>
    </row>
    <row r="468" spans="1:2" ht="12.75" customHeight="1">
      <c r="A468" s="4" t="s">
        <v>3200</v>
      </c>
      <c r="B468" s="12"/>
    </row>
    <row r="469" spans="1:2" ht="12.75" customHeight="1">
      <c r="A469" s="3" t="s">
        <v>3201</v>
      </c>
      <c r="B469" s="11"/>
    </row>
    <row r="470" spans="1:2" ht="12.75" customHeight="1">
      <c r="A470" s="4" t="s">
        <v>3202</v>
      </c>
      <c r="B470" s="12"/>
    </row>
    <row r="471" spans="1:2" ht="25.5" customHeight="1">
      <c r="A471" s="3" t="s">
        <v>3203</v>
      </c>
      <c r="B471" s="11">
        <f>+'DCA-Anexo I-HI'!B472+'DCA-Anexo I-HI'!B479+'DCA-Anexo I-HI'!B486</f>
        <v>0</v>
      </c>
    </row>
    <row r="472" spans="1:2" ht="12.75" customHeight="1">
      <c r="A472" s="4" t="s">
        <v>3204</v>
      </c>
      <c r="B472" s="12">
        <f>+'DCA-Anexo I-HI'!B473</f>
        <v>0</v>
      </c>
    </row>
    <row r="473" spans="1:2" ht="12.75" customHeight="1">
      <c r="A473" s="3" t="s">
        <v>3205</v>
      </c>
      <c r="B473" s="11">
        <f>+'DCA-Anexo I-HI'!B474+'DCA-Anexo I-HI'!B475+'DCA-Anexo I-HI'!B476+'DCA-Anexo I-HI'!B477+'DCA-Anexo I-HI'!B478</f>
        <v>0</v>
      </c>
    </row>
    <row r="474" spans="1:2" ht="12.75" customHeight="1">
      <c r="A474" s="4" t="s">
        <v>3206</v>
      </c>
      <c r="B474" s="12"/>
    </row>
    <row r="475" spans="1:2" ht="12.75" customHeight="1">
      <c r="A475" s="3" t="s">
        <v>3207</v>
      </c>
      <c r="B475" s="11"/>
    </row>
    <row r="476" spans="1:2" ht="12.75" customHeight="1">
      <c r="A476" s="4" t="s">
        <v>3208</v>
      </c>
      <c r="B476" s="12"/>
    </row>
    <row r="477" spans="1:2" ht="12.75" customHeight="1">
      <c r="A477" s="3" t="s">
        <v>3209</v>
      </c>
      <c r="B477" s="11"/>
    </row>
    <row r="478" spans="1:2" ht="12.75" customHeight="1">
      <c r="A478" s="4" t="s">
        <v>3210</v>
      </c>
      <c r="B478" s="12"/>
    </row>
    <row r="479" spans="1:2" ht="12.75" customHeight="1">
      <c r="A479" s="3" t="s">
        <v>3211</v>
      </c>
      <c r="B479" s="11">
        <f>+'DCA-Anexo I-HI'!B480</f>
        <v>0</v>
      </c>
    </row>
    <row r="480" spans="1:2" ht="12.75" customHeight="1">
      <c r="A480" s="4" t="s">
        <v>3212</v>
      </c>
      <c r="B480" s="12">
        <f>+'DCA-Anexo I-HI'!B481+'DCA-Anexo I-HI'!B482+'DCA-Anexo I-HI'!B483+'DCA-Anexo I-HI'!B484+'DCA-Anexo I-HI'!B485</f>
        <v>0</v>
      </c>
    </row>
    <row r="481" spans="1:2" ht="12.75" customHeight="1">
      <c r="A481" s="3" t="s">
        <v>3213</v>
      </c>
      <c r="B481" s="11"/>
    </row>
    <row r="482" spans="1:2" ht="12.75" customHeight="1">
      <c r="A482" s="4" t="s">
        <v>3214</v>
      </c>
      <c r="B482" s="12"/>
    </row>
    <row r="483" spans="1:2" ht="12.75" customHeight="1">
      <c r="A483" s="3" t="s">
        <v>3215</v>
      </c>
      <c r="B483" s="11"/>
    </row>
    <row r="484" spans="1:2" ht="12.75" customHeight="1">
      <c r="A484" s="4" t="s">
        <v>3216</v>
      </c>
      <c r="B484" s="12"/>
    </row>
    <row r="485" spans="1:2" ht="12.75" customHeight="1">
      <c r="A485" s="3" t="s">
        <v>3217</v>
      </c>
      <c r="B485" s="11"/>
    </row>
    <row r="486" spans="1:2" ht="12.75" customHeight="1">
      <c r="A486" s="4" t="s">
        <v>3218</v>
      </c>
      <c r="B486" s="12">
        <f>+'DCA-Anexo I-HI'!B487</f>
        <v>0</v>
      </c>
    </row>
    <row r="487" spans="1:2" ht="12.75" customHeight="1">
      <c r="A487" s="3" t="s">
        <v>3219</v>
      </c>
      <c r="B487" s="11">
        <f>+'DCA-Anexo I-HI'!B488+'DCA-Anexo I-HI'!B489+'DCA-Anexo I-HI'!B490+'DCA-Anexo I-HI'!B491+'DCA-Anexo I-HI'!B492</f>
        <v>0</v>
      </c>
    </row>
    <row r="488" spans="1:2" ht="12.75" customHeight="1">
      <c r="A488" s="4" t="s">
        <v>3220</v>
      </c>
      <c r="B488" s="12"/>
    </row>
    <row r="489" spans="1:2" ht="12.75" customHeight="1">
      <c r="A489" s="3" t="s">
        <v>3221</v>
      </c>
      <c r="B489" s="11"/>
    </row>
    <row r="490" spans="1:2" ht="12.75" customHeight="1">
      <c r="A490" s="4" t="s">
        <v>3222</v>
      </c>
      <c r="B490" s="12"/>
    </row>
    <row r="491" spans="1:2" ht="12.75" customHeight="1">
      <c r="A491" s="3" t="s">
        <v>3223</v>
      </c>
      <c r="B491" s="11"/>
    </row>
    <row r="492" spans="1:2" ht="12.75" customHeight="1">
      <c r="A492" s="4" t="s">
        <v>3224</v>
      </c>
      <c r="B492" s="12"/>
    </row>
    <row r="493" spans="1:2" ht="12.75" customHeight="1">
      <c r="A493" s="3" t="s">
        <v>3225</v>
      </c>
      <c r="B493" s="11">
        <f>+'DCA-Anexo I-HI'!B549+'DCA-Anexo I-HI'!B579+'DCA-Anexo I-HI'!B602+'DCA-Anexo I-HI'!B531+'DCA-Anexo I-HI'!B572+'DCA-Anexo I-HI'!B645+'DCA-Anexo I-HI'!B494+'DCA-Anexo I-HI'!B538</f>
        <v>22400</v>
      </c>
    </row>
    <row r="494" spans="1:2" ht="12.75" customHeight="1">
      <c r="A494" s="4" t="s">
        <v>3226</v>
      </c>
      <c r="B494" s="12">
        <f>+'DCA-Anexo I-HI'!B513+'DCA-Anexo I-HI'!B507+'DCA-Anexo I-HI'!B495+'DCA-Anexo I-HI'!B501+'DCA-Anexo I-HI'!B519+'DCA-Anexo I-HI'!B525</f>
        <v>22400</v>
      </c>
    </row>
    <row r="495" spans="1:2" ht="12.75" customHeight="1">
      <c r="A495" s="3" t="s">
        <v>3227</v>
      </c>
      <c r="B495" s="11">
        <f>+'DCA-Anexo I-HI'!B496+'DCA-Anexo I-HI'!B497+'DCA-Anexo I-HI'!B498+'DCA-Anexo I-HI'!B499+'DCA-Anexo I-HI'!B500</f>
        <v>0</v>
      </c>
    </row>
    <row r="496" spans="1:2" ht="12.75" customHeight="1">
      <c r="A496" s="4" t="s">
        <v>3228</v>
      </c>
      <c r="B496" s="12"/>
    </row>
    <row r="497" spans="1:2" ht="12.75" customHeight="1">
      <c r="A497" s="3" t="s">
        <v>3229</v>
      </c>
      <c r="B497" s="11"/>
    </row>
    <row r="498" spans="1:2" ht="12.75" customHeight="1">
      <c r="A498" s="4" t="s">
        <v>3230</v>
      </c>
      <c r="B498" s="12"/>
    </row>
    <row r="499" spans="1:2" ht="12.75" customHeight="1">
      <c r="A499" s="3" t="s">
        <v>3231</v>
      </c>
      <c r="B499" s="11"/>
    </row>
    <row r="500" spans="1:2" ht="12.75" customHeight="1">
      <c r="A500" s="4" t="s">
        <v>3232</v>
      </c>
      <c r="B500" s="12"/>
    </row>
    <row r="501" spans="1:2" ht="12.75" customHeight="1">
      <c r="A501" s="3" t="s">
        <v>3233</v>
      </c>
      <c r="B501" s="11">
        <f>+'DCA-Anexo I-HI'!B502+'DCA-Anexo I-HI'!B503+'DCA-Anexo I-HI'!B504+'DCA-Anexo I-HI'!B505+'DCA-Anexo I-HI'!B506</f>
        <v>0</v>
      </c>
    </row>
    <row r="502" spans="1:2" ht="12.75" customHeight="1">
      <c r="A502" s="4" t="s">
        <v>3234</v>
      </c>
      <c r="B502" s="12"/>
    </row>
    <row r="503" spans="1:2" ht="12.75" customHeight="1">
      <c r="A503" s="3" t="s">
        <v>3235</v>
      </c>
      <c r="B503" s="11"/>
    </row>
    <row r="504" spans="1:2" ht="12.75" customHeight="1">
      <c r="A504" s="4" t="s">
        <v>3236</v>
      </c>
      <c r="B504" s="12"/>
    </row>
    <row r="505" spans="1:2" ht="12.75" customHeight="1">
      <c r="A505" s="3" t="s">
        <v>3237</v>
      </c>
      <c r="B505" s="11"/>
    </row>
    <row r="506" spans="1:2" ht="12.75" customHeight="1">
      <c r="A506" s="4" t="s">
        <v>3238</v>
      </c>
      <c r="B506" s="12"/>
    </row>
    <row r="507" spans="1:2" ht="12.75" customHeight="1">
      <c r="A507" s="3" t="s">
        <v>3239</v>
      </c>
      <c r="B507" s="11">
        <f>+'DCA-Anexo I-HI'!B508+'DCA-Anexo I-HI'!B509+'DCA-Anexo I-HI'!B510+'DCA-Anexo I-HI'!B511+'DCA-Anexo I-HI'!B512</f>
        <v>0</v>
      </c>
    </row>
    <row r="508" spans="1:2" ht="12.75" customHeight="1">
      <c r="A508" s="4" t="s">
        <v>3240</v>
      </c>
      <c r="B508" s="12"/>
    </row>
    <row r="509" spans="1:2" ht="12.75" customHeight="1">
      <c r="A509" s="3" t="s">
        <v>3241</v>
      </c>
      <c r="B509" s="11"/>
    </row>
    <row r="510" spans="1:2" ht="12.75" customHeight="1">
      <c r="A510" s="4" t="s">
        <v>3242</v>
      </c>
      <c r="B510" s="12"/>
    </row>
    <row r="511" spans="1:2" ht="12.75" customHeight="1">
      <c r="A511" s="3" t="s">
        <v>3243</v>
      </c>
      <c r="B511" s="11"/>
    </row>
    <row r="512" spans="1:2" ht="12.75" customHeight="1">
      <c r="A512" s="4" t="s">
        <v>3244</v>
      </c>
      <c r="B512" s="12"/>
    </row>
    <row r="513" spans="1:2" ht="12.75" customHeight="1">
      <c r="A513" s="3" t="s">
        <v>3245</v>
      </c>
      <c r="B513" s="11">
        <f>+'DCA-Anexo I-HI'!B514+'DCA-Anexo I-HI'!B515+'DCA-Anexo I-HI'!B516+'DCA-Anexo I-HI'!B517+'DCA-Anexo I-HI'!B518</f>
        <v>0</v>
      </c>
    </row>
    <row r="514" spans="1:2" ht="12.75" customHeight="1">
      <c r="A514" s="4" t="s">
        <v>3246</v>
      </c>
      <c r="B514" s="12"/>
    </row>
    <row r="515" spans="1:2" ht="12.75" customHeight="1">
      <c r="A515" s="3" t="s">
        <v>3247</v>
      </c>
      <c r="B515" s="11"/>
    </row>
    <row r="516" spans="1:2" ht="12.75" customHeight="1">
      <c r="A516" s="4" t="s">
        <v>3248</v>
      </c>
      <c r="B516" s="12"/>
    </row>
    <row r="517" spans="1:2" ht="12.75" customHeight="1">
      <c r="A517" s="3" t="s">
        <v>3249</v>
      </c>
      <c r="B517" s="11"/>
    </row>
    <row r="518" spans="1:2" ht="12.75" customHeight="1">
      <c r="A518" s="4" t="s">
        <v>3250</v>
      </c>
      <c r="B518" s="12"/>
    </row>
    <row r="519" spans="1:2" ht="12.75" customHeight="1">
      <c r="A519" s="3" t="s">
        <v>3251</v>
      </c>
      <c r="B519" s="11">
        <f>+'DCA-Anexo I-HI'!B520+'DCA-Anexo I-HI'!B521+'DCA-Anexo I-HI'!B522+'DCA-Anexo I-HI'!B523+'DCA-Anexo I-HI'!B524</f>
        <v>0</v>
      </c>
    </row>
    <row r="520" spans="1:2" ht="12.75" customHeight="1">
      <c r="A520" s="4" t="s">
        <v>3252</v>
      </c>
      <c r="B520" s="12"/>
    </row>
    <row r="521" spans="1:2" ht="12.75" customHeight="1">
      <c r="A521" s="3" t="s">
        <v>3253</v>
      </c>
      <c r="B521" s="11"/>
    </row>
    <row r="522" spans="1:2" ht="12.75" customHeight="1">
      <c r="A522" s="4" t="s">
        <v>3254</v>
      </c>
      <c r="B522" s="12"/>
    </row>
    <row r="523" spans="1:2" ht="12.75" customHeight="1">
      <c r="A523" s="3" t="s">
        <v>3255</v>
      </c>
      <c r="B523" s="11"/>
    </row>
    <row r="524" spans="1:2" ht="12.75" customHeight="1">
      <c r="A524" s="4" t="s">
        <v>3256</v>
      </c>
      <c r="B524" s="12"/>
    </row>
    <row r="525" spans="1:2" ht="12.75" customHeight="1">
      <c r="A525" s="3" t="s">
        <v>3257</v>
      </c>
      <c r="B525" s="11">
        <f>+'DCA-Anexo I-HI'!B526+'DCA-Anexo I-HI'!B527+'DCA-Anexo I-HI'!B528+'DCA-Anexo I-HI'!B529+'DCA-Anexo I-HI'!B530</f>
        <v>22400</v>
      </c>
    </row>
    <row r="526" spans="1:2" ht="12.75" customHeight="1">
      <c r="A526" s="4" t="s">
        <v>3258</v>
      </c>
      <c r="B526" s="12">
        <v>22400</v>
      </c>
    </row>
    <row r="527" spans="1:2" ht="12.75" customHeight="1">
      <c r="A527" s="3" t="s">
        <v>3259</v>
      </c>
      <c r="B527" s="11"/>
    </row>
    <row r="528" spans="1:2" ht="12.75" customHeight="1">
      <c r="A528" s="4" t="s">
        <v>3260</v>
      </c>
      <c r="B528" s="12"/>
    </row>
    <row r="529" spans="1:2" ht="12.75" customHeight="1">
      <c r="A529" s="3" t="s">
        <v>3261</v>
      </c>
      <c r="B529" s="11"/>
    </row>
    <row r="530" spans="1:2" ht="12.75" customHeight="1">
      <c r="A530" s="4" t="s">
        <v>3262</v>
      </c>
      <c r="B530" s="12"/>
    </row>
    <row r="531" spans="1:2" ht="12.75" customHeight="1">
      <c r="A531" s="3" t="s">
        <v>3263</v>
      </c>
      <c r="B531" s="11">
        <f>+'DCA-Anexo I-HI'!B532</f>
        <v>0</v>
      </c>
    </row>
    <row r="532" spans="1:2" ht="12.75" customHeight="1">
      <c r="A532" s="4" t="s">
        <v>3264</v>
      </c>
      <c r="B532" s="12">
        <f>+'DCA-Anexo I-HI'!B533+'DCA-Anexo I-HI'!B534+'DCA-Anexo I-HI'!B537+'DCA-Anexo I-HI'!B535+'DCA-Anexo I-HI'!B536</f>
        <v>0</v>
      </c>
    </row>
    <row r="533" spans="1:2" ht="25.5" customHeight="1">
      <c r="A533" s="3" t="s">
        <v>3265</v>
      </c>
      <c r="B533" s="11"/>
    </row>
    <row r="534" spans="1:2" ht="25.5" customHeight="1">
      <c r="A534" s="4" t="s">
        <v>3266</v>
      </c>
      <c r="B534" s="12"/>
    </row>
    <row r="535" spans="1:2" ht="25.5" customHeight="1">
      <c r="A535" s="3" t="s">
        <v>3267</v>
      </c>
      <c r="B535" s="11"/>
    </row>
    <row r="536" spans="1:2" ht="25.5" customHeight="1">
      <c r="A536" s="4" t="s">
        <v>3268</v>
      </c>
      <c r="B536" s="12"/>
    </row>
    <row r="537" spans="1:2" ht="25.5" customHeight="1">
      <c r="A537" s="3" t="s">
        <v>3269</v>
      </c>
      <c r="B537" s="11"/>
    </row>
    <row r="538" spans="1:2" ht="12.75" customHeight="1">
      <c r="A538" s="4" t="s">
        <v>3270</v>
      </c>
      <c r="B538" s="12">
        <f>+'DCA-Anexo I-HI'!B539+'DCA-Anexo I-HI'!B545+'DCA-Anexo I-HI'!B543+'DCA-Anexo I-HI'!B541+'DCA-Anexo I-HI'!B547</f>
        <v>0</v>
      </c>
    </row>
    <row r="539" spans="1:2" ht="12.75" customHeight="1">
      <c r="A539" s="3" t="s">
        <v>3271</v>
      </c>
      <c r="B539" s="11">
        <f>+'DCA-Anexo I-HI'!B540</f>
        <v>0</v>
      </c>
    </row>
    <row r="540" spans="1:2" ht="12.75" customHeight="1">
      <c r="A540" s="4" t="s">
        <v>3272</v>
      </c>
      <c r="B540" s="12"/>
    </row>
    <row r="541" spans="1:2" ht="12.75" customHeight="1">
      <c r="A541" s="3" t="s">
        <v>3273</v>
      </c>
      <c r="B541" s="11">
        <f>+'DCA-Anexo I-HI'!B542</f>
        <v>0</v>
      </c>
    </row>
    <row r="542" spans="1:2" ht="12.75" customHeight="1">
      <c r="A542" s="4" t="s">
        <v>3274</v>
      </c>
      <c r="B542" s="12"/>
    </row>
    <row r="543" spans="1:2" ht="12.75" customHeight="1">
      <c r="A543" s="3" t="s">
        <v>3275</v>
      </c>
      <c r="B543" s="11">
        <f>+'DCA-Anexo I-HI'!B544</f>
        <v>0</v>
      </c>
    </row>
    <row r="544" spans="1:2" ht="12.75" customHeight="1">
      <c r="A544" s="4" t="s">
        <v>3276</v>
      </c>
      <c r="B544" s="12"/>
    </row>
    <row r="545" spans="1:2" ht="12.75" customHeight="1">
      <c r="A545" s="3" t="s">
        <v>3277</v>
      </c>
      <c r="B545" s="11">
        <f>+'DCA-Anexo I-HI'!B546</f>
        <v>0</v>
      </c>
    </row>
    <row r="546" spans="1:2" ht="12.75" customHeight="1">
      <c r="A546" s="4" t="s">
        <v>3278</v>
      </c>
      <c r="B546" s="12"/>
    </row>
    <row r="547" spans="1:2" ht="12.75" customHeight="1">
      <c r="A547" s="3" t="s">
        <v>3279</v>
      </c>
      <c r="B547" s="11">
        <f>+'DCA-Anexo I-HI'!B548</f>
        <v>0</v>
      </c>
    </row>
    <row r="548" spans="1:2" ht="25.5" customHeight="1">
      <c r="A548" s="4" t="s">
        <v>3280</v>
      </c>
      <c r="B548" s="12"/>
    </row>
    <row r="549" spans="1:2" ht="12.75" customHeight="1">
      <c r="A549" s="3" t="s">
        <v>3281</v>
      </c>
      <c r="B549" s="11">
        <f>+'DCA-Anexo I-HI'!B560+'DCA-Anexo I-HI'!B566+'DCA-Anexo I-HI'!B550+'DCA-Anexo I-HI'!B552+'DCA-Anexo I-HI'!B554</f>
        <v>0</v>
      </c>
    </row>
    <row r="550" spans="1:2" ht="12.75" customHeight="1">
      <c r="A550" s="4" t="s">
        <v>3282</v>
      </c>
      <c r="B550" s="12">
        <f>+'DCA-Anexo I-HI'!B551</f>
        <v>0</v>
      </c>
    </row>
    <row r="551" spans="1:2" ht="12.75" customHeight="1">
      <c r="A551" s="3" t="s">
        <v>3283</v>
      </c>
      <c r="B551" s="11"/>
    </row>
    <row r="552" spans="1:2" ht="12.75" customHeight="1">
      <c r="A552" s="4" t="s">
        <v>3284</v>
      </c>
      <c r="B552" s="12">
        <f>+'DCA-Anexo I-HI'!B553</f>
        <v>0</v>
      </c>
    </row>
    <row r="553" spans="1:2" ht="12.75" customHeight="1">
      <c r="A553" s="3" t="s">
        <v>3285</v>
      </c>
      <c r="B553" s="11"/>
    </row>
    <row r="554" spans="1:2" ht="12.75" customHeight="1">
      <c r="A554" s="4" t="s">
        <v>3286</v>
      </c>
      <c r="B554" s="12">
        <f>+'DCA-Anexo I-HI'!B555+'DCA-Anexo I-HI'!B556+'DCA-Anexo I-HI'!B557+'DCA-Anexo I-HI'!B558+'DCA-Anexo I-HI'!B559</f>
        <v>0</v>
      </c>
    </row>
    <row r="555" spans="1:2" ht="12.75" customHeight="1">
      <c r="A555" s="3" t="s">
        <v>3287</v>
      </c>
      <c r="B555" s="11"/>
    </row>
    <row r="556" spans="1:2" ht="12.75" customHeight="1">
      <c r="A556" s="4" t="s">
        <v>3288</v>
      </c>
      <c r="B556" s="12"/>
    </row>
    <row r="557" spans="1:2" ht="12.75" customHeight="1">
      <c r="A557" s="3" t="s">
        <v>3289</v>
      </c>
      <c r="B557" s="11"/>
    </row>
    <row r="558" spans="1:2" ht="12.75" customHeight="1">
      <c r="A558" s="4" t="s">
        <v>3290</v>
      </c>
      <c r="B558" s="12"/>
    </row>
    <row r="559" spans="1:2" ht="12.75" customHeight="1">
      <c r="A559" s="3" t="s">
        <v>3291</v>
      </c>
      <c r="B559" s="11"/>
    </row>
    <row r="560" spans="1:2" ht="12.75" customHeight="1">
      <c r="A560" s="4" t="s">
        <v>3292</v>
      </c>
      <c r="B560" s="12">
        <f>+'DCA-Anexo I-HI'!B561+'DCA-Anexo I-HI'!B562+'DCA-Anexo I-HI'!B563+'DCA-Anexo I-HI'!B564+'DCA-Anexo I-HI'!B565</f>
        <v>0</v>
      </c>
    </row>
    <row r="561" spans="1:2" ht="12.75" customHeight="1">
      <c r="A561" s="3" t="s">
        <v>3293</v>
      </c>
      <c r="B561" s="11"/>
    </row>
    <row r="562" spans="1:2" ht="12.75" customHeight="1">
      <c r="A562" s="4" t="s">
        <v>3294</v>
      </c>
      <c r="B562" s="12"/>
    </row>
    <row r="563" spans="1:2" ht="12.75" customHeight="1">
      <c r="A563" s="3" t="s">
        <v>3295</v>
      </c>
      <c r="B563" s="11"/>
    </row>
    <row r="564" spans="1:2" ht="12.75" customHeight="1">
      <c r="A564" s="4" t="s">
        <v>3296</v>
      </c>
      <c r="B564" s="12"/>
    </row>
    <row r="565" spans="1:2" ht="12.75" customHeight="1">
      <c r="A565" s="3" t="s">
        <v>3297</v>
      </c>
      <c r="B565" s="11"/>
    </row>
    <row r="566" spans="1:2" ht="12.75" customHeight="1">
      <c r="A566" s="4" t="s">
        <v>3298</v>
      </c>
      <c r="B566" s="12">
        <f>+'DCA-Anexo I-HI'!B567+'DCA-Anexo I-HI'!B568+'DCA-Anexo I-HI'!B569+'DCA-Anexo I-HI'!B570+'DCA-Anexo I-HI'!B571</f>
        <v>0</v>
      </c>
    </row>
    <row r="567" spans="1:2" ht="12.75" customHeight="1">
      <c r="A567" s="3" t="s">
        <v>3299</v>
      </c>
      <c r="B567" s="11"/>
    </row>
    <row r="568" spans="1:2" ht="12.75" customHeight="1">
      <c r="A568" s="4" t="s">
        <v>3300</v>
      </c>
      <c r="B568" s="12"/>
    </row>
    <row r="569" spans="1:2" ht="12.75" customHeight="1">
      <c r="A569" s="3" t="s">
        <v>3301</v>
      </c>
      <c r="B569" s="11"/>
    </row>
    <row r="570" spans="1:2" ht="12.75" customHeight="1">
      <c r="A570" s="4" t="s">
        <v>3302</v>
      </c>
      <c r="B570" s="12"/>
    </row>
    <row r="571" spans="1:2" ht="12.75" customHeight="1">
      <c r="A571" s="3" t="s">
        <v>3303</v>
      </c>
      <c r="B571" s="11"/>
    </row>
    <row r="572" spans="1:2" ht="12.75" customHeight="1">
      <c r="A572" s="4" t="s">
        <v>3304</v>
      </c>
      <c r="B572" s="12">
        <f>+'DCA-Anexo I-HI'!B573</f>
        <v>0</v>
      </c>
    </row>
    <row r="573" spans="1:2" ht="12.75" customHeight="1">
      <c r="A573" s="3" t="s">
        <v>3305</v>
      </c>
      <c r="B573" s="11">
        <f>+'DCA-Anexo I-HI'!B574+'DCA-Anexo I-HI'!B575+'DCA-Anexo I-HI'!B576+'DCA-Anexo I-HI'!B577+'DCA-Anexo I-HI'!B578</f>
        <v>0</v>
      </c>
    </row>
    <row r="574" spans="1:2" ht="12.75" customHeight="1">
      <c r="A574" s="4" t="s">
        <v>3306</v>
      </c>
      <c r="B574" s="12"/>
    </row>
    <row r="575" spans="1:2" ht="12.75" customHeight="1">
      <c r="A575" s="3" t="s">
        <v>3307</v>
      </c>
      <c r="B575" s="11"/>
    </row>
    <row r="576" spans="1:2" ht="12.75" customHeight="1">
      <c r="A576" s="4" t="s">
        <v>3308</v>
      </c>
      <c r="B576" s="12"/>
    </row>
    <row r="577" spans="1:2" ht="12.75" customHeight="1">
      <c r="A577" s="3" t="s">
        <v>3309</v>
      </c>
      <c r="B577" s="11"/>
    </row>
    <row r="578" spans="1:2" ht="12.75" customHeight="1">
      <c r="A578" s="4" t="s">
        <v>3310</v>
      </c>
      <c r="B578" s="12"/>
    </row>
    <row r="579" spans="1:2" ht="12.75" customHeight="1">
      <c r="A579" s="3" t="s">
        <v>3311</v>
      </c>
      <c r="B579" s="11">
        <f>+'DCA-Anexo I-HI'!B580+'DCA-Anexo I-HI'!B586+'DCA-Anexo I-HI'!B588+'DCA-Anexo I-HI'!B590+'DCA-Anexo I-HI'!B596</f>
        <v>0</v>
      </c>
    </row>
    <row r="580" spans="1:2" ht="12.75" customHeight="1">
      <c r="A580" s="4" t="s">
        <v>3312</v>
      </c>
      <c r="B580" s="12">
        <f>+'DCA-Anexo I-HI'!B581+'DCA-Anexo I-HI'!B582+'DCA-Anexo I-HI'!B583+'DCA-Anexo I-HI'!B584+'DCA-Anexo I-HI'!B585</f>
        <v>0</v>
      </c>
    </row>
    <row r="581" spans="1:2" ht="12.75" customHeight="1">
      <c r="A581" s="3" t="s">
        <v>3313</v>
      </c>
      <c r="B581" s="11"/>
    </row>
    <row r="582" spans="1:2" ht="12.75" customHeight="1">
      <c r="A582" s="4" t="s">
        <v>3314</v>
      </c>
      <c r="B582" s="12"/>
    </row>
    <row r="583" spans="1:2" ht="12.75" customHeight="1">
      <c r="A583" s="3" t="s">
        <v>3315</v>
      </c>
      <c r="B583" s="11"/>
    </row>
    <row r="584" spans="1:2" ht="12.75" customHeight="1">
      <c r="A584" s="4" t="s">
        <v>3316</v>
      </c>
      <c r="B584" s="12"/>
    </row>
    <row r="585" spans="1:2" ht="12.75" customHeight="1">
      <c r="A585" s="3" t="s">
        <v>3317</v>
      </c>
      <c r="B585" s="11"/>
    </row>
    <row r="586" spans="1:2" ht="12.75" customHeight="1">
      <c r="A586" s="4" t="s">
        <v>3318</v>
      </c>
      <c r="B586" s="12">
        <f>+'DCA-Anexo I-HI'!B587</f>
        <v>0</v>
      </c>
    </row>
    <row r="587" spans="1:2" ht="12.75" customHeight="1">
      <c r="A587" s="3" t="s">
        <v>3319</v>
      </c>
      <c r="B587" s="11"/>
    </row>
    <row r="588" spans="1:2" ht="12.75" customHeight="1">
      <c r="A588" s="4" t="s">
        <v>3320</v>
      </c>
      <c r="B588" s="12">
        <f>+'DCA-Anexo I-HI'!B589</f>
        <v>0</v>
      </c>
    </row>
    <row r="589" spans="1:2" ht="12.75" customHeight="1">
      <c r="A589" s="3" t="s">
        <v>3321</v>
      </c>
      <c r="B589" s="11"/>
    </row>
    <row r="590" spans="1:2" ht="12.75" customHeight="1">
      <c r="A590" s="4" t="s">
        <v>3322</v>
      </c>
      <c r="B590" s="12">
        <f>+'DCA-Anexo I-HI'!B591+'DCA-Anexo I-HI'!B592+'DCA-Anexo I-HI'!B593+'DCA-Anexo I-HI'!B594+'DCA-Anexo I-HI'!B595</f>
        <v>0</v>
      </c>
    </row>
    <row r="591" spans="1:2" ht="12.75" customHeight="1">
      <c r="A591" s="3" t="s">
        <v>3323</v>
      </c>
      <c r="B591" s="11"/>
    </row>
    <row r="592" spans="1:2" ht="12.75" customHeight="1">
      <c r="A592" s="4" t="s">
        <v>3324</v>
      </c>
      <c r="B592" s="12"/>
    </row>
    <row r="593" spans="1:2" ht="25.5" customHeight="1">
      <c r="A593" s="3" t="s">
        <v>3325</v>
      </c>
      <c r="B593" s="11"/>
    </row>
    <row r="594" spans="1:2" ht="25.5" customHeight="1">
      <c r="A594" s="4" t="s">
        <v>3326</v>
      </c>
      <c r="B594" s="12"/>
    </row>
    <row r="595" spans="1:2" ht="25.5" customHeight="1">
      <c r="A595" s="3" t="s">
        <v>3327</v>
      </c>
      <c r="B595" s="11"/>
    </row>
    <row r="596" spans="1:2" ht="25.5" customHeight="1">
      <c r="A596" s="4" t="s">
        <v>3328</v>
      </c>
      <c r="B596" s="12">
        <f>+'DCA-Anexo I-HI'!B597+'DCA-Anexo I-HI'!B598+'DCA-Anexo I-HI'!B599+'DCA-Anexo I-HI'!B600+'DCA-Anexo I-HI'!B601</f>
        <v>0</v>
      </c>
    </row>
    <row r="597" spans="1:2" ht="25.5" customHeight="1">
      <c r="A597" s="3" t="s">
        <v>3329</v>
      </c>
      <c r="B597" s="11"/>
    </row>
    <row r="598" spans="1:2" ht="25.5" customHeight="1">
      <c r="A598" s="4" t="s">
        <v>3330</v>
      </c>
      <c r="B598" s="12"/>
    </row>
    <row r="599" spans="1:2" ht="25.5" customHeight="1">
      <c r="A599" s="3" t="s">
        <v>3331</v>
      </c>
      <c r="B599" s="11"/>
    </row>
    <row r="600" spans="1:2" ht="25.5" customHeight="1">
      <c r="A600" s="4" t="s">
        <v>3332</v>
      </c>
      <c r="B600" s="12"/>
    </row>
    <row r="601" spans="1:2" ht="25.5" customHeight="1">
      <c r="A601" s="3" t="s">
        <v>3333</v>
      </c>
      <c r="B601" s="11"/>
    </row>
    <row r="602" spans="1:2" ht="12.75" customHeight="1">
      <c r="A602" s="4" t="s">
        <v>3334</v>
      </c>
      <c r="B602" s="12">
        <f>+'DCA-Anexo I-HI'!B639+'DCA-Anexo I-HI'!B627+'DCA-Anexo I-HI'!B615+'DCA-Anexo I-HI'!B621+'DCA-Anexo I-HI'!B609+'DCA-Anexo I-HI'!B631+'DCA-Anexo I-HI'!B603+'DCA-Anexo I-HI'!B633</f>
        <v>0</v>
      </c>
    </row>
    <row r="603" spans="1:2" ht="12.75" customHeight="1">
      <c r="A603" s="3" t="s">
        <v>3335</v>
      </c>
      <c r="B603" s="11">
        <f>+'DCA-Anexo I-HI'!B604+'DCA-Anexo I-HI'!B605+'DCA-Anexo I-HI'!B606+'DCA-Anexo I-HI'!B607+'DCA-Anexo I-HI'!B608</f>
        <v>0</v>
      </c>
    </row>
    <row r="604" spans="1:2" ht="25.5" customHeight="1">
      <c r="A604" s="4" t="s">
        <v>3336</v>
      </c>
      <c r="B604" s="12"/>
    </row>
    <row r="605" spans="1:2" ht="25.5" customHeight="1">
      <c r="A605" s="3" t="s">
        <v>3337</v>
      </c>
      <c r="B605" s="11"/>
    </row>
    <row r="606" spans="1:2" ht="25.5" customHeight="1">
      <c r="A606" s="4" t="s">
        <v>3338</v>
      </c>
      <c r="B606" s="12"/>
    </row>
    <row r="607" spans="1:2" ht="25.5" customHeight="1">
      <c r="A607" s="3" t="s">
        <v>3339</v>
      </c>
      <c r="B607" s="11"/>
    </row>
    <row r="608" spans="1:2" ht="25.5" customHeight="1">
      <c r="A608" s="4" t="s">
        <v>3340</v>
      </c>
      <c r="B608" s="12"/>
    </row>
    <row r="609" spans="1:2" ht="25.5" customHeight="1">
      <c r="A609" s="3" t="s">
        <v>3341</v>
      </c>
      <c r="B609" s="11">
        <f>+'DCA-Anexo I-HI'!B610+'DCA-Anexo I-HI'!B611+'DCA-Anexo I-HI'!B612+'DCA-Anexo I-HI'!B613+'DCA-Anexo I-HI'!B614</f>
        <v>0</v>
      </c>
    </row>
    <row r="610" spans="1:2" ht="25.5" customHeight="1">
      <c r="A610" s="4" t="s">
        <v>3342</v>
      </c>
      <c r="B610" s="12"/>
    </row>
    <row r="611" spans="1:2" ht="25.5" customHeight="1">
      <c r="A611" s="3" t="s">
        <v>3343</v>
      </c>
      <c r="B611" s="11"/>
    </row>
    <row r="612" spans="1:2" ht="25.5" customHeight="1">
      <c r="A612" s="4" t="s">
        <v>3344</v>
      </c>
      <c r="B612" s="12"/>
    </row>
    <row r="613" spans="1:2" ht="25.5" customHeight="1">
      <c r="A613" s="3" t="s">
        <v>3345</v>
      </c>
      <c r="B613" s="11"/>
    </row>
    <row r="614" spans="1:2" ht="25.5" customHeight="1">
      <c r="A614" s="4" t="s">
        <v>3346</v>
      </c>
      <c r="B614" s="12"/>
    </row>
    <row r="615" spans="1:2" ht="12.75" customHeight="1">
      <c r="A615" s="3" t="s">
        <v>3347</v>
      </c>
      <c r="B615" s="11">
        <f>+'DCA-Anexo I-HI'!B616+'DCA-Anexo I-HI'!B617+'DCA-Anexo I-HI'!B618+'DCA-Anexo I-HI'!B619+'DCA-Anexo I-HI'!B620</f>
        <v>0</v>
      </c>
    </row>
    <row r="616" spans="1:2" ht="12.75" customHeight="1">
      <c r="A616" s="4" t="s">
        <v>3348</v>
      </c>
      <c r="B616" s="12"/>
    </row>
    <row r="617" spans="1:2" ht="12.75" customHeight="1">
      <c r="A617" s="3" t="s">
        <v>3349</v>
      </c>
      <c r="B617" s="11"/>
    </row>
    <row r="618" spans="1:2" ht="25.5" customHeight="1">
      <c r="A618" s="4" t="s">
        <v>3350</v>
      </c>
      <c r="B618" s="12"/>
    </row>
    <row r="619" spans="1:2" ht="25.5" customHeight="1">
      <c r="A619" s="3" t="s">
        <v>3351</v>
      </c>
      <c r="B619" s="11"/>
    </row>
    <row r="620" spans="1:2" ht="25.5" customHeight="1">
      <c r="A620" s="4" t="s">
        <v>3352</v>
      </c>
      <c r="B620" s="12"/>
    </row>
    <row r="621" spans="1:2" ht="12.75" customHeight="1">
      <c r="A621" s="3" t="s">
        <v>3353</v>
      </c>
      <c r="B621" s="11">
        <f>+'DCA-Anexo I-HI'!B622+'DCA-Anexo I-HI'!B623+'DCA-Anexo I-HI'!B624+'DCA-Anexo I-HI'!B625+'DCA-Anexo I-HI'!B626</f>
        <v>0</v>
      </c>
    </row>
    <row r="622" spans="1:2" ht="12.75" customHeight="1">
      <c r="A622" s="4" t="s">
        <v>3354</v>
      </c>
      <c r="B622" s="12"/>
    </row>
    <row r="623" spans="1:2" ht="12.75" customHeight="1">
      <c r="A623" s="3" t="s">
        <v>3355</v>
      </c>
      <c r="B623" s="11"/>
    </row>
    <row r="624" spans="1:2" ht="25.5" customHeight="1">
      <c r="A624" s="4" t="s">
        <v>3356</v>
      </c>
      <c r="B624" s="12"/>
    </row>
    <row r="625" spans="1:2" ht="25.5" customHeight="1">
      <c r="A625" s="3" t="s">
        <v>3357</v>
      </c>
      <c r="B625" s="11"/>
    </row>
    <row r="626" spans="1:2" ht="25.5" customHeight="1">
      <c r="A626" s="4" t="s">
        <v>3358</v>
      </c>
      <c r="B626" s="12"/>
    </row>
    <row r="627" spans="1:2" ht="12.75" customHeight="1">
      <c r="A627" s="3" t="s">
        <v>3359</v>
      </c>
      <c r="B627" s="11">
        <f>+'DCA-Anexo I-HI'!B630+'DCA-Anexo I-HI'!B628+'DCA-Anexo I-HI'!B629</f>
        <v>0</v>
      </c>
    </row>
    <row r="628" spans="1:2" ht="25.5" customHeight="1">
      <c r="A628" s="4" t="s">
        <v>3360</v>
      </c>
      <c r="B628" s="12"/>
    </row>
    <row r="629" spans="1:2" ht="25.5" customHeight="1">
      <c r="A629" s="3" t="s">
        <v>3361</v>
      </c>
      <c r="B629" s="11"/>
    </row>
    <row r="630" spans="1:2" ht="25.5" customHeight="1">
      <c r="A630" s="4" t="s">
        <v>3362</v>
      </c>
      <c r="B630" s="12"/>
    </row>
    <row r="631" spans="1:2" ht="25.5" customHeight="1">
      <c r="A631" s="3" t="s">
        <v>3363</v>
      </c>
      <c r="B631" s="11">
        <f>+'DCA-Anexo I-HI'!B632</f>
        <v>0</v>
      </c>
    </row>
    <row r="632" spans="1:2" ht="25.5" customHeight="1">
      <c r="A632" s="4" t="s">
        <v>3364</v>
      </c>
      <c r="B632" s="12"/>
    </row>
    <row r="633" spans="1:2" ht="25.5" customHeight="1">
      <c r="A633" s="3" t="s">
        <v>3365</v>
      </c>
      <c r="B633" s="11">
        <f>+'DCA-Anexo I-HI'!B634+'DCA-Anexo I-HI'!B635+'DCA-Anexo I-HI'!B636+'DCA-Anexo I-HI'!B637+'DCA-Anexo I-HI'!B638</f>
        <v>0</v>
      </c>
    </row>
    <row r="634" spans="1:2" ht="25.5" customHeight="1">
      <c r="A634" s="4" t="s">
        <v>3366</v>
      </c>
      <c r="B634" s="12"/>
    </row>
    <row r="635" spans="1:2" ht="25.5" customHeight="1">
      <c r="A635" s="3" t="s">
        <v>3367</v>
      </c>
      <c r="B635" s="11"/>
    </row>
    <row r="636" spans="1:2" ht="25.5" customHeight="1">
      <c r="A636" s="4" t="s">
        <v>3368</v>
      </c>
      <c r="B636" s="12"/>
    </row>
    <row r="637" spans="1:2" ht="25.5" customHeight="1">
      <c r="A637" s="3" t="s">
        <v>3369</v>
      </c>
      <c r="B637" s="11"/>
    </row>
    <row r="638" spans="1:2" ht="25.5" customHeight="1">
      <c r="A638" s="4" t="s">
        <v>3370</v>
      </c>
      <c r="B638" s="12"/>
    </row>
    <row r="639" spans="1:2" ht="12.75" customHeight="1">
      <c r="A639" s="3" t="s">
        <v>3371</v>
      </c>
      <c r="B639" s="11">
        <f>+'DCA-Anexo I-HI'!B640+'DCA-Anexo I-HI'!B641+'DCA-Anexo I-HI'!B642+'DCA-Anexo I-HI'!B643+'DCA-Anexo I-HI'!B644</f>
        <v>0</v>
      </c>
    </row>
    <row r="640" spans="1:2" ht="12.75" customHeight="1">
      <c r="A640" s="4" t="s">
        <v>3372</v>
      </c>
      <c r="B640" s="12"/>
    </row>
    <row r="641" spans="1:2" ht="12.75" customHeight="1">
      <c r="A641" s="3" t="s">
        <v>3373</v>
      </c>
      <c r="B641" s="11"/>
    </row>
    <row r="642" spans="1:2" ht="12.75" customHeight="1">
      <c r="A642" s="4" t="s">
        <v>3374</v>
      </c>
      <c r="B642" s="12"/>
    </row>
    <row r="643" spans="1:2" ht="12.75" customHeight="1">
      <c r="A643" s="3" t="s">
        <v>3375</v>
      </c>
      <c r="B643" s="11"/>
    </row>
    <row r="644" spans="1:2" ht="12.75" customHeight="1">
      <c r="A644" s="4" t="s">
        <v>3376</v>
      </c>
      <c r="B644" s="12"/>
    </row>
    <row r="645" spans="1:2" ht="12.75" customHeight="1">
      <c r="A645" s="3" t="s">
        <v>3377</v>
      </c>
      <c r="B645" s="11">
        <f>+'DCA-Anexo I-HI'!B655+'DCA-Anexo I-HI'!B651+'DCA-Anexo I-HI'!B683+'DCA-Anexo I-HI'!B661+'DCA-Anexo I-HI'!B646+'DCA-Anexo I-HI'!B673+'DCA-Anexo I-HI'!B667+'DCA-Anexo I-HI'!B679</f>
        <v>0</v>
      </c>
    </row>
    <row r="646" spans="1:2" ht="12.75" customHeight="1">
      <c r="A646" s="4" t="s">
        <v>3378</v>
      </c>
      <c r="B646" s="12">
        <f>+'DCA-Anexo I-HI'!B648+'DCA-Anexo I-HI'!B647+'DCA-Anexo I-HI'!B649+'DCA-Anexo I-HI'!B650</f>
        <v>0</v>
      </c>
    </row>
    <row r="647" spans="1:2" ht="25.5" customHeight="1">
      <c r="A647" s="3" t="s">
        <v>3379</v>
      </c>
      <c r="B647" s="11"/>
    </row>
    <row r="648" spans="1:2" ht="25.5" customHeight="1">
      <c r="A648" s="4" t="s">
        <v>3380</v>
      </c>
      <c r="B648" s="12"/>
    </row>
    <row r="649" spans="1:2" ht="25.5" customHeight="1">
      <c r="A649" s="3" t="s">
        <v>3381</v>
      </c>
      <c r="B649" s="11"/>
    </row>
    <row r="650" spans="1:2" ht="25.5" customHeight="1">
      <c r="A650" s="4" t="s">
        <v>3382</v>
      </c>
      <c r="B650" s="12"/>
    </row>
    <row r="651" spans="1:2" ht="12.75" customHeight="1">
      <c r="A651" s="3" t="s">
        <v>3383</v>
      </c>
      <c r="B651" s="11">
        <f>+'DCA-Anexo I-HI'!B653+'DCA-Anexo I-HI'!B652+'DCA-Anexo I-HI'!B654</f>
        <v>0</v>
      </c>
    </row>
    <row r="652" spans="1:2" ht="25.5" customHeight="1">
      <c r="A652" s="4" t="s">
        <v>3384</v>
      </c>
      <c r="B652" s="12"/>
    </row>
    <row r="653" spans="1:2" ht="25.5" customHeight="1">
      <c r="A653" s="3" t="s">
        <v>3385</v>
      </c>
      <c r="B653" s="11"/>
    </row>
    <row r="654" spans="1:2" ht="25.5" customHeight="1">
      <c r="A654" s="4" t="s">
        <v>3386</v>
      </c>
      <c r="B654" s="12"/>
    </row>
    <row r="655" spans="1:2" ht="12.75" customHeight="1">
      <c r="A655" s="3" t="s">
        <v>3387</v>
      </c>
      <c r="B655" s="11">
        <f>+'DCA-Anexo I-HI'!B656+'DCA-Anexo I-HI'!B657+'DCA-Anexo I-HI'!B658+'DCA-Anexo I-HI'!B659+'DCA-Anexo I-HI'!B660</f>
        <v>0</v>
      </c>
    </row>
    <row r="656" spans="1:2" ht="25.5" customHeight="1">
      <c r="A656" s="4" t="s">
        <v>3388</v>
      </c>
      <c r="B656" s="12"/>
    </row>
    <row r="657" spans="1:2" ht="25.5" customHeight="1">
      <c r="A657" s="3" t="s">
        <v>3389</v>
      </c>
      <c r="B657" s="11"/>
    </row>
    <row r="658" spans="1:2" ht="25.5" customHeight="1">
      <c r="A658" s="4" t="s">
        <v>3390</v>
      </c>
      <c r="B658" s="12"/>
    </row>
    <row r="659" spans="1:2" ht="25.5" customHeight="1">
      <c r="A659" s="3" t="s">
        <v>3391</v>
      </c>
      <c r="B659" s="11"/>
    </row>
    <row r="660" spans="1:2" ht="25.5" customHeight="1">
      <c r="A660" s="4" t="s">
        <v>3392</v>
      </c>
      <c r="B660" s="12"/>
    </row>
    <row r="661" spans="1:2" ht="12.75" customHeight="1">
      <c r="A661" s="3" t="s">
        <v>3393</v>
      </c>
      <c r="B661" s="11">
        <f>+'DCA-Anexo I-HI'!B664+'DCA-Anexo I-HI'!B666+'DCA-Anexo I-HI'!B663+'DCA-Anexo I-HI'!B662+'DCA-Anexo I-HI'!B665</f>
        <v>0</v>
      </c>
    </row>
    <row r="662" spans="1:2" ht="12.75" customHeight="1">
      <c r="A662" s="4" t="s">
        <v>3394</v>
      </c>
      <c r="B662" s="12"/>
    </row>
    <row r="663" spans="1:2" ht="12.75" customHeight="1">
      <c r="A663" s="3" t="s">
        <v>3395</v>
      </c>
      <c r="B663" s="11"/>
    </row>
    <row r="664" spans="1:2" ht="25.5" customHeight="1">
      <c r="A664" s="4" t="s">
        <v>3396</v>
      </c>
      <c r="B664" s="12"/>
    </row>
    <row r="665" spans="1:2" ht="25.5" customHeight="1">
      <c r="A665" s="3" t="s">
        <v>3397</v>
      </c>
      <c r="B665" s="11"/>
    </row>
    <row r="666" spans="1:2" ht="25.5" customHeight="1">
      <c r="A666" s="4" t="s">
        <v>3398</v>
      </c>
      <c r="B666" s="12"/>
    </row>
    <row r="667" spans="1:2" ht="12.75" customHeight="1">
      <c r="A667" s="3" t="s">
        <v>3399</v>
      </c>
      <c r="B667" s="11">
        <f>+'DCA-Anexo I-HI'!B668+'DCA-Anexo I-HI'!B669+'DCA-Anexo I-HI'!B670+'DCA-Anexo I-HI'!B671+'DCA-Anexo I-HI'!B672</f>
        <v>0</v>
      </c>
    </row>
    <row r="668" spans="1:2" ht="12.75" customHeight="1">
      <c r="A668" s="4" t="s">
        <v>3400</v>
      </c>
      <c r="B668" s="12"/>
    </row>
    <row r="669" spans="1:2" ht="12.75" customHeight="1">
      <c r="A669" s="3" t="s">
        <v>3401</v>
      </c>
      <c r="B669" s="11"/>
    </row>
    <row r="670" spans="1:2" ht="12.75" customHeight="1">
      <c r="A670" s="4" t="s">
        <v>3402</v>
      </c>
      <c r="B670" s="12"/>
    </row>
    <row r="671" spans="1:2" ht="12.75" customHeight="1">
      <c r="A671" s="3" t="s">
        <v>3403</v>
      </c>
      <c r="B671" s="11"/>
    </row>
    <row r="672" spans="1:2" ht="12.75" customHeight="1">
      <c r="A672" s="4" t="s">
        <v>3404</v>
      </c>
      <c r="B672" s="12"/>
    </row>
    <row r="673" spans="1:2" ht="12.75" customHeight="1">
      <c r="A673" s="3" t="s">
        <v>3405</v>
      </c>
      <c r="B673" s="11">
        <f>+'DCA-Anexo I-HI'!B674+'DCA-Anexo I-HI'!B675+'DCA-Anexo I-HI'!B676+'DCA-Anexo I-HI'!B677+'DCA-Anexo I-HI'!B678</f>
        <v>0</v>
      </c>
    </row>
    <row r="674" spans="1:2" ht="25.5" customHeight="1">
      <c r="A674" s="4" t="s">
        <v>3406</v>
      </c>
      <c r="B674" s="12"/>
    </row>
    <row r="675" spans="1:2" ht="25.5" customHeight="1">
      <c r="A675" s="3" t="s">
        <v>3407</v>
      </c>
      <c r="B675" s="11"/>
    </row>
    <row r="676" spans="1:2" ht="25.5" customHeight="1">
      <c r="A676" s="4" t="s">
        <v>3408</v>
      </c>
      <c r="B676" s="12"/>
    </row>
    <row r="677" spans="1:2" ht="25.5" customHeight="1">
      <c r="A677" s="3" t="s">
        <v>3409</v>
      </c>
      <c r="B677" s="11"/>
    </row>
    <row r="678" spans="1:2" ht="25.5" customHeight="1">
      <c r="A678" s="4" t="s">
        <v>3410</v>
      </c>
      <c r="B678" s="12"/>
    </row>
    <row r="679" spans="1:2" ht="12.75" customHeight="1">
      <c r="A679" s="3" t="s">
        <v>3411</v>
      </c>
      <c r="B679" s="11">
        <f>+'DCA-Anexo I-HI'!B680+'DCA-Anexo I-HI'!B682+'DCA-Anexo I-HI'!B681</f>
        <v>0</v>
      </c>
    </row>
    <row r="680" spans="1:2" ht="12.75" customHeight="1">
      <c r="A680" s="4" t="s">
        <v>3412</v>
      </c>
      <c r="B680" s="12"/>
    </row>
    <row r="681" spans="1:2" ht="12.75" customHeight="1">
      <c r="A681" s="3" t="s">
        <v>3413</v>
      </c>
      <c r="B681" s="11"/>
    </row>
    <row r="682" spans="1:2" ht="12.75" customHeight="1">
      <c r="A682" s="4" t="s">
        <v>3414</v>
      </c>
      <c r="B682" s="12"/>
    </row>
    <row r="683" spans="1:2" ht="25.5" customHeight="1">
      <c r="A683" s="3" t="s">
        <v>3415</v>
      </c>
      <c r="B683" s="11">
        <f>+'DCA-Anexo I-HI'!B684+'DCA-Anexo I-HI'!B685+'DCA-Anexo I-HI'!B686+'DCA-Anexo I-HI'!B687+'DCA-Anexo I-HI'!B688</f>
        <v>0</v>
      </c>
    </row>
    <row r="684" spans="1:2" ht="25.5" customHeight="1">
      <c r="A684" s="4" t="s">
        <v>3416</v>
      </c>
      <c r="B684" s="12"/>
    </row>
    <row r="685" spans="1:2" ht="25.5" customHeight="1">
      <c r="A685" s="3" t="s">
        <v>3417</v>
      </c>
      <c r="B685" s="11"/>
    </row>
    <row r="686" spans="1:2" ht="25.5" customHeight="1">
      <c r="A686" s="4" t="s">
        <v>3418</v>
      </c>
      <c r="B686" s="12"/>
    </row>
    <row r="687" spans="1:2" ht="25.5" customHeight="1">
      <c r="A687" s="3" t="s">
        <v>3419</v>
      </c>
      <c r="B687" s="11"/>
    </row>
    <row r="688" spans="1:2" ht="25.5" customHeight="1">
      <c r="A688" s="4" t="s">
        <v>3420</v>
      </c>
      <c r="B688" s="12"/>
    </row>
    <row r="689" spans="1:2" ht="12.75" customHeight="1">
      <c r="A689" s="3" t="s">
        <v>3421</v>
      </c>
      <c r="B689" s="5"/>
    </row>
    <row r="690" spans="1:2" ht="12.75" customHeight="1">
      <c r="A690" s="4" t="s">
        <v>3422</v>
      </c>
      <c r="B690" s="6"/>
    </row>
    <row r="691" spans="1:2" ht="12.75" customHeight="1">
      <c r="A691" s="3" t="s">
        <v>3423</v>
      </c>
      <c r="B691" s="11">
        <f>+'DCA-Anexo I-HI'!B768+'DCA-Anexo I-HI'!B692+'DCA-Anexo I-HI'!B1071+'DCA-Anexo I-HI'!B834+'DCA-Anexo I-HI'!B1010+'DCA-Anexo I-HI'!B874+'DCA-Anexo I-HI'!B1127</f>
        <v>188999149.66</v>
      </c>
    </row>
    <row r="692" spans="1:2" ht="12.75" customHeight="1">
      <c r="A692" s="4" t="s">
        <v>3424</v>
      </c>
      <c r="B692" s="12">
        <f>+'DCA-Anexo I-HI'!B724+'DCA-Anexo I-HI'!B693+'DCA-Anexo I-HI'!B737</f>
        <v>11063116.92</v>
      </c>
    </row>
    <row r="693" spans="1:2" ht="12.75" customHeight="1">
      <c r="A693" s="3" t="s">
        <v>3425</v>
      </c>
      <c r="B693" s="11">
        <f>+'DCA-Anexo I-HI'!B712+'DCA-Anexo I-HI'!B700+'DCA-Anexo I-HI'!B706+'DCA-Anexo I-HI'!B718+'DCA-Anexo I-HI'!B694</f>
        <v>10822936.859999999</v>
      </c>
    </row>
    <row r="694" spans="1:2" ht="12.75" customHeight="1">
      <c r="A694" s="4" t="s">
        <v>3426</v>
      </c>
      <c r="B694" s="12">
        <f>+'DCA-Anexo I-HI'!B695+'DCA-Anexo I-HI'!B696+'DCA-Anexo I-HI'!B697+'DCA-Anexo I-HI'!B698+'DCA-Anexo I-HI'!B699</f>
        <v>0</v>
      </c>
    </row>
    <row r="695" spans="1:2" ht="12.75" customHeight="1">
      <c r="A695" s="3" t="s">
        <v>3427</v>
      </c>
      <c r="B695" s="11"/>
    </row>
    <row r="696" spans="1:2" ht="12.75" customHeight="1">
      <c r="A696" s="4" t="s">
        <v>3428</v>
      </c>
      <c r="B696" s="12"/>
    </row>
    <row r="697" spans="1:2" ht="25.5" customHeight="1">
      <c r="A697" s="3" t="s">
        <v>3429</v>
      </c>
      <c r="B697" s="11"/>
    </row>
    <row r="698" spans="1:2" ht="25.5" customHeight="1">
      <c r="A698" s="4" t="s">
        <v>3430</v>
      </c>
      <c r="B698" s="12"/>
    </row>
    <row r="699" spans="1:2" ht="25.5" customHeight="1">
      <c r="A699" s="3" t="s">
        <v>3431</v>
      </c>
      <c r="B699" s="11"/>
    </row>
    <row r="700" spans="1:2" ht="12.75" customHeight="1">
      <c r="A700" s="4" t="s">
        <v>3432</v>
      </c>
      <c r="B700" s="12">
        <f>+'DCA-Anexo I-HI'!B701+'DCA-Anexo I-HI'!B702+'DCA-Anexo I-HI'!B703+'DCA-Anexo I-HI'!B704+'DCA-Anexo I-HI'!B705</f>
        <v>4275844.5599999996</v>
      </c>
    </row>
    <row r="701" spans="1:2" ht="12.75" customHeight="1">
      <c r="A701" s="3" t="s">
        <v>3433</v>
      </c>
      <c r="B701" s="11">
        <v>4275844.5599999996</v>
      </c>
    </row>
    <row r="702" spans="1:2" ht="12.75" customHeight="1">
      <c r="A702" s="4" t="s">
        <v>3434</v>
      </c>
      <c r="B702" s="12"/>
    </row>
    <row r="703" spans="1:2" ht="25.5" customHeight="1">
      <c r="A703" s="3" t="s">
        <v>3435</v>
      </c>
      <c r="B703" s="11"/>
    </row>
    <row r="704" spans="1:2" ht="25.5" customHeight="1">
      <c r="A704" s="4" t="s">
        <v>3436</v>
      </c>
      <c r="B704" s="12"/>
    </row>
    <row r="705" spans="1:2" ht="25.5" customHeight="1">
      <c r="A705" s="3" t="s">
        <v>3437</v>
      </c>
      <c r="B705" s="11"/>
    </row>
    <row r="706" spans="1:2" ht="12.75" customHeight="1">
      <c r="A706" s="4" t="s">
        <v>3438</v>
      </c>
      <c r="B706" s="12">
        <f>+'DCA-Anexo I-HI'!B707+'DCA-Anexo I-HI'!B708+'DCA-Anexo I-HI'!B709+'DCA-Anexo I-HI'!B710+'DCA-Anexo I-HI'!B711</f>
        <v>6547092.2999999998</v>
      </c>
    </row>
    <row r="707" spans="1:2" ht="25.5" customHeight="1">
      <c r="A707" s="3" t="s">
        <v>3439</v>
      </c>
      <c r="B707" s="11">
        <v>6547092.2999999998</v>
      </c>
    </row>
    <row r="708" spans="1:2" ht="25.5" customHeight="1">
      <c r="A708" s="4" t="s">
        <v>3440</v>
      </c>
      <c r="B708" s="12"/>
    </row>
    <row r="709" spans="1:2" ht="25.5" customHeight="1">
      <c r="A709" s="3" t="s">
        <v>3441</v>
      </c>
      <c r="B709" s="11"/>
    </row>
    <row r="710" spans="1:2" ht="25.5" customHeight="1">
      <c r="A710" s="4" t="s">
        <v>3442</v>
      </c>
      <c r="B710" s="12"/>
    </row>
    <row r="711" spans="1:2" ht="25.5" customHeight="1">
      <c r="A711" s="3" t="s">
        <v>3443</v>
      </c>
      <c r="B711" s="11"/>
    </row>
    <row r="712" spans="1:2" ht="12.75" customHeight="1">
      <c r="A712" s="4" t="s">
        <v>3444</v>
      </c>
      <c r="B712" s="12">
        <f>+'DCA-Anexo I-HI'!B713+'DCA-Anexo I-HI'!B714+'DCA-Anexo I-HI'!B715+'DCA-Anexo I-HI'!B716+'DCA-Anexo I-HI'!B717</f>
        <v>0</v>
      </c>
    </row>
    <row r="713" spans="1:2" ht="12.75" customHeight="1">
      <c r="A713" s="3" t="s">
        <v>3445</v>
      </c>
      <c r="B713" s="11"/>
    </row>
    <row r="714" spans="1:2" ht="12.75" customHeight="1">
      <c r="A714" s="4" t="s">
        <v>3446</v>
      </c>
      <c r="B714" s="12"/>
    </row>
    <row r="715" spans="1:2" ht="12.75" customHeight="1">
      <c r="A715" s="3" t="s">
        <v>3447</v>
      </c>
      <c r="B715" s="11"/>
    </row>
    <row r="716" spans="1:2" ht="12.75" customHeight="1">
      <c r="A716" s="4" t="s">
        <v>3448</v>
      </c>
      <c r="B716" s="12"/>
    </row>
    <row r="717" spans="1:2" ht="12.75" customHeight="1">
      <c r="A717" s="3" t="s">
        <v>3449</v>
      </c>
      <c r="B717" s="11"/>
    </row>
    <row r="718" spans="1:2" ht="12.75" customHeight="1">
      <c r="A718" s="4" t="s">
        <v>3450</v>
      </c>
      <c r="B718" s="12">
        <f>+'DCA-Anexo I-HI'!B719+'DCA-Anexo I-HI'!B720+'DCA-Anexo I-HI'!B721+'DCA-Anexo I-HI'!B722+'DCA-Anexo I-HI'!B723</f>
        <v>0</v>
      </c>
    </row>
    <row r="719" spans="1:2" ht="12.75" customHeight="1">
      <c r="A719" s="3" t="s">
        <v>3451</v>
      </c>
      <c r="B719" s="11"/>
    </row>
    <row r="720" spans="1:2" ht="12.75" customHeight="1">
      <c r="A720" s="4" t="s">
        <v>3452</v>
      </c>
      <c r="B720" s="12"/>
    </row>
    <row r="721" spans="1:2" ht="12.75" customHeight="1">
      <c r="A721" s="3" t="s">
        <v>3453</v>
      </c>
      <c r="B721" s="11"/>
    </row>
    <row r="722" spans="1:2" ht="12.75" customHeight="1">
      <c r="A722" s="4" t="s">
        <v>3454</v>
      </c>
      <c r="B722" s="12"/>
    </row>
    <row r="723" spans="1:2" ht="12.75" customHeight="1">
      <c r="A723" s="3" t="s">
        <v>3455</v>
      </c>
      <c r="B723" s="11"/>
    </row>
    <row r="724" spans="1:2" ht="12.75" customHeight="1">
      <c r="A724" s="4" t="s">
        <v>3456</v>
      </c>
      <c r="B724" s="12">
        <f>+'DCA-Anexo I-HI'!B731+'DCA-Anexo I-HI'!B725</f>
        <v>240180.06</v>
      </c>
    </row>
    <row r="725" spans="1:2" ht="12.75" customHeight="1">
      <c r="A725" s="3" t="s">
        <v>3457</v>
      </c>
      <c r="B725" s="11">
        <f>+'DCA-Anexo I-HI'!B726+'DCA-Anexo I-HI'!B727+'DCA-Anexo I-HI'!B728+'DCA-Anexo I-HI'!B729+'DCA-Anexo I-HI'!B730</f>
        <v>238779.76</v>
      </c>
    </row>
    <row r="726" spans="1:2" ht="25.5" customHeight="1">
      <c r="A726" s="4" t="s">
        <v>3458</v>
      </c>
      <c r="B726" s="12">
        <v>238779.76</v>
      </c>
    </row>
    <row r="727" spans="1:2" ht="25.5" customHeight="1">
      <c r="A727" s="3" t="s">
        <v>3459</v>
      </c>
      <c r="B727" s="11"/>
    </row>
    <row r="728" spans="1:2" ht="25.5" customHeight="1">
      <c r="A728" s="4" t="s">
        <v>3460</v>
      </c>
      <c r="B728" s="12"/>
    </row>
    <row r="729" spans="1:2" ht="25.5" customHeight="1">
      <c r="A729" s="3" t="s">
        <v>3461</v>
      </c>
      <c r="B729" s="11"/>
    </row>
    <row r="730" spans="1:2" ht="25.5" customHeight="1">
      <c r="A730" s="4" t="s">
        <v>3462</v>
      </c>
      <c r="B730" s="12"/>
    </row>
    <row r="731" spans="1:2" ht="12.75" customHeight="1">
      <c r="A731" s="3" t="s">
        <v>3463</v>
      </c>
      <c r="B731" s="11">
        <f>+'DCA-Anexo I-HI'!B732+'DCA-Anexo I-HI'!B733+'DCA-Anexo I-HI'!B734+'DCA-Anexo I-HI'!B735+'DCA-Anexo I-HI'!B736</f>
        <v>1400.3</v>
      </c>
    </row>
    <row r="732" spans="1:2" ht="12.75" customHeight="1">
      <c r="A732" s="4" t="s">
        <v>3464</v>
      </c>
      <c r="B732" s="12">
        <v>1400.3</v>
      </c>
    </row>
    <row r="733" spans="1:2" ht="12.75" customHeight="1">
      <c r="A733" s="3" t="s">
        <v>3465</v>
      </c>
      <c r="B733" s="11"/>
    </row>
    <row r="734" spans="1:2" ht="25.5" customHeight="1">
      <c r="A734" s="4" t="s">
        <v>3466</v>
      </c>
      <c r="B734" s="12"/>
    </row>
    <row r="735" spans="1:2" ht="25.5" customHeight="1">
      <c r="A735" s="3" t="s">
        <v>3467</v>
      </c>
      <c r="B735" s="11"/>
    </row>
    <row r="736" spans="1:2" ht="25.5" customHeight="1">
      <c r="A736" s="4" t="s">
        <v>3468</v>
      </c>
      <c r="B736" s="12"/>
    </row>
    <row r="737" spans="1:2" ht="12.75" customHeight="1">
      <c r="A737" s="3" t="s">
        <v>3469</v>
      </c>
      <c r="B737" s="11">
        <f>+'DCA-Anexo I-HI'!B750+'DCA-Anexo I-HI'!B744+'DCA-Anexo I-HI'!B756+'DCA-Anexo I-HI'!B762+'DCA-Anexo I-HI'!B738</f>
        <v>0</v>
      </c>
    </row>
    <row r="738" spans="1:2" ht="25.5" customHeight="1">
      <c r="A738" s="4" t="s">
        <v>3470</v>
      </c>
      <c r="B738" s="12">
        <f>+'DCA-Anexo I-HI'!B739+'DCA-Anexo I-HI'!B740+'DCA-Anexo I-HI'!B741+'DCA-Anexo I-HI'!B742+'DCA-Anexo I-HI'!B743</f>
        <v>0</v>
      </c>
    </row>
    <row r="739" spans="1:2" ht="25.5" customHeight="1">
      <c r="A739" s="3" t="s">
        <v>3471</v>
      </c>
      <c r="B739" s="11"/>
    </row>
    <row r="740" spans="1:2" ht="25.5" customHeight="1">
      <c r="A740" s="4" t="s">
        <v>3472</v>
      </c>
      <c r="B740" s="12"/>
    </row>
    <row r="741" spans="1:2" ht="25.5" customHeight="1">
      <c r="A741" s="3" t="s">
        <v>3473</v>
      </c>
      <c r="B741" s="11"/>
    </row>
    <row r="742" spans="1:2" ht="25.5" customHeight="1">
      <c r="A742" s="4" t="s">
        <v>3474</v>
      </c>
      <c r="B742" s="12"/>
    </row>
    <row r="743" spans="1:2" ht="25.5" customHeight="1">
      <c r="A743" s="3" t="s">
        <v>3475</v>
      </c>
      <c r="B743" s="11"/>
    </row>
    <row r="744" spans="1:2" ht="25.5" customHeight="1">
      <c r="A744" s="4" t="s">
        <v>3476</v>
      </c>
      <c r="B744" s="12">
        <f>+'DCA-Anexo I-HI'!B745+'DCA-Anexo I-HI'!B746+'DCA-Anexo I-HI'!B747+'DCA-Anexo I-HI'!B748+'DCA-Anexo I-HI'!B749</f>
        <v>0</v>
      </c>
    </row>
    <row r="745" spans="1:2" ht="25.5" customHeight="1">
      <c r="A745" s="3" t="s">
        <v>3477</v>
      </c>
      <c r="B745" s="11"/>
    </row>
    <row r="746" spans="1:2" ht="25.5" customHeight="1">
      <c r="A746" s="4" t="s">
        <v>3478</v>
      </c>
      <c r="B746" s="12"/>
    </row>
    <row r="747" spans="1:2" ht="25.5" customHeight="1">
      <c r="A747" s="3" t="s">
        <v>3479</v>
      </c>
      <c r="B747" s="11"/>
    </row>
    <row r="748" spans="1:2" ht="25.5" customHeight="1">
      <c r="A748" s="4" t="s">
        <v>3480</v>
      </c>
      <c r="B748" s="12"/>
    </row>
    <row r="749" spans="1:2" ht="25.5" customHeight="1">
      <c r="A749" s="3" t="s">
        <v>3481</v>
      </c>
      <c r="B749" s="11"/>
    </row>
    <row r="750" spans="1:2" ht="25.5" customHeight="1">
      <c r="A750" s="4" t="s">
        <v>3482</v>
      </c>
      <c r="B750" s="12">
        <f>+'DCA-Anexo I-HI'!B751+'DCA-Anexo I-HI'!B752+'DCA-Anexo I-HI'!B753+'DCA-Anexo I-HI'!B754+'DCA-Anexo I-HI'!B755</f>
        <v>0</v>
      </c>
    </row>
    <row r="751" spans="1:2" ht="25.5" customHeight="1">
      <c r="A751" s="3" t="s">
        <v>3483</v>
      </c>
      <c r="B751" s="11"/>
    </row>
    <row r="752" spans="1:2" ht="25.5" customHeight="1">
      <c r="A752" s="4" t="s">
        <v>3484</v>
      </c>
      <c r="B752" s="12"/>
    </row>
    <row r="753" spans="1:2" ht="25.5" customHeight="1">
      <c r="A753" s="3" t="s">
        <v>3485</v>
      </c>
      <c r="B753" s="11"/>
    </row>
    <row r="754" spans="1:2" ht="25.5" customHeight="1">
      <c r="A754" s="4" t="s">
        <v>3486</v>
      </c>
      <c r="B754" s="12"/>
    </row>
    <row r="755" spans="1:2" ht="25.5" customHeight="1">
      <c r="A755" s="3" t="s">
        <v>3487</v>
      </c>
      <c r="B755" s="11"/>
    </row>
    <row r="756" spans="1:2" ht="25.5" customHeight="1">
      <c r="A756" s="4" t="s">
        <v>3488</v>
      </c>
      <c r="B756" s="12">
        <f>+'DCA-Anexo I-HI'!B757+'DCA-Anexo I-HI'!B758+'DCA-Anexo I-HI'!B759+'DCA-Anexo I-HI'!B760+'DCA-Anexo I-HI'!B761</f>
        <v>0</v>
      </c>
    </row>
    <row r="757" spans="1:2" ht="25.5" customHeight="1">
      <c r="A757" s="3" t="s">
        <v>3489</v>
      </c>
      <c r="B757" s="11"/>
    </row>
    <row r="758" spans="1:2" ht="25.5" customHeight="1">
      <c r="A758" s="4" t="s">
        <v>3490</v>
      </c>
      <c r="B758" s="12"/>
    </row>
    <row r="759" spans="1:2" ht="25.5" customHeight="1">
      <c r="A759" s="3" t="s">
        <v>3491</v>
      </c>
      <c r="B759" s="11"/>
    </row>
    <row r="760" spans="1:2" ht="25.5" customHeight="1">
      <c r="A760" s="4" t="s">
        <v>3492</v>
      </c>
      <c r="B760" s="12"/>
    </row>
    <row r="761" spans="1:2" ht="25.5" customHeight="1">
      <c r="A761" s="3" t="s">
        <v>3493</v>
      </c>
      <c r="B761" s="11"/>
    </row>
    <row r="762" spans="1:2" ht="12.75" customHeight="1">
      <c r="A762" s="4" t="s">
        <v>3494</v>
      </c>
      <c r="B762" s="12">
        <f>+'DCA-Anexo I-HI'!B763+'DCA-Anexo I-HI'!B764+'DCA-Anexo I-HI'!B765+'DCA-Anexo I-HI'!B766+'DCA-Anexo I-HI'!B767</f>
        <v>0</v>
      </c>
    </row>
    <row r="763" spans="1:2" ht="12.75" customHeight="1">
      <c r="A763" s="3" t="s">
        <v>3495</v>
      </c>
      <c r="B763" s="11"/>
    </row>
    <row r="764" spans="1:2" ht="12.75" customHeight="1">
      <c r="A764" s="4" t="s">
        <v>3496</v>
      </c>
      <c r="B764" s="12"/>
    </row>
    <row r="765" spans="1:2" ht="25.5" customHeight="1">
      <c r="A765" s="3" t="s">
        <v>3497</v>
      </c>
      <c r="B765" s="11"/>
    </row>
    <row r="766" spans="1:2" ht="25.5" customHeight="1">
      <c r="A766" s="4" t="s">
        <v>3498</v>
      </c>
      <c r="B766" s="12"/>
    </row>
    <row r="767" spans="1:2" ht="25.5" customHeight="1">
      <c r="A767" s="3" t="s">
        <v>3499</v>
      </c>
      <c r="B767" s="11"/>
    </row>
    <row r="768" spans="1:2" ht="12.75" customHeight="1">
      <c r="A768" s="4" t="s">
        <v>3500</v>
      </c>
      <c r="B768" s="12">
        <f>+'DCA-Anexo I-HI'!B824+'DCA-Anexo I-HI'!B817+'DCA-Anexo I-HI'!B829+'DCA-Anexo I-HI'!B769</f>
        <v>0</v>
      </c>
    </row>
    <row r="769" spans="1:2" ht="12.75" customHeight="1">
      <c r="A769" s="3" t="s">
        <v>3501</v>
      </c>
      <c r="B769" s="11">
        <f>+'DCA-Anexo I-HI'!B793+'DCA-Anexo I-HI'!B787+'DCA-Anexo I-HI'!B811+'DCA-Anexo I-HI'!B781+'DCA-Anexo I-HI'!B805+'DCA-Anexo I-HI'!B799+'DCA-Anexo I-HI'!B770</f>
        <v>0</v>
      </c>
    </row>
    <row r="770" spans="1:2" ht="12.75" customHeight="1">
      <c r="A770" s="4" t="s">
        <v>3502</v>
      </c>
      <c r="B770" s="12">
        <f>+'DCA-Anexo I-HI'!B779+'DCA-Anexo I-HI'!B780+'DCA-Anexo I-HI'!B778+'DCA-Anexo I-HI'!B771+'DCA-Anexo I-HI'!B777</f>
        <v>0</v>
      </c>
    </row>
    <row r="771" spans="1:2" ht="25.5" customHeight="1">
      <c r="A771" s="3" t="s">
        <v>3503</v>
      </c>
      <c r="B771" s="11">
        <f>-'DCA-Anexo I-HI'!B775+'DCA-Anexo I-HI'!B773+'DCA-Anexo I-HI'!B772+'DCA-Anexo I-HI'!B774+'DCA-Anexo I-HI'!B776</f>
        <v>0</v>
      </c>
    </row>
    <row r="772" spans="1:2" ht="12.75" customHeight="1">
      <c r="A772" s="4" t="s">
        <v>3504</v>
      </c>
      <c r="B772" s="12"/>
    </row>
    <row r="773" spans="1:2" ht="25.5" customHeight="1">
      <c r="A773" s="3" t="s">
        <v>3505</v>
      </c>
      <c r="B773" s="11"/>
    </row>
    <row r="774" spans="1:2" ht="25.5" customHeight="1">
      <c r="A774" s="4" t="s">
        <v>3506</v>
      </c>
      <c r="B774" s="12"/>
    </row>
    <row r="775" spans="1:2" ht="12.75" customHeight="1">
      <c r="A775" s="3" t="s">
        <v>3507</v>
      </c>
      <c r="B775" s="11"/>
    </row>
    <row r="776" spans="1:2" ht="12.75" customHeight="1">
      <c r="A776" s="4" t="s">
        <v>3508</v>
      </c>
      <c r="B776" s="12"/>
    </row>
    <row r="777" spans="1:2" ht="25.5" customHeight="1">
      <c r="A777" s="3" t="s">
        <v>3509</v>
      </c>
      <c r="B777" s="11"/>
    </row>
    <row r="778" spans="1:2" ht="12.75" customHeight="1">
      <c r="A778" s="4" t="s">
        <v>3510</v>
      </c>
      <c r="B778" s="12"/>
    </row>
    <row r="779" spans="1:2" ht="12.75" customHeight="1">
      <c r="A779" s="3" t="s">
        <v>3511</v>
      </c>
      <c r="B779" s="11"/>
    </row>
    <row r="780" spans="1:2" ht="25.5" customHeight="1">
      <c r="A780" s="4" t="s">
        <v>3512</v>
      </c>
      <c r="B780" s="12"/>
    </row>
    <row r="781" spans="1:2" ht="12.75" customHeight="1">
      <c r="A781" s="3" t="s">
        <v>3513</v>
      </c>
      <c r="B781" s="11">
        <f>+'DCA-Anexo I-HI'!B784+'DCA-Anexo I-HI'!B785+'DCA-Anexo I-HI'!B782+'DCA-Anexo I-HI'!B783+'DCA-Anexo I-HI'!B786</f>
        <v>0</v>
      </c>
    </row>
    <row r="782" spans="1:2" ht="12.75" customHeight="1">
      <c r="A782" s="4" t="s">
        <v>3514</v>
      </c>
      <c r="B782" s="12"/>
    </row>
    <row r="783" spans="1:2" ht="12.75" customHeight="1">
      <c r="A783" s="3" t="s">
        <v>3515</v>
      </c>
      <c r="B783" s="11"/>
    </row>
    <row r="784" spans="1:2" ht="12.75" customHeight="1">
      <c r="A784" s="4" t="s">
        <v>3516</v>
      </c>
      <c r="B784" s="12"/>
    </row>
    <row r="785" spans="1:2" ht="12.75" customHeight="1">
      <c r="A785" s="3" t="s">
        <v>3517</v>
      </c>
      <c r="B785" s="11"/>
    </row>
    <row r="786" spans="1:2" ht="25.5" customHeight="1">
      <c r="A786" s="4" t="s">
        <v>3518</v>
      </c>
      <c r="B786" s="12"/>
    </row>
    <row r="787" spans="1:2" ht="12.75" customHeight="1">
      <c r="A787" s="3" t="s">
        <v>3519</v>
      </c>
      <c r="B787" s="11">
        <f>+'DCA-Anexo I-HI'!B788+'DCA-Anexo I-HI'!B789+'DCA-Anexo I-HI'!B790+'DCA-Anexo I-HI'!B791+'DCA-Anexo I-HI'!B792</f>
        <v>0</v>
      </c>
    </row>
    <row r="788" spans="1:2" ht="25.5" customHeight="1">
      <c r="A788" s="4" t="s">
        <v>3520</v>
      </c>
      <c r="B788" s="12"/>
    </row>
    <row r="789" spans="1:2" ht="25.5" customHeight="1">
      <c r="A789" s="3" t="s">
        <v>3521</v>
      </c>
      <c r="B789" s="11"/>
    </row>
    <row r="790" spans="1:2" ht="25.5" customHeight="1">
      <c r="A790" s="4" t="s">
        <v>3522</v>
      </c>
      <c r="B790" s="12"/>
    </row>
    <row r="791" spans="1:2" ht="25.5" customHeight="1">
      <c r="A791" s="3" t="s">
        <v>3523</v>
      </c>
      <c r="B791" s="11"/>
    </row>
    <row r="792" spans="1:2" ht="25.5" customHeight="1">
      <c r="A792" s="4" t="s">
        <v>3524</v>
      </c>
      <c r="B792" s="12"/>
    </row>
    <row r="793" spans="1:2" ht="12.75" customHeight="1">
      <c r="A793" s="3" t="s">
        <v>3525</v>
      </c>
      <c r="B793" s="11">
        <f>+'DCA-Anexo I-HI'!B794+'DCA-Anexo I-HI'!B795+'DCA-Anexo I-HI'!B796+'DCA-Anexo I-HI'!B797+'DCA-Anexo I-HI'!B798</f>
        <v>0</v>
      </c>
    </row>
    <row r="794" spans="1:2" ht="12.75" customHeight="1">
      <c r="A794" s="4" t="s">
        <v>3526</v>
      </c>
      <c r="B794" s="12"/>
    </row>
    <row r="795" spans="1:2" ht="12.75" customHeight="1">
      <c r="A795" s="3" t="s">
        <v>3527</v>
      </c>
      <c r="B795" s="11"/>
    </row>
    <row r="796" spans="1:2" ht="12.75" customHeight="1">
      <c r="A796" s="4" t="s">
        <v>3528</v>
      </c>
      <c r="B796" s="12"/>
    </row>
    <row r="797" spans="1:2" ht="12.75" customHeight="1">
      <c r="A797" s="3" t="s">
        <v>3529</v>
      </c>
      <c r="B797" s="11"/>
    </row>
    <row r="798" spans="1:2" ht="12.75" customHeight="1">
      <c r="A798" s="4" t="s">
        <v>3530</v>
      </c>
      <c r="B798" s="12"/>
    </row>
    <row r="799" spans="1:2" ht="12.75" customHeight="1">
      <c r="A799" s="3" t="s">
        <v>3531</v>
      </c>
      <c r="B799" s="11">
        <f>+'DCA-Anexo I-HI'!B800+'DCA-Anexo I-HI'!B801+'DCA-Anexo I-HI'!B802+'DCA-Anexo I-HI'!B803+'DCA-Anexo I-HI'!B804</f>
        <v>0</v>
      </c>
    </row>
    <row r="800" spans="1:2" ht="25.5" customHeight="1">
      <c r="A800" s="4" t="s">
        <v>3532</v>
      </c>
      <c r="B800" s="12"/>
    </row>
    <row r="801" spans="1:2" ht="25.5" customHeight="1">
      <c r="A801" s="3" t="s">
        <v>3533</v>
      </c>
      <c r="B801" s="11"/>
    </row>
    <row r="802" spans="1:2" ht="25.5" customHeight="1">
      <c r="A802" s="4" t="s">
        <v>3534</v>
      </c>
      <c r="B802" s="12"/>
    </row>
    <row r="803" spans="1:2" ht="25.5" customHeight="1">
      <c r="A803" s="3" t="s">
        <v>3535</v>
      </c>
      <c r="B803" s="11"/>
    </row>
    <row r="804" spans="1:2" ht="25.5" customHeight="1">
      <c r="A804" s="4" t="s">
        <v>3536</v>
      </c>
      <c r="B804" s="12"/>
    </row>
    <row r="805" spans="1:2" ht="25.5" customHeight="1">
      <c r="A805" s="3" t="s">
        <v>3537</v>
      </c>
      <c r="B805" s="11">
        <f>+'DCA-Anexo I-HI'!B806+'DCA-Anexo I-HI'!B807+'DCA-Anexo I-HI'!B808+'DCA-Anexo I-HI'!B809+'DCA-Anexo I-HI'!B810</f>
        <v>0</v>
      </c>
    </row>
    <row r="806" spans="1:2" ht="25.5" customHeight="1">
      <c r="A806" s="4" t="s">
        <v>3538</v>
      </c>
      <c r="B806" s="12"/>
    </row>
    <row r="807" spans="1:2" ht="25.5" customHeight="1">
      <c r="A807" s="3" t="s">
        <v>3539</v>
      </c>
      <c r="B807" s="11"/>
    </row>
    <row r="808" spans="1:2" ht="25.5" customHeight="1">
      <c r="A808" s="4" t="s">
        <v>3540</v>
      </c>
      <c r="B808" s="12"/>
    </row>
    <row r="809" spans="1:2" ht="25.5" customHeight="1">
      <c r="A809" s="3" t="s">
        <v>3541</v>
      </c>
      <c r="B809" s="11"/>
    </row>
    <row r="810" spans="1:2" ht="25.5" customHeight="1">
      <c r="A810" s="4" t="s">
        <v>3542</v>
      </c>
      <c r="B810" s="12"/>
    </row>
    <row r="811" spans="1:2" ht="12.75" customHeight="1">
      <c r="A811" s="3" t="s">
        <v>3543</v>
      </c>
      <c r="B811" s="11">
        <f>+'DCA-Anexo I-HI'!B812+'DCA-Anexo I-HI'!B813+'DCA-Anexo I-HI'!B814+'DCA-Anexo I-HI'!B815+'DCA-Anexo I-HI'!B816</f>
        <v>0</v>
      </c>
    </row>
    <row r="812" spans="1:2" ht="12.75" customHeight="1">
      <c r="A812" s="4" t="s">
        <v>3544</v>
      </c>
      <c r="B812" s="12"/>
    </row>
    <row r="813" spans="1:2" ht="12.75" customHeight="1">
      <c r="A813" s="3" t="s">
        <v>3545</v>
      </c>
      <c r="B813" s="11"/>
    </row>
    <row r="814" spans="1:2" ht="12.75" customHeight="1">
      <c r="A814" s="4" t="s">
        <v>3546</v>
      </c>
      <c r="B814" s="12"/>
    </row>
    <row r="815" spans="1:2" ht="12.75" customHeight="1">
      <c r="A815" s="3" t="s">
        <v>3547</v>
      </c>
      <c r="B815" s="11"/>
    </row>
    <row r="816" spans="1:2" ht="25.5" customHeight="1">
      <c r="A816" s="4" t="s">
        <v>3548</v>
      </c>
      <c r="B816" s="12"/>
    </row>
    <row r="817" spans="1:2" ht="12.75" customHeight="1">
      <c r="A817" s="3" t="s">
        <v>3549</v>
      </c>
      <c r="B817" s="11">
        <f>+'DCA-Anexo I-HI'!B818</f>
        <v>0</v>
      </c>
    </row>
    <row r="818" spans="1:2" ht="12.75" customHeight="1">
      <c r="A818" s="4" t="s">
        <v>3550</v>
      </c>
      <c r="B818" s="12">
        <f>+'DCA-Anexo I-HI'!B819+'DCA-Anexo I-HI'!B820+'DCA-Anexo I-HI'!B821+'DCA-Anexo I-HI'!B822+'DCA-Anexo I-HI'!B823</f>
        <v>0</v>
      </c>
    </row>
    <row r="819" spans="1:2" ht="25.5" customHeight="1">
      <c r="A819" s="3" t="s">
        <v>3551</v>
      </c>
      <c r="B819" s="11"/>
    </row>
    <row r="820" spans="1:2" ht="25.5" customHeight="1">
      <c r="A820" s="4" t="s">
        <v>3552</v>
      </c>
      <c r="B820" s="12"/>
    </row>
    <row r="821" spans="1:2" ht="25.5" customHeight="1">
      <c r="A821" s="3" t="s">
        <v>3553</v>
      </c>
      <c r="B821" s="11"/>
    </row>
    <row r="822" spans="1:2" ht="25.5" customHeight="1">
      <c r="A822" s="4" t="s">
        <v>3554</v>
      </c>
      <c r="B822" s="12"/>
    </row>
    <row r="823" spans="1:2" ht="25.5" customHeight="1">
      <c r="A823" s="3" t="s">
        <v>3555</v>
      </c>
      <c r="B823" s="11"/>
    </row>
    <row r="824" spans="1:2" ht="12.75" customHeight="1">
      <c r="A824" s="4" t="s">
        <v>3556</v>
      </c>
      <c r="B824" s="12">
        <f>+'DCA-Anexo I-HI'!B825</f>
        <v>0</v>
      </c>
    </row>
    <row r="825" spans="1:2" ht="12.75" customHeight="1">
      <c r="A825" s="3" t="s">
        <v>3557</v>
      </c>
      <c r="B825" s="11">
        <f>+'DCA-Anexo I-HI'!B826+'DCA-Anexo I-HI'!B827+'DCA-Anexo I-HI'!B828</f>
        <v>0</v>
      </c>
    </row>
    <row r="826" spans="1:2" ht="12.75" customHeight="1">
      <c r="A826" s="4" t="s">
        <v>3558</v>
      </c>
      <c r="B826" s="12"/>
    </row>
    <row r="827" spans="1:2" ht="12.75" customHeight="1">
      <c r="A827" s="3" t="s">
        <v>3559</v>
      </c>
      <c r="B827" s="11"/>
    </row>
    <row r="828" spans="1:2" ht="25.5" customHeight="1">
      <c r="A828" s="4" t="s">
        <v>3560</v>
      </c>
      <c r="B828" s="12"/>
    </row>
    <row r="829" spans="1:2" ht="25.5" customHeight="1">
      <c r="A829" s="3" t="s">
        <v>3561</v>
      </c>
      <c r="B829" s="11">
        <f>+'DCA-Anexo I-HI'!B830</f>
        <v>0</v>
      </c>
    </row>
    <row r="830" spans="1:2" ht="25.5" customHeight="1">
      <c r="A830" s="4" t="s">
        <v>3562</v>
      </c>
      <c r="B830" s="12">
        <f>+'DCA-Anexo I-HI'!B831+'DCA-Anexo I-HI'!B832+'DCA-Anexo I-HI'!B833</f>
        <v>0</v>
      </c>
    </row>
    <row r="831" spans="1:2" ht="25.5" customHeight="1">
      <c r="A831" s="3" t="s">
        <v>3563</v>
      </c>
      <c r="B831" s="11"/>
    </row>
    <row r="832" spans="1:2" ht="25.5" customHeight="1">
      <c r="A832" s="4" t="s">
        <v>3564</v>
      </c>
      <c r="B832" s="12"/>
    </row>
    <row r="833" spans="1:2" ht="25.5" customHeight="1">
      <c r="A833" s="3" t="s">
        <v>3565</v>
      </c>
      <c r="B833" s="11"/>
    </row>
    <row r="834" spans="1:2" ht="12.75" customHeight="1">
      <c r="A834" s="4" t="s">
        <v>3566</v>
      </c>
      <c r="B834" s="12">
        <f>+'DCA-Anexo I-HI'!B848+'DCA-Anexo I-HI'!B835+'DCA-Anexo I-HI'!B861</f>
        <v>2227052.2599999998</v>
      </c>
    </row>
    <row r="835" spans="1:2" ht="12.75" customHeight="1">
      <c r="A835" s="3" t="s">
        <v>3567</v>
      </c>
      <c r="B835" s="11">
        <f>-'DCA-Anexo I-HI'!B842+'DCA-Anexo I-HI'!B836</f>
        <v>0</v>
      </c>
    </row>
    <row r="836" spans="1:2" ht="12.75" customHeight="1">
      <c r="A836" s="4" t="s">
        <v>3568</v>
      </c>
      <c r="B836" s="12">
        <f>+'DCA-Anexo I-HI'!B837+'DCA-Anexo I-HI'!B838+'DCA-Anexo I-HI'!B839+'DCA-Anexo I-HI'!B840+'DCA-Anexo I-HI'!B841</f>
        <v>0</v>
      </c>
    </row>
    <row r="837" spans="1:2" ht="12.75" customHeight="1">
      <c r="A837" s="3" t="s">
        <v>3569</v>
      </c>
      <c r="B837" s="11"/>
    </row>
    <row r="838" spans="1:2" ht="12.75" customHeight="1">
      <c r="A838" s="4" t="s">
        <v>3570</v>
      </c>
      <c r="B838" s="12"/>
    </row>
    <row r="839" spans="1:2" ht="12.75" customHeight="1">
      <c r="A839" s="3" t="s">
        <v>3571</v>
      </c>
      <c r="B839" s="11"/>
    </row>
    <row r="840" spans="1:2" ht="12.75" customHeight="1">
      <c r="A840" s="4" t="s">
        <v>3572</v>
      </c>
      <c r="B840" s="12"/>
    </row>
    <row r="841" spans="1:2" ht="12.75" customHeight="1">
      <c r="A841" s="3" t="s">
        <v>3573</v>
      </c>
      <c r="B841" s="11"/>
    </row>
    <row r="842" spans="1:2" ht="12.75" customHeight="1">
      <c r="A842" s="4" t="s">
        <v>3574</v>
      </c>
      <c r="B842" s="12">
        <f>+'DCA-Anexo I-HI'!B843+'DCA-Anexo I-HI'!B844+'DCA-Anexo I-HI'!B845+'DCA-Anexo I-HI'!B846+'DCA-Anexo I-HI'!B847</f>
        <v>0</v>
      </c>
    </row>
    <row r="843" spans="1:2" ht="25.5" customHeight="1">
      <c r="A843" s="3" t="s">
        <v>3575</v>
      </c>
      <c r="B843" s="11"/>
    </row>
    <row r="844" spans="1:2" ht="25.5" customHeight="1">
      <c r="A844" s="4" t="s">
        <v>3576</v>
      </c>
      <c r="B844" s="12"/>
    </row>
    <row r="845" spans="1:2" ht="25.5" customHeight="1">
      <c r="A845" s="3" t="s">
        <v>3577</v>
      </c>
      <c r="B845" s="11"/>
    </row>
    <row r="846" spans="1:2" ht="25.5" customHeight="1">
      <c r="A846" s="4" t="s">
        <v>3578</v>
      </c>
      <c r="B846" s="12"/>
    </row>
    <row r="847" spans="1:2" ht="25.5" customHeight="1">
      <c r="A847" s="3" t="s">
        <v>3579</v>
      </c>
      <c r="B847" s="11"/>
    </row>
    <row r="848" spans="1:2" ht="12.75" customHeight="1">
      <c r="A848" s="4" t="s">
        <v>3580</v>
      </c>
      <c r="B848" s="12">
        <f>-'DCA-Anexo I-HI'!B855+'DCA-Anexo I-HI'!B849</f>
        <v>0</v>
      </c>
    </row>
    <row r="849" spans="1:2" ht="12.75" customHeight="1">
      <c r="A849" s="3" t="s">
        <v>3581</v>
      </c>
      <c r="B849" s="11">
        <f>+'DCA-Anexo I-HI'!B850+'DCA-Anexo I-HI'!B851+'DCA-Anexo I-HI'!B852+'DCA-Anexo I-HI'!B853+'DCA-Anexo I-HI'!B854</f>
        <v>0</v>
      </c>
    </row>
    <row r="850" spans="1:2" ht="12.75" customHeight="1">
      <c r="A850" s="4" t="s">
        <v>3582</v>
      </c>
      <c r="B850" s="12"/>
    </row>
    <row r="851" spans="1:2" ht="12.75" customHeight="1">
      <c r="A851" s="3" t="s">
        <v>3583</v>
      </c>
      <c r="B851" s="11"/>
    </row>
    <row r="852" spans="1:2" ht="12.75" customHeight="1">
      <c r="A852" s="4" t="s">
        <v>3584</v>
      </c>
      <c r="B852" s="12"/>
    </row>
    <row r="853" spans="1:2" ht="12.75" customHeight="1">
      <c r="A853" s="3" t="s">
        <v>3585</v>
      </c>
      <c r="B853" s="11"/>
    </row>
    <row r="854" spans="1:2" ht="12.75" customHeight="1">
      <c r="A854" s="4" t="s">
        <v>3586</v>
      </c>
      <c r="B854" s="12"/>
    </row>
    <row r="855" spans="1:2" ht="12.75" customHeight="1">
      <c r="A855" s="3" t="s">
        <v>3587</v>
      </c>
      <c r="B855" s="11">
        <f>+'DCA-Anexo I-HI'!B856+'DCA-Anexo I-HI'!B857+'DCA-Anexo I-HI'!B858+'DCA-Anexo I-HI'!B859+'DCA-Anexo I-HI'!B860</f>
        <v>0</v>
      </c>
    </row>
    <row r="856" spans="1:2" ht="25.5" customHeight="1">
      <c r="A856" s="4" t="s">
        <v>3588</v>
      </c>
      <c r="B856" s="12"/>
    </row>
    <row r="857" spans="1:2" ht="12.75" customHeight="1">
      <c r="A857" s="3" t="s">
        <v>3589</v>
      </c>
      <c r="B857" s="11"/>
    </row>
    <row r="858" spans="1:2" ht="25.5" customHeight="1">
      <c r="A858" s="4" t="s">
        <v>3590</v>
      </c>
      <c r="B858" s="12"/>
    </row>
    <row r="859" spans="1:2" ht="25.5" customHeight="1">
      <c r="A859" s="3" t="s">
        <v>3591</v>
      </c>
      <c r="B859" s="11"/>
    </row>
    <row r="860" spans="1:2" ht="25.5" customHeight="1">
      <c r="A860" s="4" t="s">
        <v>3592</v>
      </c>
      <c r="B860" s="12"/>
    </row>
    <row r="861" spans="1:2" ht="12.75" customHeight="1">
      <c r="A861" s="3" t="s">
        <v>3593</v>
      </c>
      <c r="B861" s="11">
        <f>-'DCA-Anexo I-HI'!B868+'DCA-Anexo I-HI'!B862</f>
        <v>2227052.2599999998</v>
      </c>
    </row>
    <row r="862" spans="1:2" ht="25.5" customHeight="1">
      <c r="A862" s="4" t="s">
        <v>3594</v>
      </c>
      <c r="B862" s="12">
        <f>+'DCA-Anexo I-HI'!B863+'DCA-Anexo I-HI'!B864+'DCA-Anexo I-HI'!B865+'DCA-Anexo I-HI'!B866+'DCA-Anexo I-HI'!B867</f>
        <v>2227052.2599999998</v>
      </c>
    </row>
    <row r="863" spans="1:2" ht="25.5" customHeight="1">
      <c r="A863" s="3" t="s">
        <v>3595</v>
      </c>
      <c r="B863" s="11">
        <v>2227052.2599999998</v>
      </c>
    </row>
    <row r="864" spans="1:2" ht="25.5" customHeight="1">
      <c r="A864" s="4" t="s">
        <v>3596</v>
      </c>
      <c r="B864" s="12"/>
    </row>
    <row r="865" spans="1:2" ht="25.5" customHeight="1">
      <c r="A865" s="3" t="s">
        <v>3597</v>
      </c>
      <c r="B865" s="11"/>
    </row>
    <row r="866" spans="1:2" ht="25.5" customHeight="1">
      <c r="A866" s="4" t="s">
        <v>3598</v>
      </c>
      <c r="B866" s="12"/>
    </row>
    <row r="867" spans="1:2" ht="25.5" customHeight="1">
      <c r="A867" s="3" t="s">
        <v>3599</v>
      </c>
      <c r="B867" s="11"/>
    </row>
    <row r="868" spans="1:2" ht="25.5" customHeight="1">
      <c r="A868" s="4" t="s">
        <v>3600</v>
      </c>
      <c r="B868" s="12">
        <f>+'DCA-Anexo I-HI'!B869+'DCA-Anexo I-HI'!B870+'DCA-Anexo I-HI'!B871+'DCA-Anexo I-HI'!B872+'DCA-Anexo I-HI'!B873</f>
        <v>0</v>
      </c>
    </row>
    <row r="869" spans="1:2" ht="25.5" customHeight="1">
      <c r="A869" s="3" t="s">
        <v>3601</v>
      </c>
      <c r="B869" s="11"/>
    </row>
    <row r="870" spans="1:2" ht="25.5" customHeight="1">
      <c r="A870" s="4" t="s">
        <v>3602</v>
      </c>
      <c r="B870" s="12"/>
    </row>
    <row r="871" spans="1:2" ht="25.5" customHeight="1">
      <c r="A871" s="3" t="s">
        <v>3603</v>
      </c>
      <c r="B871" s="11"/>
    </row>
    <row r="872" spans="1:2" ht="25.5" customHeight="1">
      <c r="A872" s="4" t="s">
        <v>3604</v>
      </c>
      <c r="B872" s="12"/>
    </row>
    <row r="873" spans="1:2" ht="25.5" customHeight="1">
      <c r="A873" s="3" t="s">
        <v>3605</v>
      </c>
      <c r="B873" s="11"/>
    </row>
    <row r="874" spans="1:2" ht="12.75" customHeight="1">
      <c r="A874" s="4" t="s">
        <v>3606</v>
      </c>
      <c r="B874" s="12">
        <f>+'DCA-Anexo I-HI'!B875+'DCA-Anexo I-HI'!B896+'DCA-Anexo I-HI'!B935+'DCA-Anexo I-HI'!B974+'DCA-Anexo I-HI'!B981+'DCA-Anexo I-HI'!B987+'DCA-Anexo I-HI'!B1000+'DCA-Anexo I-HI'!B1003</f>
        <v>1465515.54</v>
      </c>
    </row>
    <row r="875" spans="1:2" ht="25.5" customHeight="1">
      <c r="A875" s="3" t="s">
        <v>3607</v>
      </c>
      <c r="B875" s="11">
        <f>+'DCA-Anexo I-HI'!B876+'DCA-Anexo I-HI'!B888+'DCA-Anexo I-HI'!B894+'DCA-Anexo I-HI'!B882</f>
        <v>0</v>
      </c>
    </row>
    <row r="876" spans="1:2" ht="12.75" customHeight="1">
      <c r="A876" s="4" t="s">
        <v>3608</v>
      </c>
      <c r="B876" s="12">
        <f>+'DCA-Anexo I-HI'!B881+'DCA-Anexo I-HI'!B880+'DCA-Anexo I-HI'!B877+'DCA-Anexo I-HI'!B879+'DCA-Anexo I-HI'!B878</f>
        <v>0</v>
      </c>
    </row>
    <row r="877" spans="1:2" ht="25.5" customHeight="1">
      <c r="A877" s="3" t="s">
        <v>3609</v>
      </c>
      <c r="B877" s="11"/>
    </row>
    <row r="878" spans="1:2" ht="25.5" customHeight="1">
      <c r="A878" s="4" t="s">
        <v>3610</v>
      </c>
      <c r="B878" s="12"/>
    </row>
    <row r="879" spans="1:2" ht="25.5" customHeight="1">
      <c r="A879" s="3" t="s">
        <v>3611</v>
      </c>
      <c r="B879" s="11"/>
    </row>
    <row r="880" spans="1:2" ht="25.5" customHeight="1">
      <c r="A880" s="4" t="s">
        <v>3612</v>
      </c>
      <c r="B880" s="12"/>
    </row>
    <row r="881" spans="1:2" ht="25.5" customHeight="1">
      <c r="A881" s="3" t="s">
        <v>3613</v>
      </c>
      <c r="B881" s="11"/>
    </row>
    <row r="882" spans="1:2" ht="12.75" customHeight="1">
      <c r="A882" s="4" t="s">
        <v>3614</v>
      </c>
      <c r="B882" s="12">
        <f>+'DCA-Anexo I-HI'!B883+'DCA-Anexo I-HI'!B884+'DCA-Anexo I-HI'!B885+'DCA-Anexo I-HI'!B886+'DCA-Anexo I-HI'!B887</f>
        <v>0</v>
      </c>
    </row>
    <row r="883" spans="1:2" ht="25.5" customHeight="1">
      <c r="A883" s="3" t="s">
        <v>3615</v>
      </c>
      <c r="B883" s="11"/>
    </row>
    <row r="884" spans="1:2" ht="25.5" customHeight="1">
      <c r="A884" s="4" t="s">
        <v>3616</v>
      </c>
      <c r="B884" s="12"/>
    </row>
    <row r="885" spans="1:2" ht="25.5" customHeight="1">
      <c r="A885" s="3" t="s">
        <v>3617</v>
      </c>
      <c r="B885" s="11"/>
    </row>
    <row r="886" spans="1:2" ht="25.5" customHeight="1">
      <c r="A886" s="4" t="s">
        <v>3618</v>
      </c>
      <c r="B886" s="12"/>
    </row>
    <row r="887" spans="1:2" ht="25.5" customHeight="1">
      <c r="A887" s="3" t="s">
        <v>3619</v>
      </c>
      <c r="B887" s="11"/>
    </row>
    <row r="888" spans="1:2" ht="25.5" customHeight="1">
      <c r="A888" s="4" t="s">
        <v>3620</v>
      </c>
      <c r="B888" s="12">
        <f>+'DCA-Anexo I-HI'!B893+'DCA-Anexo I-HI'!B892+'DCA-Anexo I-HI'!B891+'DCA-Anexo I-HI'!B889+'DCA-Anexo I-HI'!B890</f>
        <v>0</v>
      </c>
    </row>
    <row r="889" spans="1:2" ht="25.5" customHeight="1">
      <c r="A889" s="3" t="s">
        <v>3621</v>
      </c>
      <c r="B889" s="11"/>
    </row>
    <row r="890" spans="1:2" ht="25.5" customHeight="1">
      <c r="A890" s="4" t="s">
        <v>3622</v>
      </c>
      <c r="B890" s="12"/>
    </row>
    <row r="891" spans="1:2" ht="25.5" customHeight="1">
      <c r="A891" s="3" t="s">
        <v>3623</v>
      </c>
      <c r="B891" s="11"/>
    </row>
    <row r="892" spans="1:2" ht="25.5" customHeight="1">
      <c r="A892" s="4" t="s">
        <v>3624</v>
      </c>
      <c r="B892" s="12"/>
    </row>
    <row r="893" spans="1:2" ht="25.5" customHeight="1">
      <c r="A893" s="3" t="s">
        <v>3625</v>
      </c>
      <c r="B893" s="11"/>
    </row>
    <row r="894" spans="1:2" ht="25.5" customHeight="1">
      <c r="A894" s="4" t="s">
        <v>3626</v>
      </c>
      <c r="B894" s="12">
        <f>+'DCA-Anexo I-HI'!B895</f>
        <v>0</v>
      </c>
    </row>
    <row r="895" spans="1:2" ht="25.5" customHeight="1">
      <c r="A895" s="3" t="s">
        <v>3627</v>
      </c>
      <c r="B895" s="11"/>
    </row>
    <row r="896" spans="1:2" ht="12.75" customHeight="1">
      <c r="A896" s="4" t="s">
        <v>3628</v>
      </c>
      <c r="B896" s="12">
        <f>+'DCA-Anexo I-HI'!B897+'DCA-Anexo I-HI'!B903+'DCA-Anexo I-HI'!B905+'DCA-Anexo I-HI'!B911+'DCA-Anexo I-HI'!B917+'DCA-Anexo I-HI'!B923+'DCA-Anexo I-HI'!B929</f>
        <v>217746.28</v>
      </c>
    </row>
    <row r="897" spans="1:2" ht="25.5" customHeight="1">
      <c r="A897" s="3" t="s">
        <v>3629</v>
      </c>
      <c r="B897" s="11">
        <f>+'DCA-Anexo I-HI'!B901+'DCA-Anexo I-HI'!B902+'DCA-Anexo I-HI'!B898+'DCA-Anexo I-HI'!B900+'DCA-Anexo I-HI'!B899</f>
        <v>0</v>
      </c>
    </row>
    <row r="898" spans="1:2" ht="25.5" customHeight="1">
      <c r="A898" s="4" t="s">
        <v>3630</v>
      </c>
      <c r="B898" s="12"/>
    </row>
    <row r="899" spans="1:2" ht="25.5" customHeight="1">
      <c r="A899" s="3" t="s">
        <v>3631</v>
      </c>
      <c r="B899" s="11"/>
    </row>
    <row r="900" spans="1:2" ht="25.5" customHeight="1">
      <c r="A900" s="4" t="s">
        <v>3632</v>
      </c>
      <c r="B900" s="12"/>
    </row>
    <row r="901" spans="1:2" ht="25.5" customHeight="1">
      <c r="A901" s="3" t="s">
        <v>3633</v>
      </c>
      <c r="B901" s="11"/>
    </row>
    <row r="902" spans="1:2" ht="25.5" customHeight="1">
      <c r="A902" s="4" t="s">
        <v>3634</v>
      </c>
      <c r="B902" s="12"/>
    </row>
    <row r="903" spans="1:2" ht="25.5" customHeight="1">
      <c r="A903" s="3" t="s">
        <v>3635</v>
      </c>
      <c r="B903" s="11">
        <f>+'DCA-Anexo I-HI'!B904</f>
        <v>0</v>
      </c>
    </row>
    <row r="904" spans="1:2" ht="25.5" customHeight="1">
      <c r="A904" s="4" t="s">
        <v>3636</v>
      </c>
      <c r="B904" s="12"/>
    </row>
    <row r="905" spans="1:2" ht="25.5" customHeight="1">
      <c r="A905" s="3" t="s">
        <v>3637</v>
      </c>
      <c r="B905" s="11">
        <f>+'DCA-Anexo I-HI'!B906+'DCA-Anexo I-HI'!B907+'DCA-Anexo I-HI'!B908+'DCA-Anexo I-HI'!B909+'DCA-Anexo I-HI'!B910</f>
        <v>0</v>
      </c>
    </row>
    <row r="906" spans="1:2" ht="25.5" customHeight="1">
      <c r="A906" s="4" t="s">
        <v>3638</v>
      </c>
      <c r="B906" s="12"/>
    </row>
    <row r="907" spans="1:2" ht="25.5" customHeight="1">
      <c r="A907" s="3" t="s">
        <v>3639</v>
      </c>
      <c r="B907" s="11"/>
    </row>
    <row r="908" spans="1:2" ht="25.5" customHeight="1">
      <c r="A908" s="4" t="s">
        <v>3640</v>
      </c>
      <c r="B908" s="12"/>
    </row>
    <row r="909" spans="1:2" ht="25.5" customHeight="1">
      <c r="A909" s="3" t="s">
        <v>3641</v>
      </c>
      <c r="B909" s="11"/>
    </row>
    <row r="910" spans="1:2" ht="25.5" customHeight="1">
      <c r="A910" s="4" t="s">
        <v>3642</v>
      </c>
      <c r="B910" s="12"/>
    </row>
    <row r="911" spans="1:2" ht="12.75" customHeight="1">
      <c r="A911" s="3" t="s">
        <v>3643</v>
      </c>
      <c r="B911" s="11">
        <f>+'DCA-Anexo I-HI'!B912+'DCA-Anexo I-HI'!B913+'DCA-Anexo I-HI'!B914+'DCA-Anexo I-HI'!B915+'DCA-Anexo I-HI'!B916</f>
        <v>217746.28</v>
      </c>
    </row>
    <row r="912" spans="1:2" ht="25.5" customHeight="1">
      <c r="A912" s="4" t="s">
        <v>3644</v>
      </c>
      <c r="B912" s="12">
        <v>217746.28</v>
      </c>
    </row>
    <row r="913" spans="1:2" ht="25.5" customHeight="1">
      <c r="A913" s="3" t="s">
        <v>3645</v>
      </c>
      <c r="B913" s="11"/>
    </row>
    <row r="914" spans="1:2" ht="25.5" customHeight="1">
      <c r="A914" s="4" t="s">
        <v>3646</v>
      </c>
      <c r="B914" s="12"/>
    </row>
    <row r="915" spans="1:2" ht="25.5" customHeight="1">
      <c r="A915" s="3" t="s">
        <v>3647</v>
      </c>
      <c r="B915" s="11"/>
    </row>
    <row r="916" spans="1:2" ht="25.5" customHeight="1">
      <c r="A916" s="4" t="s">
        <v>3648</v>
      </c>
      <c r="B916" s="12"/>
    </row>
    <row r="917" spans="1:2" ht="25.5" customHeight="1">
      <c r="A917" s="3" t="s">
        <v>3649</v>
      </c>
      <c r="B917" s="11">
        <f>+'DCA-Anexo I-HI'!B918+'DCA-Anexo I-HI'!B919+'DCA-Anexo I-HI'!B920+'DCA-Anexo I-HI'!B921+'DCA-Anexo I-HI'!B922</f>
        <v>0</v>
      </c>
    </row>
    <row r="918" spans="1:2" ht="25.5" customHeight="1">
      <c r="A918" s="4" t="s">
        <v>3650</v>
      </c>
      <c r="B918" s="12"/>
    </row>
    <row r="919" spans="1:2" ht="25.5" customHeight="1">
      <c r="A919" s="3" t="s">
        <v>3651</v>
      </c>
      <c r="B919" s="11"/>
    </row>
    <row r="920" spans="1:2" ht="25.5" customHeight="1">
      <c r="A920" s="4" t="s">
        <v>3652</v>
      </c>
      <c r="B920" s="12"/>
    </row>
    <row r="921" spans="1:2" ht="25.5" customHeight="1">
      <c r="A921" s="3" t="s">
        <v>3653</v>
      </c>
      <c r="B921" s="11"/>
    </row>
    <row r="922" spans="1:2" ht="25.5" customHeight="1">
      <c r="A922" s="4" t="s">
        <v>3654</v>
      </c>
      <c r="B922" s="12"/>
    </row>
    <row r="923" spans="1:2" ht="25.5" customHeight="1">
      <c r="A923" s="3" t="s">
        <v>3655</v>
      </c>
      <c r="B923" s="11">
        <f>+'DCA-Anexo I-HI'!B924+'DCA-Anexo I-HI'!B925+'DCA-Anexo I-HI'!B926+'DCA-Anexo I-HI'!B927+'DCA-Anexo I-HI'!B928</f>
        <v>0</v>
      </c>
    </row>
    <row r="924" spans="1:2" ht="25.5" customHeight="1">
      <c r="A924" s="4" t="s">
        <v>3656</v>
      </c>
      <c r="B924" s="12"/>
    </row>
    <row r="925" spans="1:2" ht="25.5" customHeight="1">
      <c r="A925" s="3" t="s">
        <v>3657</v>
      </c>
      <c r="B925" s="11"/>
    </row>
    <row r="926" spans="1:2" ht="25.5" customHeight="1">
      <c r="A926" s="4" t="s">
        <v>3658</v>
      </c>
      <c r="B926" s="12"/>
    </row>
    <row r="927" spans="1:2" ht="25.5" customHeight="1">
      <c r="A927" s="3" t="s">
        <v>3659</v>
      </c>
      <c r="B927" s="11"/>
    </row>
    <row r="928" spans="1:2" ht="25.5" customHeight="1">
      <c r="A928" s="4" t="s">
        <v>3660</v>
      </c>
      <c r="B928" s="12"/>
    </row>
    <row r="929" spans="1:2" ht="12.75" customHeight="1">
      <c r="A929" s="3" t="s">
        <v>3661</v>
      </c>
      <c r="B929" s="11">
        <f>+'DCA-Anexo I-HI'!B930+'DCA-Anexo I-HI'!B931+'DCA-Anexo I-HI'!B932+'DCA-Anexo I-HI'!B933+'DCA-Anexo I-HI'!B934</f>
        <v>0</v>
      </c>
    </row>
    <row r="930" spans="1:2" ht="12.75" customHeight="1">
      <c r="A930" s="4" t="s">
        <v>3662</v>
      </c>
      <c r="B930" s="12"/>
    </row>
    <row r="931" spans="1:2" ht="12.75" customHeight="1">
      <c r="A931" s="3" t="s">
        <v>3663</v>
      </c>
      <c r="B931" s="11"/>
    </row>
    <row r="932" spans="1:2" ht="12.75" customHeight="1">
      <c r="A932" s="4" t="s">
        <v>3664</v>
      </c>
      <c r="B932" s="12"/>
    </row>
    <row r="933" spans="1:2" ht="25.5" customHeight="1">
      <c r="A933" s="3" t="s">
        <v>3665</v>
      </c>
      <c r="B933" s="11"/>
    </row>
    <row r="934" spans="1:2" ht="25.5" customHeight="1">
      <c r="A934" s="4" t="s">
        <v>3666</v>
      </c>
      <c r="B934" s="12"/>
    </row>
    <row r="935" spans="1:2" ht="12.75" customHeight="1">
      <c r="A935" s="3" t="s">
        <v>3667</v>
      </c>
      <c r="B935" s="11">
        <f>+'DCA-Anexo I-HI'!B936+'DCA-Anexo I-HI'!B942+'DCA-Anexo I-HI'!B944+'DCA-Anexo I-HI'!B950+'DCA-Anexo I-HI'!B952+'DCA-Anexo I-HI'!B968</f>
        <v>0</v>
      </c>
    </row>
    <row r="936" spans="1:2" ht="25.5" customHeight="1">
      <c r="A936" s="4" t="s">
        <v>3668</v>
      </c>
      <c r="B936" s="12">
        <f>+'DCA-Anexo I-HI'!B937+'DCA-Anexo I-HI'!B940+'DCA-Anexo I-HI'!B941+'DCA-Anexo I-HI'!B939+'DCA-Anexo I-HI'!B938</f>
        <v>0</v>
      </c>
    </row>
    <row r="937" spans="1:2" ht="25.5" customHeight="1">
      <c r="A937" s="3" t="s">
        <v>3669</v>
      </c>
      <c r="B937" s="11"/>
    </row>
    <row r="938" spans="1:2" ht="25.5" customHeight="1">
      <c r="A938" s="4" t="s">
        <v>3670</v>
      </c>
      <c r="B938" s="12"/>
    </row>
    <row r="939" spans="1:2" ht="25.5" customHeight="1">
      <c r="A939" s="3" t="s">
        <v>3671</v>
      </c>
      <c r="B939" s="11"/>
    </row>
    <row r="940" spans="1:2" ht="25.5" customHeight="1">
      <c r="A940" s="4" t="s">
        <v>3672</v>
      </c>
      <c r="B940" s="12"/>
    </row>
    <row r="941" spans="1:2" ht="25.5" customHeight="1">
      <c r="A941" s="3" t="s">
        <v>3673</v>
      </c>
      <c r="B941" s="11"/>
    </row>
    <row r="942" spans="1:2" ht="25.5" customHeight="1">
      <c r="A942" s="4" t="s">
        <v>3674</v>
      </c>
      <c r="B942" s="12">
        <f>+'DCA-Anexo I-HI'!B943</f>
        <v>0</v>
      </c>
    </row>
    <row r="943" spans="1:2" ht="25.5" customHeight="1">
      <c r="A943" s="3" t="s">
        <v>3675</v>
      </c>
      <c r="B943" s="11"/>
    </row>
    <row r="944" spans="1:2" ht="25.5" customHeight="1">
      <c r="A944" s="4" t="s">
        <v>3676</v>
      </c>
      <c r="B944" s="12">
        <f>+'DCA-Anexo I-HI'!B949+'DCA-Anexo I-HI'!B945+'DCA-Anexo I-HI'!B947+'DCA-Anexo I-HI'!B948+'DCA-Anexo I-HI'!B946</f>
        <v>0</v>
      </c>
    </row>
    <row r="945" spans="1:2" ht="25.5" customHeight="1">
      <c r="A945" s="3" t="s">
        <v>3677</v>
      </c>
      <c r="B945" s="11"/>
    </row>
    <row r="946" spans="1:2" ht="25.5" customHeight="1">
      <c r="A946" s="4" t="s">
        <v>3678</v>
      </c>
      <c r="B946" s="12"/>
    </row>
    <row r="947" spans="1:2" ht="25.5" customHeight="1">
      <c r="A947" s="3" t="s">
        <v>3679</v>
      </c>
      <c r="B947" s="11"/>
    </row>
    <row r="948" spans="1:2" ht="25.5" customHeight="1">
      <c r="A948" s="4" t="s">
        <v>3680</v>
      </c>
      <c r="B948" s="12"/>
    </row>
    <row r="949" spans="1:2" ht="25.5" customHeight="1">
      <c r="A949" s="3" t="s">
        <v>3681</v>
      </c>
      <c r="B949" s="11"/>
    </row>
    <row r="950" spans="1:2" ht="25.5" customHeight="1">
      <c r="A950" s="4" t="s">
        <v>3682</v>
      </c>
      <c r="B950" s="12">
        <f>+'DCA-Anexo I-HI'!B951</f>
        <v>0</v>
      </c>
    </row>
    <row r="951" spans="1:2" ht="25.5" customHeight="1">
      <c r="A951" s="3" t="s">
        <v>3683</v>
      </c>
      <c r="B951" s="11"/>
    </row>
    <row r="952" spans="1:2" ht="25.5" customHeight="1">
      <c r="A952" s="4" t="s">
        <v>3684</v>
      </c>
      <c r="B952" s="12">
        <f>+'DCA-Anexo I-HI'!B953+'DCA-Anexo I-HI'!B956+'DCA-Anexo I-HI'!B959+'DCA-Anexo I-HI'!B962+'DCA-Anexo I-HI'!B965</f>
        <v>0</v>
      </c>
    </row>
    <row r="953" spans="1:2" ht="25.5" customHeight="1">
      <c r="A953" s="3" t="s">
        <v>3685</v>
      </c>
      <c r="B953" s="11">
        <f>+'DCA-Anexo I-HI'!B954+'DCA-Anexo I-HI'!B955</f>
        <v>0</v>
      </c>
    </row>
    <row r="954" spans="1:2" ht="25.5" customHeight="1">
      <c r="A954" s="4" t="s">
        <v>3686</v>
      </c>
      <c r="B954" s="12"/>
    </row>
    <row r="955" spans="1:2" ht="25.5" customHeight="1">
      <c r="A955" s="3" t="s">
        <v>3687</v>
      </c>
      <c r="B955" s="11"/>
    </row>
    <row r="956" spans="1:2" ht="25.5" customHeight="1">
      <c r="A956" s="4" t="s">
        <v>3688</v>
      </c>
      <c r="B956" s="12">
        <f>+'DCA-Anexo I-HI'!B957+'DCA-Anexo I-HI'!B958</f>
        <v>0</v>
      </c>
    </row>
    <row r="957" spans="1:2" ht="25.5" customHeight="1">
      <c r="A957" s="3" t="s">
        <v>3689</v>
      </c>
      <c r="B957" s="11"/>
    </row>
    <row r="958" spans="1:2" ht="25.5" customHeight="1">
      <c r="A958" s="4" t="s">
        <v>3690</v>
      </c>
      <c r="B958" s="12"/>
    </row>
    <row r="959" spans="1:2" ht="25.5" customHeight="1">
      <c r="A959" s="3" t="s">
        <v>3691</v>
      </c>
      <c r="B959" s="11">
        <f>+'DCA-Anexo I-HI'!B960+'DCA-Anexo I-HI'!B961</f>
        <v>0</v>
      </c>
    </row>
    <row r="960" spans="1:2" ht="25.5" customHeight="1">
      <c r="A960" s="4" t="s">
        <v>3692</v>
      </c>
      <c r="B960" s="12"/>
    </row>
    <row r="961" spans="1:2" ht="25.5" customHeight="1">
      <c r="A961" s="3" t="s">
        <v>3693</v>
      </c>
      <c r="B961" s="11"/>
    </row>
    <row r="962" spans="1:2" ht="25.5" customHeight="1">
      <c r="A962" s="4" t="s">
        <v>3694</v>
      </c>
      <c r="B962" s="12">
        <f>+'DCA-Anexo I-HI'!B963+'DCA-Anexo I-HI'!B964</f>
        <v>0</v>
      </c>
    </row>
    <row r="963" spans="1:2" ht="25.5" customHeight="1">
      <c r="A963" s="3" t="s">
        <v>3695</v>
      </c>
      <c r="B963" s="11"/>
    </row>
    <row r="964" spans="1:2" ht="25.5" customHeight="1">
      <c r="A964" s="4" t="s">
        <v>3696</v>
      </c>
      <c r="B964" s="12"/>
    </row>
    <row r="965" spans="1:2" ht="25.5" customHeight="1">
      <c r="A965" s="3" t="s">
        <v>3697</v>
      </c>
      <c r="B965" s="11">
        <f>+'DCA-Anexo I-HI'!B966+'DCA-Anexo I-HI'!B967</f>
        <v>0</v>
      </c>
    </row>
    <row r="966" spans="1:2" ht="25.5" customHeight="1">
      <c r="A966" s="4" t="s">
        <v>3698</v>
      </c>
      <c r="B966" s="12"/>
    </row>
    <row r="967" spans="1:2" ht="25.5" customHeight="1">
      <c r="A967" s="3" t="s">
        <v>3699</v>
      </c>
      <c r="B967" s="11"/>
    </row>
    <row r="968" spans="1:2" ht="12.75" customHeight="1">
      <c r="A968" s="4" t="s">
        <v>3700</v>
      </c>
      <c r="B968" s="12">
        <f>+'DCA-Anexo I-HI'!B973+'DCA-Anexo I-HI'!B972+'DCA-Anexo I-HI'!B969+'DCA-Anexo I-HI'!B971+'DCA-Anexo I-HI'!B970</f>
        <v>0</v>
      </c>
    </row>
    <row r="969" spans="1:2" ht="25.5" customHeight="1">
      <c r="A969" s="3" t="s">
        <v>3701</v>
      </c>
      <c r="B969" s="11"/>
    </row>
    <row r="970" spans="1:2" ht="12.75" customHeight="1">
      <c r="A970" s="4" t="s">
        <v>3702</v>
      </c>
      <c r="B970" s="12"/>
    </row>
    <row r="971" spans="1:2" ht="25.5" customHeight="1">
      <c r="A971" s="3" t="s">
        <v>3703</v>
      </c>
      <c r="B971" s="11"/>
    </row>
    <row r="972" spans="1:2" ht="25.5" customHeight="1">
      <c r="A972" s="4" t="s">
        <v>3704</v>
      </c>
      <c r="B972" s="12"/>
    </row>
    <row r="973" spans="1:2" ht="25.5" customHeight="1">
      <c r="A973" s="3" t="s">
        <v>3705</v>
      </c>
      <c r="B973" s="11"/>
    </row>
    <row r="974" spans="1:2" ht="12.75" customHeight="1">
      <c r="A974" s="4" t="s">
        <v>3706</v>
      </c>
      <c r="B974" s="12">
        <f>+'DCA-Anexo I-HI'!B975</f>
        <v>0</v>
      </c>
    </row>
    <row r="975" spans="1:2" ht="12.75" customHeight="1">
      <c r="A975" s="3" t="s">
        <v>3707</v>
      </c>
      <c r="B975" s="11">
        <f>+'DCA-Anexo I-HI'!B976+'DCA-Anexo I-HI'!B977+'DCA-Anexo I-HI'!B978+'DCA-Anexo I-HI'!B979+'DCA-Anexo I-HI'!B980</f>
        <v>0</v>
      </c>
    </row>
    <row r="976" spans="1:2" ht="12.75" customHeight="1">
      <c r="A976" s="4" t="s">
        <v>3708</v>
      </c>
      <c r="B976" s="12"/>
    </row>
    <row r="977" spans="1:2" ht="12.75" customHeight="1">
      <c r="A977" s="3" t="s">
        <v>3709</v>
      </c>
      <c r="B977" s="11"/>
    </row>
    <row r="978" spans="1:2" ht="12.75" customHeight="1">
      <c r="A978" s="4" t="s">
        <v>3710</v>
      </c>
      <c r="B978" s="12"/>
    </row>
    <row r="979" spans="1:2" ht="12.75" customHeight="1">
      <c r="A979" s="3" t="s">
        <v>3711</v>
      </c>
      <c r="B979" s="11"/>
    </row>
    <row r="980" spans="1:2" ht="25.5" customHeight="1">
      <c r="A980" s="4" t="s">
        <v>3712</v>
      </c>
      <c r="B980" s="12"/>
    </row>
    <row r="981" spans="1:2" ht="25.5" customHeight="1">
      <c r="A981" s="3" t="s">
        <v>3713</v>
      </c>
      <c r="B981" s="11">
        <f>+'DCA-Anexo I-HI'!B984+'DCA-Anexo I-HI'!B982</f>
        <v>1247769.26</v>
      </c>
    </row>
    <row r="982" spans="1:2" ht="12.75" customHeight="1">
      <c r="A982" s="4" t="s">
        <v>3714</v>
      </c>
      <c r="B982" s="12">
        <f>+'DCA-Anexo I-HI'!B983</f>
        <v>1247769.26</v>
      </c>
    </row>
    <row r="983" spans="1:2" ht="12.75" customHeight="1">
      <c r="A983" s="3" t="s">
        <v>3715</v>
      </c>
      <c r="B983" s="11">
        <v>1247769.26</v>
      </c>
    </row>
    <row r="984" spans="1:2" ht="12.75" customHeight="1">
      <c r="A984" s="4" t="s">
        <v>3716</v>
      </c>
      <c r="B984" s="12">
        <f>+'DCA-Anexo I-HI'!B985+'DCA-Anexo I-HI'!B986</f>
        <v>0</v>
      </c>
    </row>
    <row r="985" spans="1:2" ht="12.75" customHeight="1">
      <c r="A985" s="3" t="s">
        <v>3717</v>
      </c>
      <c r="B985" s="11"/>
    </row>
    <row r="986" spans="1:2" ht="12.75" customHeight="1">
      <c r="A986" s="4" t="s">
        <v>3718</v>
      </c>
      <c r="B986" s="12"/>
    </row>
    <row r="987" spans="1:2" ht="25.5" customHeight="1">
      <c r="A987" s="3" t="s">
        <v>3719</v>
      </c>
      <c r="B987" s="11">
        <f>+'DCA-Anexo I-HI'!B988+'DCA-Anexo I-HI'!B994</f>
        <v>0</v>
      </c>
    </row>
    <row r="988" spans="1:2" ht="12.75" customHeight="1">
      <c r="A988" s="4" t="s">
        <v>3720</v>
      </c>
      <c r="B988" s="12">
        <f>+'DCA-Anexo I-HI'!B989+'DCA-Anexo I-HI'!B990+'DCA-Anexo I-HI'!B991+'DCA-Anexo I-HI'!B992+'DCA-Anexo I-HI'!B993</f>
        <v>0</v>
      </c>
    </row>
    <row r="989" spans="1:2" ht="25.5" customHeight="1">
      <c r="A989" s="3" t="s">
        <v>3721</v>
      </c>
      <c r="B989" s="11"/>
    </row>
    <row r="990" spans="1:2" ht="25.5" customHeight="1">
      <c r="A990" s="4" t="s">
        <v>3722</v>
      </c>
      <c r="B990" s="12"/>
    </row>
    <row r="991" spans="1:2" ht="25.5" customHeight="1">
      <c r="A991" s="3" t="s">
        <v>3723</v>
      </c>
      <c r="B991" s="11"/>
    </row>
    <row r="992" spans="1:2" ht="25.5" customHeight="1">
      <c r="A992" s="4" t="s">
        <v>3724</v>
      </c>
      <c r="B992" s="12"/>
    </row>
    <row r="993" spans="1:2" ht="25.5" customHeight="1">
      <c r="A993" s="3" t="s">
        <v>3725</v>
      </c>
      <c r="B993" s="11"/>
    </row>
    <row r="994" spans="1:2" ht="12.75" customHeight="1">
      <c r="A994" s="4" t="s">
        <v>3726</v>
      </c>
      <c r="B994" s="12">
        <f>+'DCA-Anexo I-HI'!B995+'DCA-Anexo I-HI'!B996+'DCA-Anexo I-HI'!B997+'DCA-Anexo I-HI'!B998+'DCA-Anexo I-HI'!B999</f>
        <v>0</v>
      </c>
    </row>
    <row r="995" spans="1:2" ht="25.5" customHeight="1">
      <c r="A995" s="3" t="s">
        <v>3727</v>
      </c>
      <c r="B995" s="11"/>
    </row>
    <row r="996" spans="1:2" ht="25.5" customHeight="1">
      <c r="A996" s="4" t="s">
        <v>3728</v>
      </c>
      <c r="B996" s="12"/>
    </row>
    <row r="997" spans="1:2" ht="25.5" customHeight="1">
      <c r="A997" s="3" t="s">
        <v>3729</v>
      </c>
      <c r="B997" s="11"/>
    </row>
    <row r="998" spans="1:2" ht="25.5" customHeight="1">
      <c r="A998" s="4" t="s">
        <v>3730</v>
      </c>
      <c r="B998" s="12"/>
    </row>
    <row r="999" spans="1:2" ht="25.5" customHeight="1">
      <c r="A999" s="3" t="s">
        <v>3731</v>
      </c>
      <c r="B999" s="11"/>
    </row>
    <row r="1000" spans="1:2" ht="12.75" customHeight="1">
      <c r="A1000" s="4" t="s">
        <v>3732</v>
      </c>
      <c r="B1000" s="12">
        <f>+'DCA-Anexo I-HI'!B1001</f>
        <v>0</v>
      </c>
    </row>
    <row r="1001" spans="1:2" ht="12.75" customHeight="1">
      <c r="A1001" s="3" t="s">
        <v>3733</v>
      </c>
      <c r="B1001" s="11">
        <f>+'DCA-Anexo I-HI'!B1002</f>
        <v>0</v>
      </c>
    </row>
    <row r="1002" spans="1:2" ht="12.75" customHeight="1">
      <c r="A1002" s="4" t="s">
        <v>3734</v>
      </c>
      <c r="B1002" s="12"/>
    </row>
    <row r="1003" spans="1:2" ht="25.5" customHeight="1">
      <c r="A1003" s="3" t="s">
        <v>3735</v>
      </c>
      <c r="B1003" s="11">
        <f>+'DCA-Anexo I-HI'!B1004</f>
        <v>0</v>
      </c>
    </row>
    <row r="1004" spans="1:2" ht="25.5" customHeight="1">
      <c r="A1004" s="4" t="s">
        <v>3736</v>
      </c>
      <c r="B1004" s="12">
        <f>+'DCA-Anexo I-HI'!B1005+'DCA-Anexo I-HI'!B1006+'DCA-Anexo I-HI'!B1007+'DCA-Anexo I-HI'!B1008+'DCA-Anexo I-HI'!B1009</f>
        <v>0</v>
      </c>
    </row>
    <row r="1005" spans="1:2" ht="25.5" customHeight="1">
      <c r="A1005" s="3" t="s">
        <v>3737</v>
      </c>
      <c r="B1005" s="11"/>
    </row>
    <row r="1006" spans="1:2" ht="25.5" customHeight="1">
      <c r="A1006" s="4" t="s">
        <v>3738</v>
      </c>
      <c r="B1006" s="12"/>
    </row>
    <row r="1007" spans="1:2" ht="25.5" customHeight="1">
      <c r="A1007" s="3" t="s">
        <v>3739</v>
      </c>
      <c r="B1007" s="11"/>
    </row>
    <row r="1008" spans="1:2" ht="25.5" customHeight="1">
      <c r="A1008" s="4" t="s">
        <v>3740</v>
      </c>
      <c r="B1008" s="12"/>
    </row>
    <row r="1009" spans="1:2" ht="25.5" customHeight="1">
      <c r="A1009" s="3" t="s">
        <v>3741</v>
      </c>
      <c r="B1009" s="11"/>
    </row>
    <row r="1010" spans="1:2" ht="12.75" customHeight="1">
      <c r="A1010" s="4" t="s">
        <v>3742</v>
      </c>
      <c r="B1010" s="12">
        <f>+'DCA-Anexo I-HI'!B1054+'DCA-Anexo I-HI'!B1040+'DCA-Anexo I-HI'!B1045+'DCA-Anexo I-HI'!B1061+'DCA-Anexo I-HI'!B1022+'DCA-Anexo I-HI'!B1011+'DCA-Anexo I-HI'!B1051+'DCA-Anexo I-HI'!B1048+'DCA-Anexo I-HI'!B1064</f>
        <v>170981791.99000001</v>
      </c>
    </row>
    <row r="1011" spans="1:2" ht="12.75" customHeight="1">
      <c r="A1011" s="3" t="s">
        <v>3743</v>
      </c>
      <c r="B1011" s="11">
        <f>+'DCA-Anexo I-HI'!B1014+'DCA-Anexo I-HI'!B1016+'DCA-Anexo I-HI'!B1018+'DCA-Anexo I-HI'!B1012+'DCA-Anexo I-HI'!B1020</f>
        <v>33650785.700000003</v>
      </c>
    </row>
    <row r="1012" spans="1:2" ht="12.75" customHeight="1">
      <c r="A1012" s="4" t="s">
        <v>3744</v>
      </c>
      <c r="B1012" s="12">
        <f>+'DCA-Anexo I-HI'!B1013</f>
        <v>33650785.700000003</v>
      </c>
    </row>
    <row r="1013" spans="1:2" ht="25.5" customHeight="1">
      <c r="A1013" s="3" t="s">
        <v>3745</v>
      </c>
      <c r="B1013" s="11">
        <v>33650785.700000003</v>
      </c>
    </row>
    <row r="1014" spans="1:2" ht="25.5" customHeight="1">
      <c r="A1014" s="4" t="s">
        <v>3746</v>
      </c>
      <c r="B1014" s="12">
        <f>+'DCA-Anexo I-HI'!B1015</f>
        <v>0</v>
      </c>
    </row>
    <row r="1015" spans="1:2" ht="25.5" customHeight="1">
      <c r="A1015" s="3" t="s">
        <v>3747</v>
      </c>
      <c r="B1015" s="11"/>
    </row>
    <row r="1016" spans="1:2" ht="25.5" customHeight="1">
      <c r="A1016" s="4" t="s">
        <v>3748</v>
      </c>
      <c r="B1016" s="12">
        <f>+'DCA-Anexo I-HI'!B1017</f>
        <v>0</v>
      </c>
    </row>
    <row r="1017" spans="1:2" ht="25.5" customHeight="1">
      <c r="A1017" s="3" t="s">
        <v>3749</v>
      </c>
      <c r="B1017" s="11"/>
    </row>
    <row r="1018" spans="1:2" ht="25.5" customHeight="1">
      <c r="A1018" s="4" t="s">
        <v>3750</v>
      </c>
      <c r="B1018" s="12">
        <f>+'DCA-Anexo I-HI'!B1019</f>
        <v>0</v>
      </c>
    </row>
    <row r="1019" spans="1:2" ht="25.5" customHeight="1">
      <c r="A1019" s="3" t="s">
        <v>3751</v>
      </c>
      <c r="B1019" s="11"/>
    </row>
    <row r="1020" spans="1:2" ht="25.5" customHeight="1">
      <c r="A1020" s="4" t="s">
        <v>3752</v>
      </c>
      <c r="B1020" s="12">
        <f>+'DCA-Anexo I-HI'!B1021</f>
        <v>0</v>
      </c>
    </row>
    <row r="1021" spans="1:2" ht="25.5" customHeight="1">
      <c r="A1021" s="3" t="s">
        <v>3753</v>
      </c>
      <c r="B1021" s="11"/>
    </row>
    <row r="1022" spans="1:2" ht="12.75" customHeight="1">
      <c r="A1022" s="4" t="s">
        <v>3754</v>
      </c>
      <c r="B1022" s="12">
        <f>+'DCA-Anexo I-HI'!B1030+'DCA-Anexo I-HI'!B1027+'DCA-Anexo I-HI'!B1035+'DCA-Anexo I-HI'!B1023</f>
        <v>137042006.28999999</v>
      </c>
    </row>
    <row r="1023" spans="1:2" ht="12.75" customHeight="1">
      <c r="A1023" s="3" t="s">
        <v>3755</v>
      </c>
      <c r="B1023" s="11">
        <f>+'DCA-Anexo I-HI'!B1025+'DCA-Anexo I-HI'!B1024+'DCA-Anexo I-HI'!B1026</f>
        <v>96022807.829999998</v>
      </c>
    </row>
    <row r="1024" spans="1:2" ht="25.5" customHeight="1">
      <c r="A1024" s="4" t="s">
        <v>3756</v>
      </c>
      <c r="B1024" s="12"/>
    </row>
    <row r="1025" spans="1:2" ht="25.5" customHeight="1">
      <c r="A1025" s="3" t="s">
        <v>3757</v>
      </c>
      <c r="B1025" s="11">
        <v>60033999.979999997</v>
      </c>
    </row>
    <row r="1026" spans="1:2" ht="25.5" customHeight="1">
      <c r="A1026" s="4" t="s">
        <v>3758</v>
      </c>
      <c r="B1026" s="12">
        <v>35988807.850000001</v>
      </c>
    </row>
    <row r="1027" spans="1:2" ht="12.75" customHeight="1">
      <c r="A1027" s="3" t="s">
        <v>3759</v>
      </c>
      <c r="B1027" s="11">
        <f>+'DCA-Anexo I-HI'!B1028+'DCA-Anexo I-HI'!B1029</f>
        <v>37304231.379999995</v>
      </c>
    </row>
    <row r="1028" spans="1:2" ht="12.75" customHeight="1">
      <c r="A1028" s="4" t="s">
        <v>3760</v>
      </c>
      <c r="B1028" s="12">
        <v>17110061.23</v>
      </c>
    </row>
    <row r="1029" spans="1:2" ht="12.75" customHeight="1">
      <c r="A1029" s="3" t="s">
        <v>3761</v>
      </c>
      <c r="B1029" s="11">
        <v>20194170.149999999</v>
      </c>
    </row>
    <row r="1030" spans="1:2" ht="12.75" customHeight="1">
      <c r="A1030" s="4" t="s">
        <v>3762</v>
      </c>
      <c r="B1030" s="12">
        <f>+'DCA-Anexo I-HI'!B1034+'DCA-Anexo I-HI'!B1031+'DCA-Anexo I-HI'!B1032+'DCA-Anexo I-HI'!B1033</f>
        <v>3714967.08</v>
      </c>
    </row>
    <row r="1031" spans="1:2" ht="12.75" customHeight="1">
      <c r="A1031" s="3" t="s">
        <v>3763</v>
      </c>
      <c r="B1031" s="11"/>
    </row>
    <row r="1032" spans="1:2" ht="12.75" customHeight="1">
      <c r="A1032" s="4" t="s">
        <v>3764</v>
      </c>
      <c r="B1032" s="12">
        <v>1039214.12</v>
      </c>
    </row>
    <row r="1033" spans="1:2" ht="12.75" customHeight="1">
      <c r="A1033" s="3" t="s">
        <v>3765</v>
      </c>
      <c r="B1033" s="11">
        <v>2675752.96</v>
      </c>
    </row>
    <row r="1034" spans="1:2" ht="12.75" customHeight="1">
      <c r="A1034" s="4" t="s">
        <v>3766</v>
      </c>
      <c r="B1034" s="12"/>
    </row>
    <row r="1035" spans="1:2" ht="12.75" customHeight="1">
      <c r="A1035" s="3" t="s">
        <v>3767</v>
      </c>
      <c r="B1035" s="11">
        <f>+'DCA-Anexo I-HI'!B1039+'DCA-Anexo I-HI'!B1038+'DCA-Anexo I-HI'!B1036+'DCA-Anexo I-HI'!B1037</f>
        <v>0</v>
      </c>
    </row>
    <row r="1036" spans="1:2" ht="12.75" customHeight="1">
      <c r="A1036" s="4" t="s">
        <v>3768</v>
      </c>
      <c r="B1036" s="12"/>
    </row>
    <row r="1037" spans="1:2" ht="12.75" customHeight="1">
      <c r="A1037" s="3" t="s">
        <v>3769</v>
      </c>
      <c r="B1037" s="11"/>
    </row>
    <row r="1038" spans="1:2" ht="12.75" customHeight="1">
      <c r="A1038" s="4" t="s">
        <v>3770</v>
      </c>
      <c r="B1038" s="12"/>
    </row>
    <row r="1039" spans="1:2" ht="12.75" customHeight="1">
      <c r="A1039" s="3" t="s">
        <v>3771</v>
      </c>
      <c r="B1039" s="11"/>
    </row>
    <row r="1040" spans="1:2" ht="12.75" customHeight="1">
      <c r="A1040" s="4" t="s">
        <v>3772</v>
      </c>
      <c r="B1040" s="12">
        <f>+'DCA-Anexo I-HI'!B1041+'DCA-Anexo I-HI'!B1043</f>
        <v>0</v>
      </c>
    </row>
    <row r="1041" spans="1:2" ht="25.5" customHeight="1">
      <c r="A1041" s="3" t="s">
        <v>3773</v>
      </c>
      <c r="B1041" s="11">
        <f>+'DCA-Anexo I-HI'!B1042</f>
        <v>0</v>
      </c>
    </row>
    <row r="1042" spans="1:2" ht="25.5" customHeight="1">
      <c r="A1042" s="4" t="s">
        <v>3774</v>
      </c>
      <c r="B1042" s="12"/>
    </row>
    <row r="1043" spans="1:2" ht="25.5" customHeight="1">
      <c r="A1043" s="3" t="s">
        <v>3775</v>
      </c>
      <c r="B1043" s="11">
        <f>+'DCA-Anexo I-HI'!B1044</f>
        <v>0</v>
      </c>
    </row>
    <row r="1044" spans="1:2" ht="25.5" customHeight="1">
      <c r="A1044" s="4" t="s">
        <v>3776</v>
      </c>
      <c r="B1044" s="12"/>
    </row>
    <row r="1045" spans="1:2" ht="12.75" customHeight="1">
      <c r="A1045" s="3" t="s">
        <v>3777</v>
      </c>
      <c r="B1045" s="11">
        <f>+'DCA-Anexo I-HI'!B1046</f>
        <v>0</v>
      </c>
    </row>
    <row r="1046" spans="1:2" ht="12.75" customHeight="1">
      <c r="A1046" s="4" t="s">
        <v>3778</v>
      </c>
      <c r="B1046" s="12">
        <f>+'DCA-Anexo I-HI'!B1047</f>
        <v>0</v>
      </c>
    </row>
    <row r="1047" spans="1:2" ht="25.5" customHeight="1">
      <c r="A1047" s="3" t="s">
        <v>3779</v>
      </c>
      <c r="B1047" s="11"/>
    </row>
    <row r="1048" spans="1:2" ht="12.75" customHeight="1">
      <c r="A1048" s="4" t="s">
        <v>3780</v>
      </c>
      <c r="B1048" s="12">
        <f>+'DCA-Anexo I-HI'!B1049</f>
        <v>0</v>
      </c>
    </row>
    <row r="1049" spans="1:2" ht="12.75" customHeight="1">
      <c r="A1049" s="3" t="s">
        <v>3781</v>
      </c>
      <c r="B1049" s="11">
        <f>+'DCA-Anexo I-HI'!B1050</f>
        <v>0</v>
      </c>
    </row>
    <row r="1050" spans="1:2" ht="12.75" customHeight="1">
      <c r="A1050" s="4" t="s">
        <v>3782</v>
      </c>
      <c r="B1050" s="12"/>
    </row>
    <row r="1051" spans="1:2" ht="12.75" customHeight="1">
      <c r="A1051" s="3" t="s">
        <v>3783</v>
      </c>
      <c r="B1051" s="11">
        <f>+'DCA-Anexo I-HI'!B1052</f>
        <v>0</v>
      </c>
    </row>
    <row r="1052" spans="1:2" ht="12.75" customHeight="1">
      <c r="A1052" s="4" t="s">
        <v>3784</v>
      </c>
      <c r="B1052" s="12">
        <f>+'DCA-Anexo I-HI'!B1053</f>
        <v>0</v>
      </c>
    </row>
    <row r="1053" spans="1:2" ht="12.75" customHeight="1">
      <c r="A1053" s="3" t="s">
        <v>3785</v>
      </c>
      <c r="B1053" s="11"/>
    </row>
    <row r="1054" spans="1:2" ht="12.75" customHeight="1">
      <c r="A1054" s="4" t="s">
        <v>3786</v>
      </c>
      <c r="B1054" s="12">
        <f>+'DCA-Anexo I-HI'!B1059+'DCA-Anexo I-HI'!B1055</f>
        <v>0</v>
      </c>
    </row>
    <row r="1055" spans="1:2" ht="12.75" customHeight="1">
      <c r="A1055" s="3" t="s">
        <v>3787</v>
      </c>
      <c r="B1055" s="11">
        <f>+'DCA-Anexo I-HI'!B1058+'DCA-Anexo I-HI'!B1056+'DCA-Anexo I-HI'!B1057</f>
        <v>0</v>
      </c>
    </row>
    <row r="1056" spans="1:2" ht="25.5" customHeight="1">
      <c r="A1056" s="4" t="s">
        <v>3788</v>
      </c>
      <c r="B1056" s="12"/>
    </row>
    <row r="1057" spans="1:2" ht="25.5" customHeight="1">
      <c r="A1057" s="3" t="s">
        <v>3789</v>
      </c>
      <c r="B1057" s="11"/>
    </row>
    <row r="1058" spans="1:2" ht="25.5" customHeight="1">
      <c r="A1058" s="4" t="s">
        <v>3790</v>
      </c>
      <c r="B1058" s="12"/>
    </row>
    <row r="1059" spans="1:2" ht="12.75" customHeight="1">
      <c r="A1059" s="3" t="s">
        <v>3791</v>
      </c>
      <c r="B1059" s="11">
        <f>+'DCA-Anexo I-HI'!B1060</f>
        <v>0</v>
      </c>
    </row>
    <row r="1060" spans="1:2" ht="25.5" customHeight="1">
      <c r="A1060" s="4" t="s">
        <v>3792</v>
      </c>
      <c r="B1060" s="12"/>
    </row>
    <row r="1061" spans="1:2" ht="12.75" customHeight="1">
      <c r="A1061" s="3" t="s">
        <v>3793</v>
      </c>
      <c r="B1061" s="11">
        <f>+'DCA-Anexo I-HI'!B1062</f>
        <v>0</v>
      </c>
    </row>
    <row r="1062" spans="1:2" ht="12.75" customHeight="1">
      <c r="A1062" s="4" t="s">
        <v>3794</v>
      </c>
      <c r="B1062" s="12">
        <f>+'DCA-Anexo I-HI'!B1063</f>
        <v>0</v>
      </c>
    </row>
    <row r="1063" spans="1:2" ht="12.75" customHeight="1">
      <c r="A1063" s="3" t="s">
        <v>3795</v>
      </c>
      <c r="B1063" s="11"/>
    </row>
    <row r="1064" spans="1:2" ht="12.75" customHeight="1">
      <c r="A1064" s="4" t="s">
        <v>3796</v>
      </c>
      <c r="B1064" s="12">
        <f>+'DCA-Anexo I-HI'!B1065</f>
        <v>289000</v>
      </c>
    </row>
    <row r="1065" spans="1:2" ht="12.75" customHeight="1">
      <c r="A1065" s="3" t="s">
        <v>3797</v>
      </c>
      <c r="B1065" s="11">
        <f>+'DCA-Anexo I-HI'!B1066+'DCA-Anexo I-HI'!B1067+'DCA-Anexo I-HI'!B1068+'DCA-Anexo I-HI'!B1069+'DCA-Anexo I-HI'!B1070</f>
        <v>289000</v>
      </c>
    </row>
    <row r="1066" spans="1:2" ht="25.5" customHeight="1">
      <c r="A1066" s="4" t="s">
        <v>3798</v>
      </c>
      <c r="B1066" s="12">
        <v>289000</v>
      </c>
    </row>
    <row r="1067" spans="1:2" ht="25.5" customHeight="1">
      <c r="A1067" s="3" t="s">
        <v>3799</v>
      </c>
      <c r="B1067" s="11"/>
    </row>
    <row r="1068" spans="1:2" ht="25.5" customHeight="1">
      <c r="A1068" s="4" t="s">
        <v>3800</v>
      </c>
      <c r="B1068" s="12"/>
    </row>
    <row r="1069" spans="1:2" ht="25.5" customHeight="1">
      <c r="A1069" s="3" t="s">
        <v>3801</v>
      </c>
      <c r="B1069" s="11"/>
    </row>
    <row r="1070" spans="1:2" ht="25.5" customHeight="1">
      <c r="A1070" s="4" t="s">
        <v>3802</v>
      </c>
      <c r="B1070" s="12"/>
    </row>
    <row r="1071" spans="1:2" ht="25.5" customHeight="1">
      <c r="A1071" s="3" t="s">
        <v>3803</v>
      </c>
      <c r="B1071" s="11">
        <f>+'DCA-Anexo I-HI'!B1072+'DCA-Anexo I-HI'!B1081+'DCA-Anexo I-HI'!B1091+'DCA-Anexo I-HI'!B1106+'DCA-Anexo I-HI'!B1113+'DCA-Anexo I-HI'!B1124</f>
        <v>3260398.04</v>
      </c>
    </row>
    <row r="1072" spans="1:2" ht="12.75" customHeight="1">
      <c r="A1072" s="4" t="s">
        <v>3804</v>
      </c>
      <c r="B1072" s="12">
        <f>+'DCA-Anexo I-HI'!B1079+'DCA-Anexo I-HI'!B1075+'DCA-Anexo I-HI'!B1073+'DCA-Anexo I-HI'!B1077</f>
        <v>0</v>
      </c>
    </row>
    <row r="1073" spans="1:2" ht="12.75" customHeight="1">
      <c r="A1073" s="3" t="s">
        <v>3805</v>
      </c>
      <c r="B1073" s="11">
        <f>+'DCA-Anexo I-HI'!B1074</f>
        <v>0</v>
      </c>
    </row>
    <row r="1074" spans="1:2" ht="12.75" customHeight="1">
      <c r="A1074" s="4" t="s">
        <v>3806</v>
      </c>
      <c r="B1074" s="12"/>
    </row>
    <row r="1075" spans="1:2" ht="12.75" customHeight="1">
      <c r="A1075" s="3" t="s">
        <v>3807</v>
      </c>
      <c r="B1075" s="11">
        <f>+'DCA-Anexo I-HI'!B1076</f>
        <v>0</v>
      </c>
    </row>
    <row r="1076" spans="1:2" ht="12.75" customHeight="1">
      <c r="A1076" s="4" t="s">
        <v>3808</v>
      </c>
      <c r="B1076" s="12"/>
    </row>
    <row r="1077" spans="1:2" ht="25.5" customHeight="1">
      <c r="A1077" s="3" t="s">
        <v>3809</v>
      </c>
      <c r="B1077" s="11">
        <f>+'DCA-Anexo I-HI'!B1078</f>
        <v>0</v>
      </c>
    </row>
    <row r="1078" spans="1:2" ht="38.25" customHeight="1">
      <c r="A1078" s="4" t="s">
        <v>3810</v>
      </c>
      <c r="B1078" s="12"/>
    </row>
    <row r="1079" spans="1:2" ht="12.75" customHeight="1">
      <c r="A1079" s="3" t="s">
        <v>3811</v>
      </c>
      <c r="B1079" s="11">
        <f>+'DCA-Anexo I-HI'!B1080</f>
        <v>0</v>
      </c>
    </row>
    <row r="1080" spans="1:2" ht="12.75" customHeight="1">
      <c r="A1080" s="4" t="s">
        <v>3812</v>
      </c>
      <c r="B1080" s="12"/>
    </row>
    <row r="1081" spans="1:2" ht="12.75" customHeight="1">
      <c r="A1081" s="3" t="s">
        <v>3813</v>
      </c>
      <c r="B1081" s="11">
        <f>+'DCA-Anexo I-HI'!B1085+'DCA-Anexo I-HI'!B1082+'DCA-Anexo I-HI'!B1087+'DCA-Anexo I-HI'!B1089</f>
        <v>0</v>
      </c>
    </row>
    <row r="1082" spans="1:2" ht="12.75" customHeight="1">
      <c r="A1082" s="4" t="s">
        <v>3814</v>
      </c>
      <c r="B1082" s="12">
        <f>+'DCA-Anexo I-HI'!B1083+'DCA-Anexo I-HI'!B1084</f>
        <v>0</v>
      </c>
    </row>
    <row r="1083" spans="1:2" ht="12.75" customHeight="1">
      <c r="A1083" s="3" t="s">
        <v>3815</v>
      </c>
      <c r="B1083" s="11"/>
    </row>
    <row r="1084" spans="1:2" ht="12.75" customHeight="1">
      <c r="A1084" s="4" t="s">
        <v>3816</v>
      </c>
      <c r="B1084" s="12"/>
    </row>
    <row r="1085" spans="1:2" ht="12.75" customHeight="1">
      <c r="A1085" s="3" t="s">
        <v>3817</v>
      </c>
      <c r="B1085" s="11">
        <f>+'DCA-Anexo I-HI'!B1086</f>
        <v>0</v>
      </c>
    </row>
    <row r="1086" spans="1:2" ht="12.75" customHeight="1">
      <c r="A1086" s="4" t="s">
        <v>3818</v>
      </c>
      <c r="B1086" s="12"/>
    </row>
    <row r="1087" spans="1:2" ht="12.75" customHeight="1">
      <c r="A1087" s="3" t="s">
        <v>3819</v>
      </c>
      <c r="B1087" s="11">
        <f>+'DCA-Anexo I-HI'!B1088</f>
        <v>0</v>
      </c>
    </row>
    <row r="1088" spans="1:2" ht="12.75" customHeight="1">
      <c r="A1088" s="4" t="s">
        <v>3820</v>
      </c>
      <c r="B1088" s="12"/>
    </row>
    <row r="1089" spans="1:2" ht="12.75" customHeight="1">
      <c r="A1089" s="3" t="s">
        <v>3821</v>
      </c>
      <c r="B1089" s="11">
        <f>+'DCA-Anexo I-HI'!B1090</f>
        <v>0</v>
      </c>
    </row>
    <row r="1090" spans="1:2" ht="12.75" customHeight="1">
      <c r="A1090" s="4" t="s">
        <v>3822</v>
      </c>
      <c r="B1090" s="12"/>
    </row>
    <row r="1091" spans="1:2" ht="12.75" customHeight="1">
      <c r="A1091" s="3" t="s">
        <v>3823</v>
      </c>
      <c r="B1091" s="11">
        <f>+'DCA-Anexo I-HI'!B1092+'DCA-Anexo I-HI'!B1096+'DCA-Anexo I-HI'!B1094+'DCA-Anexo I-HI'!B1100+'DCA-Anexo I-HI'!B1098</f>
        <v>0</v>
      </c>
    </row>
    <row r="1092" spans="1:2" ht="12.75" customHeight="1">
      <c r="A1092" s="4" t="s">
        <v>3824</v>
      </c>
      <c r="B1092" s="12">
        <f>+'DCA-Anexo I-HI'!B1093</f>
        <v>0</v>
      </c>
    </row>
    <row r="1093" spans="1:2" ht="25.5" customHeight="1">
      <c r="A1093" s="3" t="s">
        <v>3825</v>
      </c>
      <c r="B1093" s="11"/>
    </row>
    <row r="1094" spans="1:2" ht="12.75" customHeight="1">
      <c r="A1094" s="4" t="s">
        <v>3826</v>
      </c>
      <c r="B1094" s="12">
        <f>+'DCA-Anexo I-HI'!B1095</f>
        <v>0</v>
      </c>
    </row>
    <row r="1095" spans="1:2" ht="25.5" customHeight="1">
      <c r="A1095" s="3" t="s">
        <v>3827</v>
      </c>
      <c r="B1095" s="11"/>
    </row>
    <row r="1096" spans="1:2" ht="12.75" customHeight="1">
      <c r="A1096" s="4" t="s">
        <v>3828</v>
      </c>
      <c r="B1096" s="12">
        <f>+'DCA-Anexo I-HI'!B1097</f>
        <v>0</v>
      </c>
    </row>
    <row r="1097" spans="1:2" ht="25.5" customHeight="1">
      <c r="A1097" s="3" t="s">
        <v>3829</v>
      </c>
      <c r="B1097" s="11"/>
    </row>
    <row r="1098" spans="1:2" ht="12.75" customHeight="1">
      <c r="A1098" s="4" t="s">
        <v>3830</v>
      </c>
      <c r="B1098" s="12">
        <f>+'DCA-Anexo I-HI'!B1099</f>
        <v>0</v>
      </c>
    </row>
    <row r="1099" spans="1:2" ht="25.5" customHeight="1">
      <c r="A1099" s="3" t="s">
        <v>3831</v>
      </c>
      <c r="B1099" s="11"/>
    </row>
    <row r="1100" spans="1:2" ht="12.75" customHeight="1">
      <c r="A1100" s="4" t="s">
        <v>3832</v>
      </c>
      <c r="B1100" s="12">
        <f>+'DCA-Anexo I-HI'!B1101+'DCA-Anexo I-HI'!B1102+'DCA-Anexo I-HI'!B1103+'DCA-Anexo I-HI'!B1104+'DCA-Anexo I-HI'!B1105</f>
        <v>0</v>
      </c>
    </row>
    <row r="1101" spans="1:2" ht="25.5" customHeight="1">
      <c r="A1101" s="3" t="s">
        <v>3833</v>
      </c>
      <c r="B1101" s="11"/>
    </row>
    <row r="1102" spans="1:2" ht="25.5" customHeight="1">
      <c r="A1102" s="4" t="s">
        <v>3834</v>
      </c>
      <c r="B1102" s="12"/>
    </row>
    <row r="1103" spans="1:2" ht="25.5" customHeight="1">
      <c r="A1103" s="3" t="s">
        <v>3835</v>
      </c>
      <c r="B1103" s="11"/>
    </row>
    <row r="1104" spans="1:2" ht="25.5" customHeight="1">
      <c r="A1104" s="4" t="s">
        <v>3836</v>
      </c>
      <c r="B1104" s="12"/>
    </row>
    <row r="1105" spans="1:2" ht="25.5" customHeight="1">
      <c r="A1105" s="3" t="s">
        <v>3837</v>
      </c>
      <c r="B1105" s="11"/>
    </row>
    <row r="1106" spans="1:2" ht="12.75" customHeight="1">
      <c r="A1106" s="4" t="s">
        <v>3838</v>
      </c>
      <c r="B1106" s="12">
        <f>+'DCA-Anexo I-HI'!B1107</f>
        <v>3260398.04</v>
      </c>
    </row>
    <row r="1107" spans="1:2" ht="12.75" customHeight="1">
      <c r="A1107" s="3" t="s">
        <v>3839</v>
      </c>
      <c r="B1107" s="11">
        <f>+'DCA-Anexo I-HI'!B1108+'DCA-Anexo I-HI'!B1109+'DCA-Anexo I-HI'!B1110+'DCA-Anexo I-HI'!B1111+'DCA-Anexo I-HI'!B1112</f>
        <v>3260398.04</v>
      </c>
    </row>
    <row r="1108" spans="1:2" ht="25.5" customHeight="1">
      <c r="A1108" s="4" t="s">
        <v>3840</v>
      </c>
      <c r="B1108" s="12">
        <v>3260398.04</v>
      </c>
    </row>
    <row r="1109" spans="1:2" ht="12.75" customHeight="1">
      <c r="A1109" s="3" t="s">
        <v>3841</v>
      </c>
      <c r="B1109" s="11"/>
    </row>
    <row r="1110" spans="1:2" ht="25.5" customHeight="1">
      <c r="A1110" s="4" t="s">
        <v>3842</v>
      </c>
      <c r="B1110" s="12"/>
    </row>
    <row r="1111" spans="1:2" ht="25.5" customHeight="1">
      <c r="A1111" s="3" t="s">
        <v>3843</v>
      </c>
      <c r="B1111" s="11"/>
    </row>
    <row r="1112" spans="1:2" ht="25.5" customHeight="1">
      <c r="A1112" s="4" t="s">
        <v>3844</v>
      </c>
      <c r="B1112" s="12"/>
    </row>
    <row r="1113" spans="1:2" ht="12.75" customHeight="1">
      <c r="A1113" s="3" t="s">
        <v>3845</v>
      </c>
      <c r="B1113" s="11">
        <f>+'DCA-Anexo I-HI'!B1122+'DCA-Anexo I-HI'!B1120+'DCA-Anexo I-HI'!B1114</f>
        <v>0</v>
      </c>
    </row>
    <row r="1114" spans="1:2" ht="25.5" customHeight="1">
      <c r="A1114" s="4" t="s">
        <v>3846</v>
      </c>
      <c r="B1114" s="12">
        <f>+'DCA-Anexo I-HI'!B1116+'DCA-Anexo I-HI'!B1118+'DCA-Anexo I-HI'!B1115+'DCA-Anexo I-HI'!B1117+'DCA-Anexo I-HI'!B1119</f>
        <v>0</v>
      </c>
    </row>
    <row r="1115" spans="1:2" ht="25.5" customHeight="1">
      <c r="A1115" s="3" t="s">
        <v>3847</v>
      </c>
      <c r="B1115" s="11">
        <v>0</v>
      </c>
    </row>
    <row r="1116" spans="1:2" ht="25.5" customHeight="1">
      <c r="A1116" s="4" t="s">
        <v>3848</v>
      </c>
      <c r="B1116" s="12"/>
    </row>
    <row r="1117" spans="1:2" ht="25.5" customHeight="1">
      <c r="A1117" s="3" t="s">
        <v>3849</v>
      </c>
      <c r="B1117" s="11"/>
    </row>
    <row r="1118" spans="1:2" ht="25.5" customHeight="1">
      <c r="A1118" s="4" t="s">
        <v>3850</v>
      </c>
      <c r="B1118" s="12"/>
    </row>
    <row r="1119" spans="1:2" ht="25.5" customHeight="1">
      <c r="A1119" s="3" t="s">
        <v>3851</v>
      </c>
      <c r="B1119" s="11">
        <v>0</v>
      </c>
    </row>
    <row r="1120" spans="1:2" ht="25.5" customHeight="1">
      <c r="A1120" s="4" t="s">
        <v>3852</v>
      </c>
      <c r="B1120" s="12">
        <f>+'DCA-Anexo I-HI'!B1121</f>
        <v>0</v>
      </c>
    </row>
    <row r="1121" spans="1:2" ht="25.5" customHeight="1">
      <c r="A1121" s="3" t="s">
        <v>3853</v>
      </c>
      <c r="B1121" s="11">
        <v>0</v>
      </c>
    </row>
    <row r="1122" spans="1:2" ht="25.5" customHeight="1">
      <c r="A1122" s="4" t="s">
        <v>3854</v>
      </c>
      <c r="B1122" s="12">
        <f>+'DCA-Anexo I-HI'!B1123</f>
        <v>0</v>
      </c>
    </row>
    <row r="1123" spans="1:2" ht="25.5" customHeight="1">
      <c r="A1123" s="3" t="s">
        <v>3855</v>
      </c>
      <c r="B1123" s="11">
        <v>0</v>
      </c>
    </row>
    <row r="1124" spans="1:2" ht="12.75" customHeight="1">
      <c r="A1124" s="4" t="s">
        <v>3856</v>
      </c>
      <c r="B1124" s="12">
        <f>+'DCA-Anexo I-HI'!B1125</f>
        <v>0</v>
      </c>
    </row>
    <row r="1125" spans="1:2" ht="12.75" customHeight="1">
      <c r="A1125" s="3" t="s">
        <v>3857</v>
      </c>
      <c r="B1125" s="11">
        <f>+'DCA-Anexo I-HI'!B1126</f>
        <v>0</v>
      </c>
    </row>
    <row r="1126" spans="1:2" ht="25.5" customHeight="1">
      <c r="A1126" s="4" t="s">
        <v>3858</v>
      </c>
      <c r="B1126" s="12">
        <v>0</v>
      </c>
    </row>
    <row r="1127" spans="1:2" ht="12.75" customHeight="1">
      <c r="A1127" s="3" t="s">
        <v>3859</v>
      </c>
      <c r="B1127" s="11">
        <f>+'DCA-Anexo I-HI'!B1128+'DCA-Anexo I-HI'!B1135+'DCA-Anexo I-HI'!B1148+'DCA-Anexo I-HI'!B1159+'DCA-Anexo I-HI'!B1166+'DCA-Anexo I-HI'!B1179</f>
        <v>1274.9100000000001</v>
      </c>
    </row>
    <row r="1128" spans="1:2" ht="12.75" customHeight="1">
      <c r="A1128" s="4" t="s">
        <v>3860</v>
      </c>
      <c r="B1128" s="12">
        <f>+'DCA-Anexo I-HI'!B1129</f>
        <v>0</v>
      </c>
    </row>
    <row r="1129" spans="1:2" ht="12.75" customHeight="1">
      <c r="A1129" s="3" t="s">
        <v>3861</v>
      </c>
      <c r="B1129" s="11">
        <f>+'DCA-Anexo I-HI'!B1130+'DCA-Anexo I-HI'!B1131+'DCA-Anexo I-HI'!B1132+'DCA-Anexo I-HI'!B1133+'DCA-Anexo I-HI'!B1134</f>
        <v>0</v>
      </c>
    </row>
    <row r="1130" spans="1:2" ht="25.5" customHeight="1">
      <c r="A1130" s="4" t="s">
        <v>3862</v>
      </c>
      <c r="B1130" s="12">
        <v>0</v>
      </c>
    </row>
    <row r="1131" spans="1:2" ht="25.5" customHeight="1">
      <c r="A1131" s="3" t="s">
        <v>3863</v>
      </c>
      <c r="B1131" s="11"/>
    </row>
    <row r="1132" spans="1:2" ht="25.5" customHeight="1">
      <c r="A1132" s="4" t="s">
        <v>3864</v>
      </c>
      <c r="B1132" s="12"/>
    </row>
    <row r="1133" spans="1:2" ht="25.5" customHeight="1">
      <c r="A1133" s="3" t="s">
        <v>3865</v>
      </c>
      <c r="B1133" s="11"/>
    </row>
    <row r="1134" spans="1:2" ht="25.5" customHeight="1">
      <c r="A1134" s="4" t="s">
        <v>3866</v>
      </c>
      <c r="B1134" s="12"/>
    </row>
    <row r="1135" spans="1:2" ht="12.75" customHeight="1">
      <c r="A1135" s="3" t="s">
        <v>3867</v>
      </c>
      <c r="B1135" s="11">
        <f>+'DCA-Anexo I-HI'!B1142+'DCA-Anexo I-HI'!B1136</f>
        <v>0</v>
      </c>
    </row>
    <row r="1136" spans="1:2" ht="12.75" customHeight="1">
      <c r="A1136" s="4" t="s">
        <v>3868</v>
      </c>
      <c r="B1136" s="12">
        <f>+'DCA-Anexo I-HI'!B1141+'DCA-Anexo I-HI'!B1137+'DCA-Anexo I-HI'!B1138+'DCA-Anexo I-HI'!B1139+'DCA-Anexo I-HI'!B1140</f>
        <v>0</v>
      </c>
    </row>
    <row r="1137" spans="1:2" ht="25.5" customHeight="1">
      <c r="A1137" s="3" t="s">
        <v>3869</v>
      </c>
      <c r="B1137" s="11">
        <v>0</v>
      </c>
    </row>
    <row r="1138" spans="1:2" ht="25.5" customHeight="1">
      <c r="A1138" s="4" t="s">
        <v>3870</v>
      </c>
      <c r="B1138" s="12"/>
    </row>
    <row r="1139" spans="1:2" ht="25.5" customHeight="1">
      <c r="A1139" s="3" t="s">
        <v>3871</v>
      </c>
      <c r="B1139" s="11"/>
    </row>
    <row r="1140" spans="1:2" ht="25.5" customHeight="1">
      <c r="A1140" s="4" t="s">
        <v>3872</v>
      </c>
      <c r="B1140" s="12"/>
    </row>
    <row r="1141" spans="1:2" ht="25.5" customHeight="1">
      <c r="A1141" s="3" t="s">
        <v>3873</v>
      </c>
      <c r="B1141" s="11"/>
    </row>
    <row r="1142" spans="1:2" ht="12.75" customHeight="1">
      <c r="A1142" s="4" t="s">
        <v>3874</v>
      </c>
      <c r="B1142" s="12">
        <f>+'DCA-Anexo I-HI'!B1143+'DCA-Anexo I-HI'!B1144+'DCA-Anexo I-HI'!B1145+'DCA-Anexo I-HI'!B1146+'DCA-Anexo I-HI'!B1147</f>
        <v>0</v>
      </c>
    </row>
    <row r="1143" spans="1:2" ht="25.5" customHeight="1">
      <c r="A1143" s="3" t="s">
        <v>3875</v>
      </c>
      <c r="B1143" s="11">
        <v>0</v>
      </c>
    </row>
    <row r="1144" spans="1:2" ht="25.5" customHeight="1">
      <c r="A1144" s="4" t="s">
        <v>3876</v>
      </c>
      <c r="B1144" s="12"/>
    </row>
    <row r="1145" spans="1:2" ht="25.5" customHeight="1">
      <c r="A1145" s="3" t="s">
        <v>3877</v>
      </c>
      <c r="B1145" s="11"/>
    </row>
    <row r="1146" spans="1:2" ht="25.5" customHeight="1">
      <c r="A1146" s="4" t="s">
        <v>3878</v>
      </c>
      <c r="B1146" s="12"/>
    </row>
    <row r="1147" spans="1:2" ht="25.5" customHeight="1">
      <c r="A1147" s="3" t="s">
        <v>3879</v>
      </c>
      <c r="B1147" s="11"/>
    </row>
    <row r="1148" spans="1:2" ht="12.75" customHeight="1">
      <c r="A1148" s="4" t="s">
        <v>3880</v>
      </c>
      <c r="B1148" s="12">
        <f>+'DCA-Anexo I-HI'!B1149+'DCA-Anexo I-HI'!B1151+'DCA-Anexo I-HI'!B1153+'DCA-Anexo I-HI'!B1155+'DCA-Anexo I-HI'!B1157</f>
        <v>0</v>
      </c>
    </row>
    <row r="1149" spans="1:2" ht="12.75" customHeight="1">
      <c r="A1149" s="3" t="s">
        <v>3881</v>
      </c>
      <c r="B1149" s="11">
        <f>+'DCA-Anexo I-HI'!B1150</f>
        <v>0</v>
      </c>
    </row>
    <row r="1150" spans="1:2" ht="12.75" customHeight="1">
      <c r="A1150" s="4" t="s">
        <v>3882</v>
      </c>
      <c r="B1150" s="12">
        <v>0</v>
      </c>
    </row>
    <row r="1151" spans="1:2" ht="12.75" customHeight="1">
      <c r="A1151" s="3" t="s">
        <v>3883</v>
      </c>
      <c r="B1151" s="11">
        <f>+'DCA-Anexo I-HI'!B1152</f>
        <v>0</v>
      </c>
    </row>
    <row r="1152" spans="1:2" ht="12.75" customHeight="1">
      <c r="A1152" s="4" t="s">
        <v>3884</v>
      </c>
      <c r="B1152" s="12">
        <v>0</v>
      </c>
    </row>
    <row r="1153" spans="1:2" ht="12.75" customHeight="1">
      <c r="A1153" s="3" t="s">
        <v>3885</v>
      </c>
      <c r="B1153" s="11">
        <f>+'DCA-Anexo I-HI'!B1154</f>
        <v>0</v>
      </c>
    </row>
    <row r="1154" spans="1:2" ht="12.75" customHeight="1">
      <c r="A1154" s="4" t="s">
        <v>3886</v>
      </c>
      <c r="B1154" s="12">
        <v>0</v>
      </c>
    </row>
    <row r="1155" spans="1:2" ht="12.75" customHeight="1">
      <c r="A1155" s="3" t="s">
        <v>3887</v>
      </c>
      <c r="B1155" s="11">
        <f>+'DCA-Anexo I-HI'!B1156</f>
        <v>0</v>
      </c>
    </row>
    <row r="1156" spans="1:2" ht="12.75" customHeight="1">
      <c r="A1156" s="4" t="s">
        <v>3888</v>
      </c>
      <c r="B1156" s="12">
        <v>0</v>
      </c>
    </row>
    <row r="1157" spans="1:2" ht="12.75" customHeight="1">
      <c r="A1157" s="3" t="s">
        <v>3889</v>
      </c>
      <c r="B1157" s="11">
        <f>+'DCA-Anexo I-HI'!B1158</f>
        <v>0</v>
      </c>
    </row>
    <row r="1158" spans="1:2" ht="25.5" customHeight="1">
      <c r="A1158" s="4" t="s">
        <v>3890</v>
      </c>
      <c r="B1158" s="12">
        <v>0</v>
      </c>
    </row>
    <row r="1159" spans="1:2" ht="12.75" customHeight="1">
      <c r="A1159" s="3" t="s">
        <v>3891</v>
      </c>
      <c r="B1159" s="11">
        <f>+'DCA-Anexo I-HI'!B1160</f>
        <v>0</v>
      </c>
    </row>
    <row r="1160" spans="1:2" ht="12.75" customHeight="1">
      <c r="A1160" s="4" t="s">
        <v>3892</v>
      </c>
      <c r="B1160" s="12">
        <f>+'DCA-Anexo I-HI'!B1161+'DCA-Anexo I-HI'!B1162+'DCA-Anexo I-HI'!B1163+'DCA-Anexo I-HI'!B1164+'DCA-Anexo I-HI'!B1165</f>
        <v>0</v>
      </c>
    </row>
    <row r="1161" spans="1:2" ht="12.75" customHeight="1">
      <c r="A1161" s="3" t="s">
        <v>3893</v>
      </c>
      <c r="B1161" s="11">
        <v>0</v>
      </c>
    </row>
    <row r="1162" spans="1:2" ht="12.75" customHeight="1">
      <c r="A1162" s="4" t="s">
        <v>3894</v>
      </c>
      <c r="B1162" s="12"/>
    </row>
    <row r="1163" spans="1:2" ht="12.75" customHeight="1">
      <c r="A1163" s="3" t="s">
        <v>3895</v>
      </c>
      <c r="B1163" s="11"/>
    </row>
    <row r="1164" spans="1:2" ht="12.75" customHeight="1">
      <c r="A1164" s="4" t="s">
        <v>3896</v>
      </c>
      <c r="B1164" s="12"/>
    </row>
    <row r="1165" spans="1:2" ht="12.75" customHeight="1">
      <c r="A1165" s="3" t="s">
        <v>3897</v>
      </c>
      <c r="B1165" s="11"/>
    </row>
    <row r="1166" spans="1:2" ht="12.75" customHeight="1">
      <c r="A1166" s="4" t="s">
        <v>3898</v>
      </c>
      <c r="B1166" s="12">
        <f>+'DCA-Anexo I-HI'!B1173+'DCA-Anexo I-HI'!B1167</f>
        <v>0</v>
      </c>
    </row>
    <row r="1167" spans="1:2" ht="12.75" customHeight="1">
      <c r="A1167" s="3" t="s">
        <v>3899</v>
      </c>
      <c r="B1167" s="11">
        <f>+'DCA-Anexo I-HI'!B1172+'DCA-Anexo I-HI'!B1170+'DCA-Anexo I-HI'!B1168+'DCA-Anexo I-HI'!B1171+'DCA-Anexo I-HI'!B1169</f>
        <v>0</v>
      </c>
    </row>
    <row r="1168" spans="1:2" ht="12.75" customHeight="1">
      <c r="A1168" s="4" t="s">
        <v>3900</v>
      </c>
      <c r="B1168" s="12">
        <v>0</v>
      </c>
    </row>
    <row r="1169" spans="1:2" ht="12.75" customHeight="1">
      <c r="A1169" s="3" t="s">
        <v>3901</v>
      </c>
      <c r="B1169" s="11"/>
    </row>
    <row r="1170" spans="1:2" ht="12.75" customHeight="1">
      <c r="A1170" s="4" t="s">
        <v>3902</v>
      </c>
      <c r="B1170" s="12"/>
    </row>
    <row r="1171" spans="1:2" ht="12.75" customHeight="1">
      <c r="A1171" s="3" t="s">
        <v>3903</v>
      </c>
      <c r="B1171" s="11"/>
    </row>
    <row r="1172" spans="1:2" ht="12.75" customHeight="1">
      <c r="A1172" s="4" t="s">
        <v>3904</v>
      </c>
      <c r="B1172" s="12"/>
    </row>
    <row r="1173" spans="1:2" ht="12.75" customHeight="1">
      <c r="A1173" s="3" t="s">
        <v>3905</v>
      </c>
      <c r="B1173" s="11">
        <f>+'DCA-Anexo I-HI'!B1174+'DCA-Anexo I-HI'!B1177+'DCA-Anexo I-HI'!B1175+'DCA-Anexo I-HI'!B1178+'DCA-Anexo I-HI'!B1176</f>
        <v>0</v>
      </c>
    </row>
    <row r="1174" spans="1:2" ht="12.75" customHeight="1">
      <c r="A1174" s="4" t="s">
        <v>3906</v>
      </c>
      <c r="B1174" s="12">
        <v>0</v>
      </c>
    </row>
    <row r="1175" spans="1:2" ht="12.75" customHeight="1">
      <c r="A1175" s="3" t="s">
        <v>3907</v>
      </c>
      <c r="B1175" s="11">
        <v>0</v>
      </c>
    </row>
    <row r="1176" spans="1:2" ht="12.75" customHeight="1">
      <c r="A1176" s="4" t="s">
        <v>3908</v>
      </c>
      <c r="B1176" s="12">
        <v>0</v>
      </c>
    </row>
    <row r="1177" spans="1:2" ht="12.75" customHeight="1">
      <c r="A1177" s="3" t="s">
        <v>3909</v>
      </c>
      <c r="B1177" s="11">
        <v>0</v>
      </c>
    </row>
    <row r="1178" spans="1:2" ht="25.5" customHeight="1">
      <c r="A1178" s="4" t="s">
        <v>3910</v>
      </c>
      <c r="B1178" s="12">
        <v>0</v>
      </c>
    </row>
    <row r="1179" spans="1:2" ht="12.75" customHeight="1">
      <c r="A1179" s="3" t="s">
        <v>3911</v>
      </c>
      <c r="B1179" s="11">
        <f>+'DCA-Anexo I-HI'!B1201+'DCA-Anexo I-HI'!B1215+'DCA-Anexo I-HI'!B1185+'DCA-Anexo I-HI'!B1195+'DCA-Anexo I-HI'!B1189+'DCA-Anexo I-HI'!B1180+'DCA-Anexo I-HI'!B1207+'DCA-Anexo I-HI'!B1213</f>
        <v>1274.9100000000001</v>
      </c>
    </row>
    <row r="1180" spans="1:2" ht="12.75" customHeight="1">
      <c r="A1180" s="4" t="s">
        <v>3912</v>
      </c>
      <c r="B1180" s="12">
        <f>+'DCA-Anexo I-HI'!B1181+'DCA-Anexo I-HI'!B1182+'DCA-Anexo I-HI'!B1183+'DCA-Anexo I-HI'!B1184</f>
        <v>0</v>
      </c>
    </row>
    <row r="1181" spans="1:2" ht="25.5" customHeight="1">
      <c r="A1181" s="3" t="s">
        <v>3913</v>
      </c>
      <c r="B1181" s="11">
        <v>0</v>
      </c>
    </row>
    <row r="1182" spans="1:2" ht="25.5" customHeight="1">
      <c r="A1182" s="4" t="s">
        <v>3914</v>
      </c>
      <c r="B1182" s="12">
        <v>0</v>
      </c>
    </row>
    <row r="1183" spans="1:2" ht="25.5" customHeight="1">
      <c r="A1183" s="3" t="s">
        <v>3915</v>
      </c>
      <c r="B1183" s="11">
        <v>0</v>
      </c>
    </row>
    <row r="1184" spans="1:2" ht="25.5" customHeight="1">
      <c r="A1184" s="4" t="s">
        <v>3916</v>
      </c>
      <c r="B1184" s="12">
        <v>0</v>
      </c>
    </row>
    <row r="1185" spans="1:2" ht="12.75" customHeight="1">
      <c r="A1185" s="3" t="s">
        <v>3917</v>
      </c>
      <c r="B1185" s="11">
        <f>+'DCA-Anexo I-HI'!B1188+'DCA-Anexo I-HI'!B1186+'DCA-Anexo I-HI'!B1187</f>
        <v>0</v>
      </c>
    </row>
    <row r="1186" spans="1:2" ht="25.5" customHeight="1">
      <c r="A1186" s="4" t="s">
        <v>3918</v>
      </c>
      <c r="B1186" s="12">
        <v>0</v>
      </c>
    </row>
    <row r="1187" spans="1:2" ht="25.5" customHeight="1">
      <c r="A1187" s="3" t="s">
        <v>3919</v>
      </c>
      <c r="B1187" s="11">
        <v>0</v>
      </c>
    </row>
    <row r="1188" spans="1:2" ht="25.5" customHeight="1">
      <c r="A1188" s="4" t="s">
        <v>3920</v>
      </c>
      <c r="B1188" s="12">
        <v>0</v>
      </c>
    </row>
    <row r="1189" spans="1:2" ht="12.75" customHeight="1">
      <c r="A1189" s="3" t="s">
        <v>3921</v>
      </c>
      <c r="B1189" s="11">
        <f>+'DCA-Anexo I-HI'!B1190+'DCA-Anexo I-HI'!B1191+'DCA-Anexo I-HI'!B1192+'DCA-Anexo I-HI'!B1193+'DCA-Anexo I-HI'!B1194</f>
        <v>0</v>
      </c>
    </row>
    <row r="1190" spans="1:2" ht="25.5" customHeight="1">
      <c r="A1190" s="4" t="s">
        <v>3922</v>
      </c>
      <c r="B1190" s="12">
        <v>0</v>
      </c>
    </row>
    <row r="1191" spans="1:2" ht="25.5" customHeight="1">
      <c r="A1191" s="3" t="s">
        <v>3923</v>
      </c>
      <c r="B1191" s="11">
        <v>0</v>
      </c>
    </row>
    <row r="1192" spans="1:2" ht="25.5" customHeight="1">
      <c r="A1192" s="4" t="s">
        <v>3924</v>
      </c>
      <c r="B1192" s="12">
        <v>0</v>
      </c>
    </row>
    <row r="1193" spans="1:2" ht="25.5" customHeight="1">
      <c r="A1193" s="3" t="s">
        <v>3925</v>
      </c>
      <c r="B1193" s="11">
        <v>0</v>
      </c>
    </row>
    <row r="1194" spans="1:2" ht="25.5" customHeight="1">
      <c r="A1194" s="4" t="s">
        <v>3926</v>
      </c>
      <c r="B1194" s="12">
        <v>0</v>
      </c>
    </row>
    <row r="1195" spans="1:2" ht="12.75" customHeight="1">
      <c r="A1195" s="3" t="s">
        <v>3927</v>
      </c>
      <c r="B1195" s="11">
        <f>+'DCA-Anexo I-HI'!B1198+'DCA-Anexo I-HI'!B1199+'DCA-Anexo I-HI'!B1197+'DCA-Anexo I-HI'!B1200+'DCA-Anexo I-HI'!B1196</f>
        <v>0</v>
      </c>
    </row>
    <row r="1196" spans="1:2" ht="25.5" customHeight="1">
      <c r="A1196" s="4" t="s">
        <v>3928</v>
      </c>
      <c r="B1196" s="12">
        <v>0</v>
      </c>
    </row>
    <row r="1197" spans="1:2" ht="25.5" customHeight="1">
      <c r="A1197" s="3" t="s">
        <v>3929</v>
      </c>
      <c r="B1197" s="11">
        <v>0</v>
      </c>
    </row>
    <row r="1198" spans="1:2" ht="25.5" customHeight="1">
      <c r="A1198" s="4" t="s">
        <v>3930</v>
      </c>
      <c r="B1198" s="12">
        <v>0</v>
      </c>
    </row>
    <row r="1199" spans="1:2" ht="25.5" customHeight="1">
      <c r="A1199" s="3" t="s">
        <v>3931</v>
      </c>
      <c r="B1199" s="11">
        <v>0</v>
      </c>
    </row>
    <row r="1200" spans="1:2" ht="25.5" customHeight="1">
      <c r="A1200" s="4" t="s">
        <v>3932</v>
      </c>
      <c r="B1200" s="12">
        <v>0</v>
      </c>
    </row>
    <row r="1201" spans="1:2" ht="12.75" customHeight="1">
      <c r="A1201" s="3" t="s">
        <v>3933</v>
      </c>
      <c r="B1201" s="11">
        <f>+'DCA-Anexo I-HI'!B1202+'DCA-Anexo I-HI'!B1203+'DCA-Anexo I-HI'!B1204+'DCA-Anexo I-HI'!B1205+'DCA-Anexo I-HI'!B1206</f>
        <v>1258.94</v>
      </c>
    </row>
    <row r="1202" spans="1:2" ht="25.5" customHeight="1">
      <c r="A1202" s="4" t="s">
        <v>3934</v>
      </c>
      <c r="B1202" s="12">
        <v>1258.94</v>
      </c>
    </row>
    <row r="1203" spans="1:2" ht="25.5" customHeight="1">
      <c r="A1203" s="3" t="s">
        <v>3935</v>
      </c>
      <c r="B1203" s="11">
        <v>0</v>
      </c>
    </row>
    <row r="1204" spans="1:2" ht="25.5" customHeight="1">
      <c r="A1204" s="4" t="s">
        <v>3936</v>
      </c>
      <c r="B1204" s="12">
        <v>0</v>
      </c>
    </row>
    <row r="1205" spans="1:2" ht="25.5" customHeight="1">
      <c r="A1205" s="3" t="s">
        <v>3937</v>
      </c>
      <c r="B1205" s="11">
        <v>0</v>
      </c>
    </row>
    <row r="1206" spans="1:2" ht="25.5" customHeight="1">
      <c r="A1206" s="4" t="s">
        <v>3938</v>
      </c>
      <c r="B1206" s="12">
        <v>0</v>
      </c>
    </row>
    <row r="1207" spans="1:2" ht="12.75" customHeight="1">
      <c r="A1207" s="3" t="s">
        <v>3939</v>
      </c>
      <c r="B1207" s="11">
        <f>+'DCA-Anexo I-HI'!B1208+'DCA-Anexo I-HI'!B1209+'DCA-Anexo I-HI'!B1210+'DCA-Anexo I-HI'!B1211+'DCA-Anexo I-HI'!B1212</f>
        <v>0</v>
      </c>
    </row>
    <row r="1208" spans="1:2" ht="25.5" customHeight="1">
      <c r="A1208" s="4" t="s">
        <v>3940</v>
      </c>
      <c r="B1208" s="12">
        <v>0</v>
      </c>
    </row>
    <row r="1209" spans="1:2" ht="25.5" customHeight="1">
      <c r="A1209" s="3" t="s">
        <v>3941</v>
      </c>
      <c r="B1209" s="11">
        <v>0</v>
      </c>
    </row>
    <row r="1210" spans="1:2" ht="25.5" customHeight="1">
      <c r="A1210" s="4" t="s">
        <v>3942</v>
      </c>
      <c r="B1210" s="12">
        <v>0</v>
      </c>
    </row>
    <row r="1211" spans="1:2" ht="25.5" customHeight="1">
      <c r="A1211" s="3" t="s">
        <v>3943</v>
      </c>
      <c r="B1211" s="11">
        <v>0</v>
      </c>
    </row>
    <row r="1212" spans="1:2" ht="25.5" customHeight="1">
      <c r="A1212" s="4" t="s">
        <v>3944</v>
      </c>
      <c r="B1212" s="12">
        <v>0</v>
      </c>
    </row>
    <row r="1213" spans="1:2" ht="25.5" customHeight="1">
      <c r="A1213" s="3" t="s">
        <v>3945</v>
      </c>
      <c r="B1213" s="11">
        <f>+'DCA-Anexo I-HI'!B1214</f>
        <v>0</v>
      </c>
    </row>
    <row r="1214" spans="1:2" ht="25.5" customHeight="1">
      <c r="A1214" s="4" t="s">
        <v>3946</v>
      </c>
      <c r="B1214" s="12">
        <v>0</v>
      </c>
    </row>
    <row r="1215" spans="1:2" ht="25.5" customHeight="1">
      <c r="A1215" s="3" t="s">
        <v>3947</v>
      </c>
      <c r="B1215" s="11">
        <f>+'DCA-Anexo I-HI'!B1216+'DCA-Anexo I-HI'!B1217+'DCA-Anexo I-HI'!B1218+'DCA-Anexo I-HI'!B1219+'DCA-Anexo I-HI'!B1220</f>
        <v>15.97</v>
      </c>
    </row>
    <row r="1216" spans="1:2" ht="25.5" customHeight="1">
      <c r="A1216" s="4" t="s">
        <v>3948</v>
      </c>
      <c r="B1216" s="12">
        <v>15.97</v>
      </c>
    </row>
    <row r="1217" spans="1:2" ht="25.5" customHeight="1">
      <c r="A1217" s="3" t="s">
        <v>3949</v>
      </c>
      <c r="B1217" s="11">
        <v>0</v>
      </c>
    </row>
    <row r="1218" spans="1:2" ht="25.5" customHeight="1">
      <c r="A1218" s="4" t="s">
        <v>3950</v>
      </c>
      <c r="B1218" s="12">
        <v>0</v>
      </c>
    </row>
    <row r="1219" spans="1:2" ht="25.5" customHeight="1">
      <c r="A1219" s="3" t="s">
        <v>3951</v>
      </c>
      <c r="B1219" s="11">
        <v>0</v>
      </c>
    </row>
    <row r="1220" spans="1:2" ht="25.5" customHeight="1">
      <c r="A1220" s="4" t="s">
        <v>3952</v>
      </c>
      <c r="B1220" s="12">
        <v>0</v>
      </c>
    </row>
    <row r="1221" spans="1:2" ht="12.75" customHeight="1">
      <c r="A1221" s="3" t="s">
        <v>3953</v>
      </c>
      <c r="B1221" s="5"/>
    </row>
    <row r="1222" spans="1:2" ht="12.75" customHeight="1">
      <c r="A1222" s="4" t="s">
        <v>3954</v>
      </c>
      <c r="B1222" s="6"/>
    </row>
    <row r="1223" spans="1:2" ht="12.75" customHeight="1">
      <c r="A1223" s="3" t="s">
        <v>3955</v>
      </c>
      <c r="B1223" s="11">
        <f>+'DCA-Anexo I-HI'!B691-'DCA-Anexo I-HI'!B21</f>
        <v>-2049834.660000056</v>
      </c>
    </row>
    <row r="1226" spans="1:2" ht="25.5" customHeight="1">
      <c r="A1226" s="7" t="s">
        <v>2748</v>
      </c>
    </row>
    <row r="1227" spans="1:2" ht="12.75" customHeight="1">
      <c r="A1227" s="7" t="s">
        <v>3956</v>
      </c>
    </row>
    <row r="1228" spans="1:2" ht="12.75" customHeight="1">
      <c r="A1228" s="7" t="s">
        <v>12</v>
      </c>
    </row>
    <row r="1229" spans="1:2" ht="30" customHeight="1">
      <c r="A1229" s="21" t="s">
        <v>3957</v>
      </c>
      <c r="B1229" s="21" t="s">
        <v>14</v>
      </c>
    </row>
    <row r="1230" spans="1:2" ht="30" customHeight="1">
      <c r="A1230" s="22"/>
      <c r="B1230" s="21" t="s">
        <v>15</v>
      </c>
    </row>
    <row r="1231" spans="1:2" ht="12.75" customHeight="1">
      <c r="A1231" s="3" t="s">
        <v>3957</v>
      </c>
      <c r="B1231" s="5"/>
    </row>
    <row r="1232" spans="1:2" ht="300" customHeight="1">
      <c r="A1232" s="4" t="s">
        <v>1086</v>
      </c>
      <c r="B1232" s="13"/>
    </row>
  </sheetData>
  <sheetProtection password="9C88" sheet="1" objects="1" scenarios="1"/>
  <mergeCells count="6">
    <mergeCell ref="A17:A18"/>
    <mergeCell ref="B17"/>
    <mergeCell ref="B18"/>
    <mergeCell ref="A1229:A1230"/>
    <mergeCell ref="B1229"/>
    <mergeCell ref="B1230"/>
  </mergeCells>
  <pageMargins left="0.78740157499999996" right="0.78740157499999996" top="0.984251969" bottom="0.984251969" header="0.5" footer="0.5"/>
  <pageSetup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DCA-Anexo I-AB</vt:lpstr>
      <vt:lpstr>formulas</vt:lpstr>
      <vt:lpstr>DCA-Anexo I-C</vt:lpstr>
      <vt:lpstr>DCA-Anexo I-D</vt:lpstr>
      <vt:lpstr>DCA-Anexo I-E</vt:lpstr>
      <vt:lpstr>DCA-Anexo I-F</vt:lpstr>
      <vt:lpstr>DCA-Anexo I-G</vt:lpstr>
      <vt:lpstr>DCA-Anexo I-HI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Anderson Pita</dc:creator>
  <cp:lastModifiedBy>Anderson Pita</cp:lastModifiedBy>
  <dcterms:created xsi:type="dcterms:W3CDTF">2026-06-23T15:10:15Z</dcterms:created>
  <dcterms:modified xsi:type="dcterms:W3CDTF">2026-06-23T15:14:26Z</dcterms:modified>
</cp:coreProperties>
</file>